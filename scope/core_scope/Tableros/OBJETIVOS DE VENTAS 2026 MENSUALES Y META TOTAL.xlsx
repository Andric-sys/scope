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evo\Downloads\TABLEROS GERENCIALES\"/>
    </mc:Choice>
  </mc:AlternateContent>
  <xr:revisionPtr revIDLastSave="0" documentId="8_{89557580-97BC-413C-9FD3-96822C07D4D1}" xr6:coauthVersionLast="47" xr6:coauthVersionMax="47" xr10:uidLastSave="{00000000-0000-0000-0000-000000000000}"/>
  <bookViews>
    <workbookView xWindow="-108" yWindow="-108" windowWidth="23256" windowHeight="13896" xr2:uid="{DC6DEDBF-1327-4933-A5DE-F2CDBB445233}"/>
  </bookViews>
  <sheets>
    <sheet name="PRESUPUESTO CONCENTRAD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N15" i="1"/>
  <c r="M14" i="1"/>
  <c r="L14" i="1"/>
  <c r="L16" i="1" s="1"/>
  <c r="K14" i="1"/>
  <c r="K16" i="1" s="1"/>
  <c r="J14" i="1"/>
  <c r="J16" i="1" s="1"/>
  <c r="I14" i="1"/>
  <c r="I16" i="1" s="1"/>
  <c r="H14" i="1"/>
  <c r="H16" i="1" s="1"/>
  <c r="G14" i="1"/>
  <c r="G16" i="1" s="1"/>
  <c r="F14" i="1"/>
  <c r="F16" i="1" s="1"/>
  <c r="E14" i="1"/>
  <c r="E16" i="1" s="1"/>
  <c r="D14" i="1"/>
  <c r="D16" i="1" s="1"/>
  <c r="C14" i="1"/>
  <c r="C16" i="1" s="1"/>
  <c r="B14" i="1"/>
  <c r="B16" i="1" s="1"/>
  <c r="M10" i="1"/>
  <c r="K10" i="1"/>
  <c r="M9" i="1"/>
  <c r="M11" i="1" s="1"/>
  <c r="M18" i="1" s="1"/>
  <c r="L9" i="1"/>
  <c r="K9" i="1"/>
  <c r="K11" i="1" s="1"/>
  <c r="J9" i="1"/>
  <c r="I9" i="1"/>
  <c r="H9" i="1"/>
  <c r="G9" i="1"/>
  <c r="F9" i="1"/>
  <c r="E9" i="1"/>
  <c r="D9" i="1"/>
  <c r="C9" i="1"/>
  <c r="B9" i="1"/>
  <c r="P8" i="1"/>
  <c r="M6" i="1"/>
  <c r="L5" i="1"/>
  <c r="K5" i="1"/>
  <c r="J5" i="1"/>
  <c r="I5" i="1" s="1"/>
  <c r="H5" i="1" s="1"/>
  <c r="G5" i="1" s="1"/>
  <c r="F5" i="1" s="1"/>
  <c r="E5" i="1" s="1"/>
  <c r="N5" i="1" s="1"/>
  <c r="L4" i="1"/>
  <c r="L6" i="1" s="1"/>
  <c r="K4" i="1"/>
  <c r="J4" i="1" s="1"/>
  <c r="N3" i="1"/>
  <c r="R7" i="1" s="1"/>
  <c r="J10" i="1" l="1"/>
  <c r="J6" i="1"/>
  <c r="J18" i="1" s="1"/>
  <c r="I4" i="1"/>
  <c r="J11" i="1"/>
  <c r="N14" i="1"/>
  <c r="N16" i="1" s="1"/>
  <c r="N9" i="1"/>
  <c r="L10" i="1"/>
  <c r="L11" i="1" s="1"/>
  <c r="L18" i="1" s="1"/>
  <c r="K6" i="1"/>
  <c r="K18" i="1" s="1"/>
  <c r="T8" i="1"/>
  <c r="I6" i="1" l="1"/>
  <c r="I10" i="1"/>
  <c r="I11" i="1" s="1"/>
  <c r="H4" i="1"/>
  <c r="H6" i="1" l="1"/>
  <c r="H10" i="1"/>
  <c r="H11" i="1" s="1"/>
  <c r="G4" i="1"/>
  <c r="I18" i="1"/>
  <c r="G10" i="1" l="1"/>
  <c r="G11" i="1" s="1"/>
  <c r="G6" i="1"/>
  <c r="F4" i="1"/>
  <c r="H18" i="1"/>
  <c r="F10" i="1" l="1"/>
  <c r="F11" i="1" s="1"/>
  <c r="F6" i="1"/>
  <c r="F18" i="1" s="1"/>
  <c r="E4" i="1"/>
  <c r="G18" i="1"/>
  <c r="E6" i="1" l="1"/>
  <c r="E10" i="1"/>
  <c r="E11" i="1" s="1"/>
  <c r="D4" i="1"/>
  <c r="D6" i="1" l="1"/>
  <c r="C4" i="1"/>
  <c r="D10" i="1"/>
  <c r="D11" i="1" s="1"/>
  <c r="E18" i="1"/>
  <c r="B4" i="1" l="1"/>
  <c r="C6" i="1"/>
  <c r="C10" i="1"/>
  <c r="C11" i="1" s="1"/>
  <c r="D18" i="1"/>
  <c r="C18" i="1" l="1"/>
  <c r="N4" i="1"/>
  <c r="B10" i="1"/>
  <c r="B6" i="1"/>
  <c r="S7" i="1" l="1"/>
  <c r="T7" i="1" s="1"/>
  <c r="N6" i="1"/>
  <c r="P6" i="1" s="1"/>
  <c r="N10" i="1"/>
  <c r="N11" i="1" s="1"/>
  <c r="B11" i="1"/>
  <c r="B18" i="1" s="1"/>
  <c r="N18" i="1" s="1"/>
  <c r="P7" i="1" l="1"/>
  <c r="T6" i="1"/>
  <c r="T9" i="1" s="1"/>
  <c r="U9" i="1" s="1"/>
  <c r="P9" i="1"/>
  <c r="Q8" i="1"/>
  <c r="U7" i="1"/>
  <c r="V7" i="1" s="1"/>
</calcChain>
</file>

<file path=xl/sharedStrings.xml><?xml version="1.0" encoding="utf-8"?>
<sst xmlns="http://schemas.openxmlformats.org/spreadsheetml/2006/main" count="31" uniqueCount="30">
  <si>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</si>
  <si>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</si>
  <si>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</si>
  <si>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</si>
  <si>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</si>
  <si>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</si>
  <si>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</si>
  <si>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</si>
  <si>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</si>
  <si>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</si>
  <si>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</si>
  <si>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</si>
  <si>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</si>
  <si>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</si>
  <si>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INGRESOS 2026</t>
  </si>
  <si>
    <t>OPERACIONES</t>
  </si>
  <si>
    <t>COMERCIAL OBJETIVOS</t>
  </si>
  <si>
    <t>COMERCIAL QRO // RECUPERACION</t>
  </si>
  <si>
    <t>VENTAS TOTALES</t>
  </si>
  <si>
    <t>I</t>
  </si>
  <si>
    <t>C</t>
  </si>
  <si>
    <t>COSTO</t>
  </si>
  <si>
    <t>G</t>
  </si>
  <si>
    <t>COSTO OPERATIVO</t>
  </si>
  <si>
    <t>COSTO COMERCIAL</t>
  </si>
  <si>
    <t>COSTO TOTAL</t>
  </si>
  <si>
    <t>GASTOS</t>
  </si>
  <si>
    <t>GASTOS GENERALES</t>
  </si>
  <si>
    <t>JGE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</si>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</sst>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0" xfId="0" applyFont="1" applyFill="1"/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2" fillId="4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/>
    </xf>
    <xf numFmtId="44" fontId="0" fillId="2" borderId="0" xfId="1" applyFont="1" applyFill="1" applyAlignment="1">
      <alignment horizontal="center"/>
    </xf>
    <xf numFmtId="44" fontId="0" fillId="2" borderId="0" xfId="3" applyFont="1" applyFill="1"/>
    <xf numFmtId="44" fontId="0" fillId="5" borderId="0" xfId="3" applyFont="1" applyFill="1"/>
    <xf numFmtId="0" fontId="2" fillId="3" borderId="0" xfId="0" applyFont="1" applyFill="1"/>
    <xf numFmtId="44" fontId="3" fillId="2" borderId="1" xfId="0" applyNumberFormat="1" applyFont="1" applyFill="1" applyBorder="1"/>
    <xf numFmtId="0" fontId="0" fillId="2" borderId="0" xfId="0" applyFill="1" applyAlignment="1">
      <alignment horizontal="center"/>
    </xf>
    <xf numFmtId="44" fontId="0" fillId="2" borderId="0" xfId="0" applyNumberFormat="1" applyFill="1"/>
    <xf numFmtId="44" fontId="0" fillId="2" borderId="0" xfId="1" applyFont="1" applyFill="1"/>
    <xf numFmtId="9" fontId="0" fillId="2" borderId="0" xfId="0" applyNumberFormat="1" applyFill="1"/>
    <xf numFmtId="9" fontId="0" fillId="2" borderId="0" xfId="2" applyFont="1" applyFill="1"/>
    <xf numFmtId="44" fontId="0" fillId="6" borderId="0" xfId="0" applyNumberFormat="1" applyFill="1"/>
  </cellXfs>
  <cellStyles count="4">
    <cellStyle name="Moneda" xfId="1" builtinId="4"/>
    <cellStyle name="Moneda 5" xfId="3" xr:uid="{BB85D5A2-2CE0-4DB5-98C4-223B64B4BAFB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evo\Downloads\PRESUPUESTO\PRESUPUESTO%202026%20FINAL.xlsx" TargetMode="External"/><Relationship Id="rId1" Type="http://schemas.openxmlformats.org/officeDocument/2006/relationships/externalLinkPath" Target="/Users/nuevo/Downloads/PRESUPUESTO/PRESUPUESTO%202026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UPUESTO 2025"/>
      <sheetName val="PRESUPUESTO CONCENTRADO"/>
      <sheetName val="CLIENTES"/>
      <sheetName val="ADMON"/>
      <sheetName val="OPERACIONES"/>
      <sheetName val="COMERCIAL"/>
      <sheetName val="CAPITAL HUMANO"/>
      <sheetName val="PROYECTOS"/>
      <sheetName val="PRESUPUESTO CONCENTRADO (2)"/>
    </sheetNames>
    <sheetDataSet>
      <sheetData sheetId="0" refreshError="1"/>
      <sheetData sheetId="1" refreshError="1"/>
      <sheetData sheetId="2" refreshError="1"/>
      <sheetData sheetId="3">
        <row r="28">
          <cell r="B28">
            <v>255840.73</v>
          </cell>
          <cell r="C28">
            <v>255665.73</v>
          </cell>
          <cell r="D28">
            <v>263165.73</v>
          </cell>
          <cell r="E28">
            <v>255665.73</v>
          </cell>
          <cell r="F28">
            <v>271165.73</v>
          </cell>
          <cell r="G28">
            <v>265665.73</v>
          </cell>
          <cell r="H28">
            <v>269165.73</v>
          </cell>
          <cell r="I28">
            <v>265665.73</v>
          </cell>
          <cell r="J28">
            <v>363165.73</v>
          </cell>
          <cell r="K28">
            <v>265665.73</v>
          </cell>
          <cell r="L28">
            <v>268965.73</v>
          </cell>
          <cell r="M28">
            <v>255665.73</v>
          </cell>
          <cell r="N28">
            <v>3255463.76</v>
          </cell>
        </row>
        <row r="33">
          <cell r="B33">
            <v>457923.11</v>
          </cell>
          <cell r="C33">
            <v>504718.45999999996</v>
          </cell>
          <cell r="D33">
            <v>513772.85</v>
          </cell>
          <cell r="E33">
            <v>639794.03</v>
          </cell>
          <cell r="F33">
            <v>635054.82999999996</v>
          </cell>
          <cell r="G33">
            <v>802566.67999999993</v>
          </cell>
          <cell r="H33">
            <v>493770.75000000006</v>
          </cell>
          <cell r="I33">
            <v>647448.14999999991</v>
          </cell>
          <cell r="J33">
            <v>550791</v>
          </cell>
          <cell r="K33">
            <v>528297</v>
          </cell>
          <cell r="L33">
            <v>550791</v>
          </cell>
          <cell r="M33">
            <v>676540.75</v>
          </cell>
          <cell r="N33">
            <v>7001468.6099999994</v>
          </cell>
        </row>
      </sheetData>
      <sheetData sheetId="4">
        <row r="20">
          <cell r="B20">
            <v>97972</v>
          </cell>
          <cell r="C20">
            <v>89472</v>
          </cell>
          <cell r="D20">
            <v>89472</v>
          </cell>
          <cell r="E20">
            <v>178472</v>
          </cell>
          <cell r="F20">
            <v>133472</v>
          </cell>
          <cell r="G20">
            <v>213472</v>
          </cell>
          <cell r="H20">
            <v>133472</v>
          </cell>
          <cell r="I20">
            <v>232782.3448275862</v>
          </cell>
          <cell r="J20">
            <v>133472</v>
          </cell>
          <cell r="K20">
            <v>133472</v>
          </cell>
          <cell r="L20">
            <v>163472</v>
          </cell>
          <cell r="M20">
            <v>186012</v>
          </cell>
          <cell r="N20">
            <v>1785014.3448275863</v>
          </cell>
        </row>
      </sheetData>
      <sheetData sheetId="5">
        <row r="11">
          <cell r="B11">
            <v>107000</v>
          </cell>
          <cell r="C11">
            <v>177000</v>
          </cell>
          <cell r="D11">
            <v>177000</v>
          </cell>
          <cell r="E11">
            <v>228000</v>
          </cell>
          <cell r="F11">
            <v>199000</v>
          </cell>
          <cell r="G11">
            <v>199000</v>
          </cell>
          <cell r="H11">
            <v>219000</v>
          </cell>
          <cell r="I11">
            <v>228000</v>
          </cell>
          <cell r="J11">
            <v>199000</v>
          </cell>
          <cell r="K11">
            <v>199000</v>
          </cell>
          <cell r="L11">
            <v>199000</v>
          </cell>
          <cell r="M11">
            <v>232000</v>
          </cell>
          <cell r="N11">
            <v>2363000</v>
          </cell>
        </row>
      </sheetData>
      <sheetData sheetId="6">
        <row r="18">
          <cell r="B18">
            <v>33854</v>
          </cell>
          <cell r="C18">
            <v>76000</v>
          </cell>
          <cell r="D18">
            <v>12000</v>
          </cell>
          <cell r="E18">
            <v>73131</v>
          </cell>
          <cell r="F18">
            <v>74500</v>
          </cell>
          <cell r="G18">
            <v>6000</v>
          </cell>
          <cell r="H18">
            <v>39797.440000000002</v>
          </cell>
          <cell r="I18">
            <v>6000</v>
          </cell>
          <cell r="J18">
            <v>12000</v>
          </cell>
          <cell r="K18">
            <v>5000</v>
          </cell>
          <cell r="L18">
            <v>88000</v>
          </cell>
          <cell r="M18">
            <v>4000</v>
          </cell>
          <cell r="N18">
            <v>430282.44</v>
          </cell>
        </row>
      </sheetData>
      <sheetData sheetId="7">
        <row r="26">
          <cell r="C26">
            <v>4000</v>
          </cell>
          <cell r="D26">
            <v>45920</v>
          </cell>
          <cell r="E26">
            <v>45920</v>
          </cell>
          <cell r="F26">
            <v>64590</v>
          </cell>
          <cell r="G26">
            <v>233940</v>
          </cell>
          <cell r="H26">
            <v>142240</v>
          </cell>
          <cell r="I26">
            <v>83740</v>
          </cell>
          <cell r="J26">
            <v>58740</v>
          </cell>
          <cell r="K26">
            <v>52890</v>
          </cell>
          <cell r="L26">
            <v>197040</v>
          </cell>
          <cell r="M26">
            <v>47040</v>
          </cell>
          <cell r="N26">
            <v>47040</v>
          </cell>
          <cell r="O26">
            <v>1023100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637B-AD4A-4102-9D30-308B4AA839A6}">
  <dimension ref="A1:V19"/>
  <sheetViews>
    <sheetView tabSelected="1" zoomScale="123" workbookViewId="0">
      <selection activeCell="A3" sqref="A3"/>
    </sheetView>
  </sheetViews>
  <sheetFormatPr baseColWidth="10" defaultRowHeight="14.4" x14ac:dyDescent="0.3"/>
  <cols>
    <col min="1" max="1" width="39.6640625" style="3" bestFit="1" customWidth="1"/>
    <col min="2" max="2" width="14.88671875" style="3" bestFit="1" customWidth="1"/>
    <col min="3" max="13" width="14.44140625" style="3" bestFit="1" customWidth="1"/>
    <col min="14" max="14" width="15.6640625" style="3" bestFit="1" customWidth="1"/>
    <col min="15" max="15" width="13.77734375" style="3" bestFit="1" customWidth="1"/>
    <col min="16" max="16" width="14.77734375" style="3" bestFit="1" customWidth="1"/>
    <col min="17" max="17" width="11.5546875" style="3"/>
    <col min="18" max="20" width="14.77734375" style="3" bestFit="1" customWidth="1"/>
    <col min="21" max="16384" width="11.5546875" style="3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2" s="5" customFormat="1" x14ac:dyDescent="0.3">
      <c r="A2" s="4" t="s">
        <v>14</v>
      </c>
    </row>
    <row r="3" spans="1:22" x14ac:dyDescent="0.3">
      <c r="A3" s="6" t="s">
        <v>15</v>
      </c>
      <c r="B3" s="7">
        <v>3000000</v>
      </c>
      <c r="C3" s="7">
        <v>3000000</v>
      </c>
      <c r="D3" s="7">
        <v>3000000</v>
      </c>
      <c r="E3" s="7">
        <v>3000000</v>
      </c>
      <c r="F3" s="7">
        <v>3000000</v>
      </c>
      <c r="G3" s="7">
        <v>3000000</v>
      </c>
      <c r="H3" s="7">
        <v>3000000</v>
      </c>
      <c r="I3" s="7">
        <v>3000000</v>
      </c>
      <c r="J3" s="7">
        <v>3000000</v>
      </c>
      <c r="K3" s="7">
        <v>3000000</v>
      </c>
      <c r="L3" s="7">
        <v>3000000</v>
      </c>
      <c r="M3" s="7">
        <v>3000000</v>
      </c>
      <c r="N3" s="7">
        <f>SUM(B3:M3)</f>
        <v>36000000</v>
      </c>
    </row>
    <row r="4" spans="1:22" x14ac:dyDescent="0.3">
      <c r="A4" s="6" t="s">
        <v>16</v>
      </c>
      <c r="B4" s="8">
        <f t="shared" ref="B4:K5" si="0">+C4/1.1</f>
        <v>1051481.6984441767</v>
      </c>
      <c r="C4" s="8">
        <f t="shared" si="0"/>
        <v>1156629.8682885945</v>
      </c>
      <c r="D4" s="8">
        <f t="shared" si="0"/>
        <v>1272292.855117454</v>
      </c>
      <c r="E4" s="8">
        <f t="shared" si="0"/>
        <v>1399522.1406291996</v>
      </c>
      <c r="F4" s="8">
        <f t="shared" si="0"/>
        <v>1539474.3546921196</v>
      </c>
      <c r="G4" s="8">
        <f t="shared" si="0"/>
        <v>1693421.7901613316</v>
      </c>
      <c r="H4" s="8">
        <f t="shared" si="0"/>
        <v>1862763.969177465</v>
      </c>
      <c r="I4" s="8">
        <f t="shared" si="0"/>
        <v>2049040.3660952116</v>
      </c>
      <c r="J4" s="8">
        <f t="shared" si="0"/>
        <v>2253944.402704733</v>
      </c>
      <c r="K4" s="8">
        <f t="shared" si="0"/>
        <v>2479338.8429752062</v>
      </c>
      <c r="L4" s="8">
        <f>+M4/1.1</f>
        <v>2727272.7272727271</v>
      </c>
      <c r="M4" s="9">
        <v>3000000</v>
      </c>
      <c r="N4" s="7">
        <f>SUM(B4:M4)</f>
        <v>22485183.01555822</v>
      </c>
    </row>
    <row r="5" spans="1:22" x14ac:dyDescent="0.3">
      <c r="A5" s="6" t="s">
        <v>17</v>
      </c>
      <c r="B5" s="8"/>
      <c r="C5" s="8"/>
      <c r="D5" s="8"/>
      <c r="E5" s="8">
        <f t="shared" si="0"/>
        <v>466507.38020973315</v>
      </c>
      <c r="F5" s="8">
        <f t="shared" si="0"/>
        <v>513158.11823070649</v>
      </c>
      <c r="G5" s="8">
        <f t="shared" si="0"/>
        <v>564473.93005377718</v>
      </c>
      <c r="H5" s="8">
        <f t="shared" si="0"/>
        <v>620921.32305915491</v>
      </c>
      <c r="I5" s="8">
        <f t="shared" si="0"/>
        <v>683013.45536507049</v>
      </c>
      <c r="J5" s="8">
        <f t="shared" si="0"/>
        <v>751314.80090157758</v>
      </c>
      <c r="K5" s="8">
        <f t="shared" si="0"/>
        <v>826446.2809917354</v>
      </c>
      <c r="L5" s="8">
        <f>+M5/1.1</f>
        <v>909090.90909090906</v>
      </c>
      <c r="M5" s="9">
        <v>1000000</v>
      </c>
      <c r="N5" s="7">
        <f>SUM(B5:M5)</f>
        <v>6334926.1979026636</v>
      </c>
    </row>
    <row r="6" spans="1:22" ht="15" thickBot="1" x14ac:dyDescent="0.35">
      <c r="A6" s="10" t="s">
        <v>18</v>
      </c>
      <c r="B6" s="11">
        <f>+B3+B4</f>
        <v>4051481.6984441765</v>
      </c>
      <c r="C6" s="11">
        <f t="shared" ref="C6:M6" si="1">+C3+C4</f>
        <v>4156629.8682885943</v>
      </c>
      <c r="D6" s="11">
        <f t="shared" si="1"/>
        <v>4272292.8551174542</v>
      </c>
      <c r="E6" s="11">
        <f t="shared" si="1"/>
        <v>4399522.1406291993</v>
      </c>
      <c r="F6" s="11">
        <f t="shared" si="1"/>
        <v>4539474.3546921201</v>
      </c>
      <c r="G6" s="11">
        <f t="shared" si="1"/>
        <v>4693421.7901613321</v>
      </c>
      <c r="H6" s="11">
        <f t="shared" si="1"/>
        <v>4862763.969177465</v>
      </c>
      <c r="I6" s="11">
        <f t="shared" si="1"/>
        <v>5049040.3660952114</v>
      </c>
      <c r="J6" s="11">
        <f t="shared" si="1"/>
        <v>5253944.4027047325</v>
      </c>
      <c r="K6" s="11">
        <f t="shared" si="1"/>
        <v>5479338.8429752067</v>
      </c>
      <c r="L6" s="11">
        <f t="shared" si="1"/>
        <v>5727272.7272727266</v>
      </c>
      <c r="M6" s="11">
        <f t="shared" si="1"/>
        <v>6000000</v>
      </c>
      <c r="N6" s="11">
        <f>+N3+N4+N5</f>
        <v>64820109.213460885</v>
      </c>
      <c r="O6" s="12" t="s">
        <v>19</v>
      </c>
      <c r="P6" s="13">
        <f>+N6</f>
        <v>64820109.213460885</v>
      </c>
      <c r="T6" s="13">
        <f>+P6</f>
        <v>64820109.213460885</v>
      </c>
    </row>
    <row r="7" spans="1:22" ht="15" thickTop="1" x14ac:dyDescent="0.3">
      <c r="O7" s="12" t="s">
        <v>20</v>
      </c>
      <c r="P7" s="14">
        <f>+P6*Q7</f>
        <v>42133070.988749579</v>
      </c>
      <c r="Q7" s="15">
        <v>0.65</v>
      </c>
      <c r="R7" s="14">
        <f>+N3*0.65</f>
        <v>23400000</v>
      </c>
      <c r="S7" s="14">
        <f>(N4+N5)*0.8</f>
        <v>23056087.370768711</v>
      </c>
      <c r="T7" s="13">
        <f>+R7+S7</f>
        <v>46456087.370768711</v>
      </c>
      <c r="U7" s="13">
        <f>+T7/T6</f>
        <v>0.71669251925791877</v>
      </c>
      <c r="V7" s="13">
        <f>+U7-1</f>
        <v>-0.28330748074208123</v>
      </c>
    </row>
    <row r="8" spans="1:22" x14ac:dyDescent="0.3">
      <c r="A8" s="4" t="s">
        <v>21</v>
      </c>
      <c r="O8" s="12" t="s">
        <v>22</v>
      </c>
      <c r="P8" s="13">
        <f>+[1]ADMON!N28+[1]ADMON!N33+[1]OPERACIONES!N20+[1]COMERCIAL!N11+'[1]CAPITAL HUMANO'!N18+[1]PROYECTOS!O26</f>
        <v>15858329.154827585</v>
      </c>
      <c r="Q8" s="16">
        <f>+P8/P6</f>
        <v>0.24465137975321957</v>
      </c>
      <c r="T8" s="13">
        <f>+P8</f>
        <v>15858329.154827585</v>
      </c>
      <c r="U8" s="13"/>
    </row>
    <row r="9" spans="1:22" x14ac:dyDescent="0.3">
      <c r="A9" s="6" t="s">
        <v>23</v>
      </c>
      <c r="B9" s="13">
        <f>(B3*0.65)</f>
        <v>1950000</v>
      </c>
      <c r="C9" s="13">
        <f t="shared" ref="C9:M9" si="2">(C3*0.65)</f>
        <v>1950000</v>
      </c>
      <c r="D9" s="13">
        <f t="shared" si="2"/>
        <v>1950000</v>
      </c>
      <c r="E9" s="13">
        <f t="shared" si="2"/>
        <v>1950000</v>
      </c>
      <c r="F9" s="13">
        <f t="shared" si="2"/>
        <v>1950000</v>
      </c>
      <c r="G9" s="13">
        <f t="shared" si="2"/>
        <v>1950000</v>
      </c>
      <c r="H9" s="13">
        <f t="shared" si="2"/>
        <v>1950000</v>
      </c>
      <c r="I9" s="13">
        <f t="shared" si="2"/>
        <v>1950000</v>
      </c>
      <c r="J9" s="13">
        <f t="shared" si="2"/>
        <v>1950000</v>
      </c>
      <c r="K9" s="13">
        <f t="shared" si="2"/>
        <v>1950000</v>
      </c>
      <c r="L9" s="13">
        <f t="shared" si="2"/>
        <v>1950000</v>
      </c>
      <c r="M9" s="13">
        <f t="shared" si="2"/>
        <v>1950000</v>
      </c>
      <c r="N9" s="7">
        <f>SUM(B9:M9)</f>
        <v>23400000</v>
      </c>
      <c r="P9" s="13">
        <f>+P6-P7-P8</f>
        <v>6828709.0698837209</v>
      </c>
      <c r="T9" s="17">
        <f>+T6-T7-T8</f>
        <v>2505692.6878645886</v>
      </c>
      <c r="U9" s="16">
        <f>+T9/T6</f>
        <v>3.86561009888617E-2</v>
      </c>
    </row>
    <row r="10" spans="1:22" x14ac:dyDescent="0.3">
      <c r="A10" s="6" t="s">
        <v>24</v>
      </c>
      <c r="B10" s="13">
        <f>(B4+B5)*0.8</f>
        <v>841185.35875534138</v>
      </c>
      <c r="C10" s="13">
        <f t="shared" ref="C10:M10" si="3">(C4+C5)*0.8</f>
        <v>925303.89463087567</v>
      </c>
      <c r="D10" s="13">
        <f t="shared" si="3"/>
        <v>1017834.2840939632</v>
      </c>
      <c r="E10" s="13">
        <f>(E4+E5)*0.8</f>
        <v>1492823.6166711461</v>
      </c>
      <c r="F10" s="13">
        <f t="shared" si="3"/>
        <v>1642105.9783382611</v>
      </c>
      <c r="G10" s="13">
        <f t="shared" si="3"/>
        <v>1806316.5761720871</v>
      </c>
      <c r="H10" s="13">
        <f t="shared" si="3"/>
        <v>1986948.2337892959</v>
      </c>
      <c r="I10" s="13">
        <f t="shared" si="3"/>
        <v>2185643.0571682258</v>
      </c>
      <c r="J10" s="13">
        <f t="shared" si="3"/>
        <v>2404207.3628850481</v>
      </c>
      <c r="K10" s="13">
        <f t="shared" si="3"/>
        <v>2644628.0991735533</v>
      </c>
      <c r="L10" s="13">
        <f t="shared" si="3"/>
        <v>2909090.9090909092</v>
      </c>
      <c r="M10" s="13">
        <f t="shared" si="3"/>
        <v>3200000</v>
      </c>
      <c r="N10" s="7">
        <f>SUM(B10:M10)</f>
        <v>23056087.370768707</v>
      </c>
    </row>
    <row r="11" spans="1:22" ht="15" thickBot="1" x14ac:dyDescent="0.35">
      <c r="A11" s="10" t="s">
        <v>25</v>
      </c>
      <c r="B11" s="11">
        <f>+B9+B10</f>
        <v>2791185.3587553413</v>
      </c>
      <c r="C11" s="11">
        <f t="shared" ref="C11:M11" si="4">+C9+C10</f>
        <v>2875303.8946308754</v>
      </c>
      <c r="D11" s="11">
        <f t="shared" si="4"/>
        <v>2967834.284093963</v>
      </c>
      <c r="E11" s="11">
        <f t="shared" si="4"/>
        <v>3442823.6166711459</v>
      </c>
      <c r="F11" s="11">
        <f t="shared" si="4"/>
        <v>3592105.9783382611</v>
      </c>
      <c r="G11" s="11">
        <f t="shared" si="4"/>
        <v>3756316.5761720873</v>
      </c>
      <c r="H11" s="11">
        <f t="shared" si="4"/>
        <v>3936948.2337892959</v>
      </c>
      <c r="I11" s="11">
        <f t="shared" si="4"/>
        <v>4135643.0571682258</v>
      </c>
      <c r="J11" s="11">
        <f t="shared" si="4"/>
        <v>4354207.3628850486</v>
      </c>
      <c r="K11" s="11">
        <f t="shared" si="4"/>
        <v>4594628.0991735533</v>
      </c>
      <c r="L11" s="11">
        <f t="shared" si="4"/>
        <v>4859090.9090909092</v>
      </c>
      <c r="M11" s="11">
        <f t="shared" si="4"/>
        <v>5150000</v>
      </c>
      <c r="N11" s="11">
        <f>+N8+N9+N10</f>
        <v>46456087.370768711</v>
      </c>
    </row>
    <row r="12" spans="1:22" ht="15" thickTop="1" x14ac:dyDescent="0.3"/>
    <row r="13" spans="1:22" x14ac:dyDescent="0.3">
      <c r="A13" s="4" t="s">
        <v>26</v>
      </c>
    </row>
    <row r="14" spans="1:22" x14ac:dyDescent="0.3">
      <c r="A14" s="6" t="s">
        <v>27</v>
      </c>
      <c r="B14" s="13">
        <f>(+[1]ADMON!B28+[1]ADMON!B33+[1]OPERACIONES!B20+[1]COMERCIAL!B11+'[1]CAPITAL HUMANO'!B18+[1]PROYECTOS!C26)-121000</f>
        <v>835589.84</v>
      </c>
      <c r="C14" s="13">
        <f>(+[1]ADMON!C28+[1]ADMON!C33+[1]OPERACIONES!C20+[1]COMERCIAL!C11+'[1]CAPITAL HUMANO'!C18+[1]PROYECTOS!D26)-121000</f>
        <v>1027776.19</v>
      </c>
      <c r="D14" s="13">
        <f>(+[1]ADMON!D28+[1]ADMON!D33+[1]OPERACIONES!D20+[1]COMERCIAL!D11+'[1]CAPITAL HUMANO'!D18+[1]PROYECTOS!E26)-121000</f>
        <v>980330.58000000007</v>
      </c>
      <c r="E14" s="13">
        <f>(+[1]ADMON!E28+[1]ADMON!E33+[1]OPERACIONES!E20+[1]COMERCIAL!E11+'[1]CAPITAL HUMANO'!E18+[1]PROYECTOS!F26)-121000</f>
        <v>1318652.76</v>
      </c>
      <c r="F14" s="13">
        <f>(+[1]ADMON!F28+[1]ADMON!F33+[1]OPERACIONES!F20+[1]COMERCIAL!F11+'[1]CAPITAL HUMANO'!F18+[1]PROYECTOS!G26)-121000</f>
        <v>1426132.56</v>
      </c>
      <c r="G14" s="13">
        <f>(+[1]ADMON!G28+[1]ADMON!G33+[1]OPERACIONES!G20+[1]COMERCIAL!G11+'[1]CAPITAL HUMANO'!G18+[1]PROYECTOS!H26)-121000</f>
        <v>1507944.41</v>
      </c>
      <c r="H14" s="13">
        <f>(+[1]ADMON!H28+[1]ADMON!H33+[1]OPERACIONES!H20+[1]COMERCIAL!H11+'[1]CAPITAL HUMANO'!H18+[1]PROYECTOS!I26)-121000</f>
        <v>1117945.92</v>
      </c>
      <c r="I14" s="13">
        <f>(+[1]ADMON!I28+[1]ADMON!I33+[1]OPERACIONES!I20+[1]COMERCIAL!I11+'[1]CAPITAL HUMANO'!I18+[1]PROYECTOS!J26)-121000</f>
        <v>1317636.2248275862</v>
      </c>
      <c r="J14" s="13">
        <f>(+[1]ADMON!J28+[1]ADMON!J33+[1]OPERACIONES!J20+[1]COMERCIAL!J11+'[1]CAPITAL HUMANO'!J18+[1]PROYECTOS!K26)-121000</f>
        <v>1190318.73</v>
      </c>
      <c r="K14" s="13">
        <f>(+[1]ADMON!K28+[1]ADMON!K33+[1]OPERACIONES!K20+[1]COMERCIAL!K11+'[1]CAPITAL HUMANO'!K18+[1]PROYECTOS!L26)-121000</f>
        <v>1207474.73</v>
      </c>
      <c r="L14" s="13">
        <f>(+[1]ADMON!L28+[1]ADMON!L33+[1]OPERACIONES!L20+[1]COMERCIAL!L11+'[1]CAPITAL HUMANO'!L18+[1]PROYECTOS!M26)-121000</f>
        <v>1196268.73</v>
      </c>
      <c r="M14" s="13">
        <f>(+[1]ADMON!M28+[1]ADMON!M33+[1]OPERACIONES!M20+[1]COMERCIAL!M11+'[1]CAPITAL HUMANO'!M18+[1]PROYECTOS!N26)-121000</f>
        <v>1280258.48</v>
      </c>
      <c r="N14" s="7">
        <f>SUM(B14:M14)</f>
        <v>14406329.154827587</v>
      </c>
    </row>
    <row r="15" spans="1:22" x14ac:dyDescent="0.3">
      <c r="A15" s="6" t="s">
        <v>28</v>
      </c>
      <c r="B15" s="13">
        <v>121000</v>
      </c>
      <c r="C15" s="13">
        <v>121000</v>
      </c>
      <c r="D15" s="13">
        <v>121000</v>
      </c>
      <c r="E15" s="13">
        <v>121000</v>
      </c>
      <c r="F15" s="13">
        <v>121000</v>
      </c>
      <c r="G15" s="13">
        <v>121000</v>
      </c>
      <c r="H15" s="13">
        <v>121000</v>
      </c>
      <c r="I15" s="13">
        <v>121000</v>
      </c>
      <c r="J15" s="13">
        <v>121000</v>
      </c>
      <c r="K15" s="13">
        <v>121000</v>
      </c>
      <c r="L15" s="13">
        <v>121000</v>
      </c>
      <c r="M15" s="13">
        <v>121000</v>
      </c>
      <c r="N15" s="7">
        <f>SUM(B15:M15)</f>
        <v>1452000</v>
      </c>
    </row>
    <row r="16" spans="1:22" ht="15" thickBot="1" x14ac:dyDescent="0.35">
      <c r="A16" s="10" t="s">
        <v>25</v>
      </c>
      <c r="B16" s="11">
        <f>+B14+B15</f>
        <v>956589.84</v>
      </c>
      <c r="C16" s="11">
        <f t="shared" ref="C16:M16" si="5">+C14+C15</f>
        <v>1148776.19</v>
      </c>
      <c r="D16" s="11">
        <f t="shared" si="5"/>
        <v>1101330.58</v>
      </c>
      <c r="E16" s="11">
        <f t="shared" si="5"/>
        <v>1439652.76</v>
      </c>
      <c r="F16" s="11">
        <f t="shared" si="5"/>
        <v>1547132.56</v>
      </c>
      <c r="G16" s="11">
        <f t="shared" si="5"/>
        <v>1628944.41</v>
      </c>
      <c r="H16" s="11">
        <f t="shared" si="5"/>
        <v>1238945.92</v>
      </c>
      <c r="I16" s="11">
        <f t="shared" si="5"/>
        <v>1438636.2248275862</v>
      </c>
      <c r="J16" s="11">
        <f t="shared" si="5"/>
        <v>1311318.73</v>
      </c>
      <c r="K16" s="11">
        <f t="shared" si="5"/>
        <v>1328474.73</v>
      </c>
      <c r="L16" s="11">
        <f t="shared" si="5"/>
        <v>1317268.73</v>
      </c>
      <c r="M16" s="11">
        <f t="shared" si="5"/>
        <v>1401258.48</v>
      </c>
      <c r="N16" s="11">
        <f>+N13+N14+N15</f>
        <v>15858329.154827587</v>
      </c>
    </row>
    <row r="17" spans="1:15" ht="15" thickTop="1" x14ac:dyDescent="0.3"/>
    <row r="18" spans="1:15" x14ac:dyDescent="0.3">
      <c r="A18" s="3" t="s">
        <v>29</v>
      </c>
      <c r="B18" s="13">
        <f>+B6-B11-B16</f>
        <v>303706.49968883523</v>
      </c>
      <c r="C18" s="13">
        <f>+C6-C11-C16</f>
        <v>132549.78365771892</v>
      </c>
      <c r="D18" s="13">
        <f>+D6-D11-D16</f>
        <v>203127.99102349114</v>
      </c>
      <c r="E18" s="13">
        <f>+E6-E11-E16</f>
        <v>-482954.23604194657</v>
      </c>
      <c r="F18" s="13">
        <f t="shared" ref="F18:M18" si="6">+F6-F11-F16</f>
        <v>-599764.18364614109</v>
      </c>
      <c r="G18" s="13">
        <f t="shared" si="6"/>
        <v>-691839.19601075514</v>
      </c>
      <c r="H18" s="13">
        <f t="shared" si="6"/>
        <v>-313130.18461183086</v>
      </c>
      <c r="I18" s="13">
        <f t="shared" si="6"/>
        <v>-525238.91590060061</v>
      </c>
      <c r="J18" s="13">
        <f t="shared" si="6"/>
        <v>-411581.6901803161</v>
      </c>
      <c r="K18" s="13">
        <f t="shared" si="6"/>
        <v>-443763.9861983466</v>
      </c>
      <c r="L18" s="13">
        <f t="shared" si="6"/>
        <v>-449086.91181818256</v>
      </c>
      <c r="M18" s="13">
        <f t="shared" si="6"/>
        <v>-551258.48</v>
      </c>
      <c r="N18" s="7">
        <f>SUM(B18:M18)</f>
        <v>-3829233.5100380741</v>
      </c>
    </row>
    <row r="19" spans="1:15" x14ac:dyDescent="0.3">
      <c r="O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Magnolia Chavez CGL 4</dc:creator>
  <cp:lastModifiedBy>Magnolia Chavez CGL 4</cp:lastModifiedBy>
  <dcterms:created xsi:type="dcterms:W3CDTF">2026-01-30T19:08:33Z</dcterms:created>
  <dcterms:modified xsi:type="dcterms:W3CDTF">2026-01-30T19:09:34Z</dcterms:modified>
</cp:coreProperties>
</file>
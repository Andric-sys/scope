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evo\Downloads\TABLEROS GERENCIALES\"/>
    </mc:Choice>
  </mc:AlternateContent>
  <xr:revisionPtr revIDLastSave="0" documentId="8_{0265693A-5137-4559-8AAD-CD377DABB4F0}" xr6:coauthVersionLast="47" xr6:coauthVersionMax="47" xr10:uidLastSave="{00000000-0000-0000-0000-000000000000}"/>
  <bookViews>
    <workbookView xWindow="-108" yWindow="-108" windowWidth="23256" windowHeight="13896" firstSheet="1" activeTab="1" xr2:uid="{A1683B26-6929-4382-B16A-245D36397742}"/>
  </bookViews>
  <sheets>
    <sheet name="2024" sheetId="7" state="hidden" r:id="rId1"/>
    <sheet name="Acumulado 2025" sheetId="1" r:id="rId2"/>
    <sheet name="Por Oficina" sheetId="2" r:id="rId3"/>
    <sheet name="Mensual por Cliente 2025" sheetId="5" r:id="rId4"/>
    <sheet name="Por Trimestre 2024" sheetId="3" r:id="rId5"/>
    <sheet name="Por Tipo" sheetId="6" r:id="rId6"/>
    <sheet name="AC202" sheetId="11" state="hidden" r:id="rId7"/>
    <sheet name="ACT2025" sheetId="15" state="hidden" r:id="rId8"/>
    <sheet name="ANALISIS " sheetId="9" r:id="rId9"/>
    <sheet name="Mensual por Cliente 2025 (2)" sheetId="10" state="hidden" r:id="rId10"/>
  </sheets>
  <definedNames>
    <definedName name="_xlnm._FilterDatabase" localSheetId="0" hidden="1">'2024'!$A$1:$H$358</definedName>
    <definedName name="_xlnm._FilterDatabase" localSheetId="6" hidden="1">'AC202'!$A$1:$J$570</definedName>
    <definedName name="_xlnm._FilterDatabase" localSheetId="7" hidden="1">'ACT2025'!$A$1:$K$856</definedName>
    <definedName name="_xlnm._FilterDatabase" localSheetId="8" hidden="1">'ANALISIS '!$A$1:$H$1252</definedName>
    <definedName name="_xlnm._FilterDatabase" localSheetId="5" hidden="1">'Por Tipo'!$B$6:$E$43</definedName>
    <definedName name="_xlnm._FilterDatabase" localSheetId="4" hidden="1">'Por Trimestre 2024'!$B$11:$G$48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3" i="9" l="1"/>
  <c r="I1253" i="9"/>
  <c r="J1253" i="9"/>
  <c r="D44" i="1"/>
  <c r="D43" i="1"/>
  <c r="D42" i="1"/>
  <c r="C41" i="6"/>
  <c r="C40" i="6"/>
  <c r="E40" i="6" s="1"/>
  <c r="C39" i="6"/>
  <c r="C22" i="6"/>
  <c r="E41" i="6"/>
  <c r="E39" i="6"/>
  <c r="F46" i="3"/>
  <c r="F45" i="3"/>
  <c r="F44" i="3"/>
  <c r="G46" i="3"/>
  <c r="G45" i="3"/>
  <c r="G44" i="3"/>
  <c r="F42" i="3"/>
  <c r="F31" i="3"/>
  <c r="F30" i="3"/>
  <c r="F27" i="3"/>
  <c r="F21" i="3"/>
  <c r="F18" i="3"/>
  <c r="F17" i="3"/>
  <c r="F15" i="3"/>
  <c r="F14" i="3"/>
  <c r="F13" i="3"/>
  <c r="F12" i="3"/>
  <c r="O41" i="5"/>
  <c r="O40" i="5"/>
  <c r="N42" i="5"/>
  <c r="M42" i="5"/>
  <c r="L42" i="5"/>
  <c r="K42" i="5"/>
  <c r="J42" i="5"/>
  <c r="I42" i="5"/>
  <c r="H42" i="5"/>
  <c r="G42" i="5"/>
  <c r="F42" i="5"/>
  <c r="E42" i="5"/>
  <c r="D42" i="5"/>
  <c r="C42" i="5"/>
  <c r="L34" i="1" l="1"/>
  <c r="L33" i="1"/>
  <c r="F43" i="3" l="1"/>
  <c r="F41" i="3"/>
  <c r="F40" i="3"/>
  <c r="F39" i="3"/>
  <c r="F38" i="3"/>
  <c r="F37" i="3"/>
  <c r="F36" i="3"/>
  <c r="F35" i="3"/>
  <c r="F34" i="3"/>
  <c r="F33" i="3"/>
  <c r="F32" i="3"/>
  <c r="F29" i="3"/>
  <c r="F28" i="3"/>
  <c r="F26" i="3"/>
  <c r="F25" i="3"/>
  <c r="F24" i="3"/>
  <c r="F23" i="3"/>
  <c r="F22" i="3"/>
  <c r="F20" i="3"/>
  <c r="F19" i="3"/>
  <c r="F16" i="3"/>
  <c r="E43" i="3"/>
  <c r="E42" i="3"/>
  <c r="D43" i="3"/>
  <c r="D42" i="3"/>
  <c r="C43" i="3"/>
  <c r="C42" i="3"/>
  <c r="O39" i="5"/>
  <c r="O38" i="5"/>
  <c r="O37" i="5"/>
  <c r="D38" i="6" s="1"/>
  <c r="E38" i="6" s="1"/>
  <c r="G42" i="3" l="1"/>
  <c r="G43" i="3"/>
  <c r="F48" i="3"/>
  <c r="O36" i="5"/>
  <c r="C37" i="6" s="1"/>
  <c r="E37" i="6" s="1"/>
  <c r="C46" i="1" l="1"/>
  <c r="D39" i="1" l="1"/>
  <c r="D40" i="1"/>
  <c r="D41" i="1"/>
  <c r="L32" i="1"/>
  <c r="E35" i="6"/>
  <c r="E41" i="3"/>
  <c r="E40" i="3"/>
  <c r="D41" i="3"/>
  <c r="D40" i="3"/>
  <c r="C41" i="3"/>
  <c r="C40" i="3"/>
  <c r="G41" i="3"/>
  <c r="G40" i="3"/>
  <c r="O34" i="5"/>
  <c r="O35" i="5"/>
  <c r="C36" i="6" s="1"/>
  <c r="E36" i="6" s="1"/>
  <c r="L31" i="1" l="1"/>
  <c r="E34" i="3"/>
  <c r="E31" i="3"/>
  <c r="E30" i="3"/>
  <c r="E28" i="3"/>
  <c r="E26" i="3"/>
  <c r="E23" i="3"/>
  <c r="E21" i="3"/>
  <c r="E20" i="3"/>
  <c r="E18" i="3"/>
  <c r="E17" i="3"/>
  <c r="E15" i="3"/>
  <c r="E14" i="3"/>
  <c r="E13" i="3"/>
  <c r="E12" i="3"/>
  <c r="C15" i="3"/>
  <c r="L23" i="1"/>
  <c r="E34" i="6"/>
  <c r="E33" i="6"/>
  <c r="E39" i="3"/>
  <c r="D39" i="3"/>
  <c r="C39" i="3"/>
  <c r="E38" i="3"/>
  <c r="D38" i="3"/>
  <c r="C38" i="3"/>
  <c r="E37" i="3"/>
  <c r="D37" i="3"/>
  <c r="C37" i="3"/>
  <c r="G37" i="3" s="1"/>
  <c r="E36" i="3"/>
  <c r="D36" i="3"/>
  <c r="C36" i="3"/>
  <c r="E35" i="3"/>
  <c r="D35" i="3"/>
  <c r="C35" i="3"/>
  <c r="D34" i="3"/>
  <c r="C34" i="3"/>
  <c r="E33" i="3"/>
  <c r="D33" i="3"/>
  <c r="C33" i="3"/>
  <c r="E32" i="3"/>
  <c r="D32" i="3"/>
  <c r="C32" i="3"/>
  <c r="D31" i="3"/>
  <c r="C31" i="3"/>
  <c r="D30" i="3"/>
  <c r="C30" i="3"/>
  <c r="E29" i="3"/>
  <c r="D29" i="3"/>
  <c r="C29" i="3"/>
  <c r="D28" i="3"/>
  <c r="C28" i="3"/>
  <c r="E27" i="3"/>
  <c r="D27" i="3"/>
  <c r="C27" i="3"/>
  <c r="D26" i="3"/>
  <c r="C26" i="3"/>
  <c r="E25" i="3"/>
  <c r="D25" i="3"/>
  <c r="C25" i="3"/>
  <c r="E24" i="3"/>
  <c r="D24" i="3"/>
  <c r="C24" i="3"/>
  <c r="D23" i="3"/>
  <c r="C23" i="3"/>
  <c r="E22" i="3"/>
  <c r="D22" i="3"/>
  <c r="C22" i="3"/>
  <c r="D21" i="3"/>
  <c r="C21" i="3"/>
  <c r="D20" i="3"/>
  <c r="C20" i="3"/>
  <c r="E19" i="3"/>
  <c r="D19" i="3"/>
  <c r="C19" i="3"/>
  <c r="D18" i="3"/>
  <c r="C18" i="3"/>
  <c r="D17" i="3"/>
  <c r="C17" i="3"/>
  <c r="E16" i="3"/>
  <c r="D16" i="3"/>
  <c r="C16" i="3"/>
  <c r="D15" i="3"/>
  <c r="D14" i="3"/>
  <c r="C14" i="3"/>
  <c r="D13" i="3"/>
  <c r="C13" i="3"/>
  <c r="D12" i="3"/>
  <c r="C12" i="3"/>
  <c r="B39" i="3"/>
  <c r="B34" i="6" s="1"/>
  <c r="B38" i="3"/>
  <c r="B33" i="6" s="1"/>
  <c r="B37" i="3"/>
  <c r="B32" i="6" s="1"/>
  <c r="B36" i="3"/>
  <c r="B31" i="6" s="1"/>
  <c r="B35" i="3"/>
  <c r="B30" i="6" s="1"/>
  <c r="B34" i="3"/>
  <c r="B29" i="6" s="1"/>
  <c r="B33" i="3"/>
  <c r="B28" i="6" s="1"/>
  <c r="B32" i="3"/>
  <c r="B27" i="6" s="1"/>
  <c r="B31" i="3"/>
  <c r="B26" i="6" s="1"/>
  <c r="B30" i="3"/>
  <c r="B25" i="6" s="1"/>
  <c r="B29" i="3"/>
  <c r="B24" i="6" s="1"/>
  <c r="B28" i="3"/>
  <c r="B23" i="6" s="1"/>
  <c r="B27" i="3"/>
  <c r="B22" i="6" s="1"/>
  <c r="B26" i="3"/>
  <c r="B21" i="6" s="1"/>
  <c r="B25" i="3"/>
  <c r="B20" i="6" s="1"/>
  <c r="B24" i="3"/>
  <c r="B19" i="6" s="1"/>
  <c r="B23" i="3"/>
  <c r="B18" i="6" s="1"/>
  <c r="B22" i="3"/>
  <c r="B17" i="6" s="1"/>
  <c r="B21" i="3"/>
  <c r="B16" i="6" s="1"/>
  <c r="B20" i="3"/>
  <c r="B15" i="6" s="1"/>
  <c r="B19" i="3"/>
  <c r="B14" i="6" s="1"/>
  <c r="B18" i="3"/>
  <c r="B13" i="6" s="1"/>
  <c r="B17" i="3"/>
  <c r="B12" i="6" s="1"/>
  <c r="B16" i="3"/>
  <c r="B11" i="6" s="1"/>
  <c r="B15" i="3"/>
  <c r="B10" i="6" s="1"/>
  <c r="B14" i="3"/>
  <c r="B9" i="6" s="1"/>
  <c r="B13" i="3"/>
  <c r="B8" i="6" s="1"/>
  <c r="B12" i="3"/>
  <c r="B7" i="6" s="1"/>
  <c r="O26" i="5"/>
  <c r="C27" i="6" s="1"/>
  <c r="E27" i="6" s="1"/>
  <c r="O33" i="5"/>
  <c r="O32" i="5"/>
  <c r="O31" i="5"/>
  <c r="D32" i="6" s="1"/>
  <c r="E32" i="6" s="1"/>
  <c r="O30" i="5"/>
  <c r="D31" i="6" s="1"/>
  <c r="E31" i="6" s="1"/>
  <c r="O29" i="5"/>
  <c r="D30" i="6" s="1"/>
  <c r="O28" i="5"/>
  <c r="D29" i="6" s="1"/>
  <c r="O27" i="5"/>
  <c r="D28" i="6" s="1"/>
  <c r="O25" i="5"/>
  <c r="C26" i="6" s="1"/>
  <c r="O24" i="5"/>
  <c r="D25" i="6" s="1"/>
  <c r="O23" i="5"/>
  <c r="O22" i="5"/>
  <c r="D23" i="6" s="1"/>
  <c r="O21" i="5"/>
  <c r="O20" i="5"/>
  <c r="D21" i="6" s="1"/>
  <c r="O19" i="5"/>
  <c r="D20" i="6" s="1"/>
  <c r="O18" i="5"/>
  <c r="D19" i="6" s="1"/>
  <c r="L30" i="1"/>
  <c r="G39" i="3" l="1"/>
  <c r="E48" i="3"/>
  <c r="D48" i="3"/>
  <c r="G38" i="3"/>
  <c r="D38" i="1" l="1"/>
  <c r="D37" i="1"/>
  <c r="D12" i="1"/>
  <c r="D32" i="1"/>
  <c r="D13" i="1"/>
  <c r="D33" i="1"/>
  <c r="D14" i="1"/>
  <c r="D34" i="1"/>
  <c r="D15" i="1"/>
  <c r="D35" i="1"/>
  <c r="D16" i="1"/>
  <c r="D3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1" i="1"/>
  <c r="E30" i="6"/>
  <c r="E29" i="6"/>
  <c r="E28" i="6"/>
  <c r="E26" i="6"/>
  <c r="E25" i="6"/>
  <c r="E24" i="6"/>
  <c r="E23" i="6"/>
  <c r="E22" i="6"/>
  <c r="E21" i="6"/>
  <c r="E20" i="6"/>
  <c r="E19" i="6"/>
  <c r="E11" i="6"/>
  <c r="G32" i="3"/>
  <c r="O17" i="5"/>
  <c r="D18" i="6" s="1"/>
  <c r="E18" i="6" s="1"/>
  <c r="O6" i="5"/>
  <c r="D7" i="6" s="1"/>
  <c r="E7" i="6" s="1"/>
  <c r="K35" i="1"/>
  <c r="L29" i="1"/>
  <c r="C47" i="1" l="1"/>
  <c r="G34" i="3"/>
  <c r="G36" i="3"/>
  <c r="G33" i="3"/>
  <c r="O7" i="5"/>
  <c r="D8" i="6" s="1"/>
  <c r="O13" i="5"/>
  <c r="D14" i="6" s="1"/>
  <c r="E14" i="6" s="1"/>
  <c r="L27" i="1"/>
  <c r="E8" i="6" l="1"/>
  <c r="G35" i="3"/>
  <c r="L26" i="1"/>
  <c r="G30" i="3" l="1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L25" i="1"/>
  <c r="L24" i="1" l="1"/>
  <c r="G31" i="3"/>
  <c r="O16" i="5"/>
  <c r="D17" i="6" s="1"/>
  <c r="E17" i="6" s="1"/>
  <c r="O15" i="5"/>
  <c r="O12" i="5"/>
  <c r="D13" i="6" s="1"/>
  <c r="D16" i="6" l="1"/>
  <c r="E16" i="6" s="1"/>
  <c r="E13" i="6"/>
  <c r="C48" i="3"/>
  <c r="M49" i="10"/>
  <c r="L49" i="10"/>
  <c r="K49" i="10"/>
  <c r="J49" i="10"/>
  <c r="I49" i="10"/>
  <c r="H49" i="10"/>
  <c r="G49" i="10"/>
  <c r="F49" i="10"/>
  <c r="E49" i="10"/>
  <c r="D49" i="10"/>
  <c r="C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N7" i="10"/>
  <c r="O7" i="10" s="1"/>
  <c r="N6" i="10"/>
  <c r="O6" i="10" s="1"/>
  <c r="B4" i="10"/>
  <c r="O49" i="10" l="1"/>
  <c r="N49" i="10"/>
  <c r="O10" i="5"/>
  <c r="O14" i="5"/>
  <c r="C15" i="6" s="1"/>
  <c r="C43" i="6" s="1"/>
  <c r="O9" i="5"/>
  <c r="D10" i="6" s="1"/>
  <c r="E10" i="6" s="1"/>
  <c r="O11" i="5"/>
  <c r="D12" i="6" s="1"/>
  <c r="O8" i="5"/>
  <c r="D24" i="2"/>
  <c r="C24" i="2"/>
  <c r="D9" i="6" l="1"/>
  <c r="O42" i="5"/>
  <c r="E9" i="6"/>
  <c r="D43" i="6"/>
  <c r="E15" i="6"/>
  <c r="E12" i="6"/>
  <c r="E23" i="2"/>
  <c r="I35" i="1"/>
  <c r="G23" i="1" s="1"/>
  <c r="E43" i="6" l="1"/>
  <c r="D10" i="1"/>
  <c r="E22" i="2"/>
  <c r="J25" i="3" l="1"/>
  <c r="E21" i="2"/>
  <c r="J24" i="3" l="1"/>
  <c r="J28" i="1" l="1"/>
  <c r="J35" i="1" l="1"/>
  <c r="L35" i="1" s="1"/>
  <c r="L28" i="1"/>
  <c r="M9" i="7"/>
  <c r="L9" i="7"/>
  <c r="N9" i="7" s="1"/>
  <c r="G13" i="3" l="1"/>
  <c r="G12" i="3"/>
  <c r="G48" i="3" l="1"/>
  <c r="B4" i="5"/>
  <c r="G29" i="1" l="1"/>
  <c r="G34" i="1"/>
  <c r="G32" i="1"/>
  <c r="G33" i="1"/>
  <c r="E20" i="2"/>
  <c r="G31" i="1"/>
  <c r="E18" i="2" l="1"/>
  <c r="E19" i="2"/>
  <c r="G30" i="1" l="1"/>
  <c r="E17" i="2" l="1"/>
  <c r="H24" i="6"/>
  <c r="H23" i="6"/>
  <c r="J23" i="3"/>
  <c r="J22" i="3"/>
  <c r="E16" i="2"/>
  <c r="E15" i="2"/>
  <c r="E14" i="2"/>
  <c r="E13" i="2"/>
  <c r="E12" i="2"/>
  <c r="E24" i="2" l="1"/>
  <c r="D27" i="2" s="1"/>
  <c r="J26" i="3"/>
  <c r="K25" i="3" s="1"/>
  <c r="G28" i="1"/>
  <c r="G26" i="1"/>
  <c r="H25" i="6"/>
  <c r="I24" i="6" s="1"/>
  <c r="G24" i="1"/>
  <c r="G27" i="1"/>
  <c r="G25" i="1"/>
  <c r="C27" i="2" l="1"/>
  <c r="K24" i="3"/>
  <c r="E47" i="6"/>
  <c r="K22" i="3"/>
  <c r="I23" i="6"/>
  <c r="K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Magnolia CGL</author>
  </authors>
  <commentList>
    <comment ref="G13" authorId="0" shapeId="0" xr:uid="{AF7383EB-F477-4D82-A194-288F4E0C609F}">
      <text>
        <r>
          <rPr>
            <b/>
            <sz val="9"/>
            <color indexed="81"/>
            <rFont val="Tahoma"/>
            <family val="2"/>
          </rPr>
          <t>Magnolia CGL:</t>
        </r>
        <r>
          <rPr>
            <sz val="9"/>
            <color indexed="81"/>
            <rFont val="Tahoma"/>
            <family val="2"/>
          </rPr>
          <t xml:space="preserve">
583471.45
Se cancela la operación de Mayo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Magnolia CGL</author>
  </authors>
  <commentList>
    <comment ref="G374" authorId="0" shapeId="0" xr:uid="{84FD8376-052B-4619-9D17-6EE8EE7FFEC1}">
      <text>
        <r>
          <rPr>
            <b/>
            <sz val="9"/>
            <color indexed="81"/>
            <rFont val="Tahoma"/>
            <family val="2"/>
          </rPr>
          <t>Magnolia CGL:</t>
        </r>
        <r>
          <rPr>
            <sz val="9"/>
            <color indexed="81"/>
            <rFont val="Tahoma"/>
            <family val="2"/>
          </rPr>
          <t xml:space="preserve">
Cancelada y re facturada en Julio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Magnolia CGL</author>
  </authors>
  <commentList>
    <comment ref="H374" authorId="0" shapeId="0" xr:uid="{C2EC6721-12B5-4462-AF22-F5AD701E3FAC}">
      <text>
        <r>
          <rPr>
            <b/>
            <sz val="9"/>
            <color indexed="81"/>
            <rFont val="Tahoma"/>
            <family val="2"/>
          </rPr>
          <t>Magnolia CGL:</t>
        </r>
        <r>
          <rPr>
            <sz val="9"/>
            <color indexed="81"/>
            <rFont val="Tahoma"/>
            <family val="2"/>
          </rPr>
          <t xml:space="preserve">
583471.45</t>
        </r>
      </text>
    </comment>
  </commentList>
</comments>
</file>

<file path=xl/sharedStrings.xml><?xml version="1.0" encoding="utf-8"?>
<sst xmlns="http://schemas.openxmlformats.org/spreadsheetml/2006/main" count="26235" uniqueCount="3332">
  <si>
    <t>CORE GLOBAL LOGISTICS MANAGEMENT, S.A. DE C.V.</t>
  </si>
  <si>
    <t>CIFRAS EXPRESADAS EN PESOS SIN IVA</t>
  </si>
  <si>
    <t>NOMBRE DEL CLIENTE</t>
  </si>
  <si>
    <t>MONTO FACTURADO</t>
  </si>
  <si>
    <t>Enero</t>
  </si>
  <si>
    <t>Febrero</t>
  </si>
  <si>
    <t>Marzo</t>
  </si>
  <si>
    <t>Abril</t>
  </si>
  <si>
    <t>Mayo</t>
  </si>
  <si>
    <t>TOTAL</t>
  </si>
  <si>
    <t>ARMOR MEXICO IMAGING SUPPLIES</t>
  </si>
  <si>
    <t>CLEVELAND DIE QUERETARO</t>
  </si>
  <si>
    <t>COLEP</t>
  </si>
  <si>
    <t>DISTRIBUIDORA DE HERRAMIENTAS UNICORNIO</t>
  </si>
  <si>
    <t>HAHN AUTOMATION</t>
  </si>
  <si>
    <t>IMPORTADORA MARLOP</t>
  </si>
  <si>
    <t>MEGALUMINIO SERVICIOS</t>
  </si>
  <si>
    <t>SELLOS Y RETENES DE SAN LUIS</t>
  </si>
  <si>
    <t>SISTEMAS ACAO</t>
  </si>
  <si>
    <t>WEENER PLASTICS</t>
  </si>
  <si>
    <t>ZETRAK</t>
  </si>
  <si>
    <t>Nuevo Laredo</t>
  </si>
  <si>
    <t>Veracruz</t>
  </si>
  <si>
    <t>Total general</t>
  </si>
  <si>
    <t>Mes</t>
  </si>
  <si>
    <t>Oficina</t>
  </si>
  <si>
    <t>CORE GLOBAL LOGISTICS MANAGEMENT SA DE CV</t>
  </si>
  <si>
    <t>T1</t>
  </si>
  <si>
    <t>T2</t>
  </si>
  <si>
    <t>T3</t>
  </si>
  <si>
    <t>T4</t>
  </si>
  <si>
    <t>Trimestre 1</t>
  </si>
  <si>
    <t>Trimestre 2</t>
  </si>
  <si>
    <t>OCTUBRE</t>
  </si>
  <si>
    <t>NOVIEMBRE</t>
  </si>
  <si>
    <t>ABRIL</t>
  </si>
  <si>
    <t>MAYO</t>
  </si>
  <si>
    <t>FACTURACIÓN MENSUAL POR CLIENTE</t>
  </si>
  <si>
    <t>ENERO</t>
  </si>
  <si>
    <t>FEBRERO</t>
  </si>
  <si>
    <t>MARZO</t>
  </si>
  <si>
    <t>JUNIO</t>
  </si>
  <si>
    <t>JULIO</t>
  </si>
  <si>
    <t>AGOSTO</t>
  </si>
  <si>
    <t>SEPTIEMBRE</t>
  </si>
  <si>
    <t>DICIEMBRE</t>
  </si>
  <si>
    <t>NUEVAS</t>
  </si>
  <si>
    <t>ORDINARIAS</t>
  </si>
  <si>
    <t>Ordinarias</t>
  </si>
  <si>
    <t>Junio</t>
  </si>
  <si>
    <t>Julio</t>
  </si>
  <si>
    <t>DEL 1ER , 2DO  Y 3ER TRIMESTRE</t>
  </si>
  <si>
    <t>Trimestre 3</t>
  </si>
  <si>
    <t xml:space="preserve">NAPS-GUANAJUATO WARREN </t>
  </si>
  <si>
    <t>Agosto</t>
  </si>
  <si>
    <t>TENDENCIA INTERIOR</t>
  </si>
  <si>
    <t>Septiembre</t>
  </si>
  <si>
    <t>Sepiembre</t>
  </si>
  <si>
    <t>Octubre</t>
  </si>
  <si>
    <t xml:space="preserve">Noviembre </t>
  </si>
  <si>
    <t>Diciembre</t>
  </si>
  <si>
    <t>MES</t>
  </si>
  <si>
    <t xml:space="preserve">NAPS-GUANAJUATO AMERICAN BOA </t>
  </si>
  <si>
    <t xml:space="preserve">NAPS-GUANAJUATO CAM </t>
  </si>
  <si>
    <t>ALMACENES GENERALES VALENCIA SL</t>
  </si>
  <si>
    <t>RHINO MINING SUPPLY</t>
  </si>
  <si>
    <t>OCEANIKA 21 INC</t>
  </si>
  <si>
    <t>NOVANDI</t>
  </si>
  <si>
    <t>NAPS-GUANAJUATO WARREN</t>
  </si>
  <si>
    <t>MAV INGENIEROS CONSULTORES Y ASOCIADOS</t>
  </si>
  <si>
    <t>OFICINA</t>
  </si>
  <si>
    <t>FACTURA</t>
  </si>
  <si>
    <t>TRAFICO</t>
  </si>
  <si>
    <t>FECHA</t>
  </si>
  <si>
    <t>CLIENTE</t>
  </si>
  <si>
    <t>CLIENTENOMBRE</t>
  </si>
  <si>
    <t>IMPORTE</t>
  </si>
  <si>
    <t>Total Facturado</t>
  </si>
  <si>
    <t>2-001265</t>
  </si>
  <si>
    <t>2-001273</t>
  </si>
  <si>
    <t>2-001271</t>
  </si>
  <si>
    <t>2-001269</t>
  </si>
  <si>
    <t>2-001272</t>
  </si>
  <si>
    <t>2-001268</t>
  </si>
  <si>
    <t>1-001270</t>
  </si>
  <si>
    <t>2-001267</t>
  </si>
  <si>
    <t>2-001274</t>
  </si>
  <si>
    <t>2-001316</t>
  </si>
  <si>
    <t>1-001283</t>
  </si>
  <si>
    <t>2-001306</t>
  </si>
  <si>
    <t>2-001311</t>
  </si>
  <si>
    <t>1-001284</t>
  </si>
  <si>
    <t>1-001285</t>
  </si>
  <si>
    <t>2-001328</t>
  </si>
  <si>
    <t>1-001308</t>
  </si>
  <si>
    <t>1-001318</t>
  </si>
  <si>
    <t>2-001341</t>
  </si>
  <si>
    <t>2-001307</t>
  </si>
  <si>
    <t>2-001309</t>
  </si>
  <si>
    <t>1-001290</t>
  </si>
  <si>
    <t>2-001334</t>
  </si>
  <si>
    <t>2-001295</t>
  </si>
  <si>
    <t>1-001326</t>
  </si>
  <si>
    <t>2-001288</t>
  </si>
  <si>
    <t>2-001314</t>
  </si>
  <si>
    <t>2-001296</t>
  </si>
  <si>
    <t>2-001317</t>
  </si>
  <si>
    <t>2-001321</t>
  </si>
  <si>
    <t>1-001293</t>
  </si>
  <si>
    <t>2-001278</t>
  </si>
  <si>
    <t>2-001303</t>
  </si>
  <si>
    <t>2-001310</t>
  </si>
  <si>
    <t>2-001322</t>
  </si>
  <si>
    <t>1-001286</t>
  </si>
  <si>
    <t>2-001337</t>
  </si>
  <si>
    <t>1-001312</t>
  </si>
  <si>
    <t>2-001332</t>
  </si>
  <si>
    <t>2-001320</t>
  </si>
  <si>
    <t>2-001315</t>
  </si>
  <si>
    <t>2-001300</t>
  </si>
  <si>
    <t>2-001340</t>
  </si>
  <si>
    <t>2-001302</t>
  </si>
  <si>
    <t>2-001277</t>
  </si>
  <si>
    <t>2-001298</t>
  </si>
  <si>
    <t>1-001281</t>
  </si>
  <si>
    <t>2-001297</t>
  </si>
  <si>
    <t>2-001333</t>
  </si>
  <si>
    <t>1-001292</t>
  </si>
  <si>
    <t>2-001304</t>
  </si>
  <si>
    <t>1-001319</t>
  </si>
  <si>
    <t>1-001301</t>
  </si>
  <si>
    <t>2-001335</t>
  </si>
  <si>
    <t>1-001276</t>
  </si>
  <si>
    <t>1-001275</t>
  </si>
  <si>
    <t>2-001336</t>
  </si>
  <si>
    <t>2-001289</t>
  </si>
  <si>
    <t>2-001299</t>
  </si>
  <si>
    <t>2-001280</t>
  </si>
  <si>
    <t>2-001338</t>
  </si>
  <si>
    <t>1-001327</t>
  </si>
  <si>
    <t>1-001291</t>
  </si>
  <si>
    <t>2-001323</t>
  </si>
  <si>
    <t>2-001339</t>
  </si>
  <si>
    <t>1-001313</t>
  </si>
  <si>
    <t>2-001342</t>
  </si>
  <si>
    <t>2-001329</t>
  </si>
  <si>
    <t>1-001305</t>
  </si>
  <si>
    <t>1-001282</t>
  </si>
  <si>
    <t>1-001294</t>
  </si>
  <si>
    <t>1-001279</t>
  </si>
  <si>
    <t>2-001343</t>
  </si>
  <si>
    <t>2-001346</t>
  </si>
  <si>
    <t>2-001347</t>
  </si>
  <si>
    <t>2-001345</t>
  </si>
  <si>
    <t>2-001344</t>
  </si>
  <si>
    <t>2-001348</t>
  </si>
  <si>
    <t>2-001349</t>
  </si>
  <si>
    <t>2-001350</t>
  </si>
  <si>
    <t>2-001354</t>
  </si>
  <si>
    <t>2-001352</t>
  </si>
  <si>
    <t>2-001353</t>
  </si>
  <si>
    <t>2-001358</t>
  </si>
  <si>
    <t>2-001356</t>
  </si>
  <si>
    <t>2-001355</t>
  </si>
  <si>
    <t>2-001357</t>
  </si>
  <si>
    <t>1-001359</t>
  </si>
  <si>
    <t>2-001364</t>
  </si>
  <si>
    <t>1-001361</t>
  </si>
  <si>
    <t>2-001363</t>
  </si>
  <si>
    <t>1-001360</t>
  </si>
  <si>
    <t>2-001362</t>
  </si>
  <si>
    <t>2-001369</t>
  </si>
  <si>
    <t>2-001368</t>
  </si>
  <si>
    <t>1-001365</t>
  </si>
  <si>
    <t>1-001367</t>
  </si>
  <si>
    <t>2-001370</t>
  </si>
  <si>
    <t>2-001371</t>
  </si>
  <si>
    <t>2-001376</t>
  </si>
  <si>
    <t>1-001374</t>
  </si>
  <si>
    <t>1-001372</t>
  </si>
  <si>
    <t>2-001377</t>
  </si>
  <si>
    <t>1-001375</t>
  </si>
  <si>
    <t>2-001373</t>
  </si>
  <si>
    <t>2-001378</t>
  </si>
  <si>
    <t>2-001383</t>
  </si>
  <si>
    <t>2-001381</t>
  </si>
  <si>
    <t>2-001386</t>
  </si>
  <si>
    <t>2-001385</t>
  </si>
  <si>
    <t>2-001382</t>
  </si>
  <si>
    <t>2-001379</t>
  </si>
  <si>
    <t>2-001384</t>
  </si>
  <si>
    <t>1-001380</t>
  </si>
  <si>
    <t>1-001389</t>
  </si>
  <si>
    <t>2-001387</t>
  </si>
  <si>
    <t>2-001396</t>
  </si>
  <si>
    <t>1-001399</t>
  </si>
  <si>
    <t>1-001394</t>
  </si>
  <si>
    <t>2-001390</t>
  </si>
  <si>
    <t>1-001388</t>
  </si>
  <si>
    <t>1-001395</t>
  </si>
  <si>
    <t>1-001393</t>
  </si>
  <si>
    <t>2-001397</t>
  </si>
  <si>
    <t>2-001392</t>
  </si>
  <si>
    <t>1-001398</t>
  </si>
  <si>
    <t>1-001401</t>
  </si>
  <si>
    <t>2-001403</t>
  </si>
  <si>
    <t>2-001404</t>
  </si>
  <si>
    <t>2-001405</t>
  </si>
  <si>
    <t>2-001402</t>
  </si>
  <si>
    <t>2-001412</t>
  </si>
  <si>
    <t>2-001418</t>
  </si>
  <si>
    <t>2-001414</t>
  </si>
  <si>
    <t>2-001420</t>
  </si>
  <si>
    <t>1-001406</t>
  </si>
  <si>
    <t>2-001416</t>
  </si>
  <si>
    <t>2-001417</t>
  </si>
  <si>
    <t>2-001408</t>
  </si>
  <si>
    <t>2-001419</t>
  </si>
  <si>
    <t>2-001413</t>
  </si>
  <si>
    <t>2-001411</t>
  </si>
  <si>
    <t>2-001409</t>
  </si>
  <si>
    <t>2-001415</t>
  </si>
  <si>
    <t>1-001407</t>
  </si>
  <si>
    <t>CGL24011266</t>
  </si>
  <si>
    <t>CGL24021361</t>
  </si>
  <si>
    <t>CGL24011292</t>
  </si>
  <si>
    <t>CGL24021376</t>
  </si>
  <si>
    <t>CGL24011291</t>
  </si>
  <si>
    <t>CGL24011264</t>
  </si>
  <si>
    <t>CGL24011315</t>
  </si>
  <si>
    <t>CGL24021385</t>
  </si>
  <si>
    <t>CGL24011224</t>
  </si>
  <si>
    <t>CGL23111119</t>
  </si>
  <si>
    <t>CGL23060632</t>
  </si>
  <si>
    <t>CGL23111093</t>
  </si>
  <si>
    <t>CGL23111108</t>
  </si>
  <si>
    <t>CGL23080841</t>
  </si>
  <si>
    <t>CGL24021353</t>
  </si>
  <si>
    <t>CGL23090927</t>
  </si>
  <si>
    <t>CGL23121217</t>
  </si>
  <si>
    <t>CGL24021371</t>
  </si>
  <si>
    <t>CGL23111092</t>
  </si>
  <si>
    <t>CGL23111106</t>
  </si>
  <si>
    <t>CGL23080766</t>
  </si>
  <si>
    <t>CGL24021372</t>
  </si>
  <si>
    <t>CGL23100954</t>
  </si>
  <si>
    <t>CGL23070685</t>
  </si>
  <si>
    <t>CGL23080840</t>
  </si>
  <si>
    <t>CGL23121136</t>
  </si>
  <si>
    <t>CGL23101038</t>
  </si>
  <si>
    <t>CGL23111118</t>
  </si>
  <si>
    <t>CGL24011258</t>
  </si>
  <si>
    <t>CGL23100978</t>
  </si>
  <si>
    <t>CGL23060556</t>
  </si>
  <si>
    <t>CGL23111059</t>
  </si>
  <si>
    <t>CGL23111107</t>
  </si>
  <si>
    <t>CGL24011257</t>
  </si>
  <si>
    <t>CGL24021325</t>
  </si>
  <si>
    <t>CGL23121166</t>
  </si>
  <si>
    <t>CGL24021332</t>
  </si>
  <si>
    <t>CGL24011240</t>
  </si>
  <si>
    <t>CGL23121146</t>
  </si>
  <si>
    <t>CGL23101006</t>
  </si>
  <si>
    <t>CGL24011279</t>
  </si>
  <si>
    <t>CGL23111060</t>
  </si>
  <si>
    <t>CGL23030316</t>
  </si>
  <si>
    <t>CGL23101035</t>
  </si>
  <si>
    <t>CGL23060566</t>
  </si>
  <si>
    <t>CGL23101036</t>
  </si>
  <si>
    <t>CGL24021396</t>
  </si>
  <si>
    <t>CGL23101032</t>
  </si>
  <si>
    <t>CGL23111088</t>
  </si>
  <si>
    <t>CGL23060568</t>
  </si>
  <si>
    <t>CGL23111089</t>
  </si>
  <si>
    <t>CGL24021397</t>
  </si>
  <si>
    <t>CGL23040313</t>
  </si>
  <si>
    <t>CGL24021320</t>
  </si>
  <si>
    <t>CGL24021324</t>
  </si>
  <si>
    <t>CGL23090886</t>
  </si>
  <si>
    <t>CGL23101007</t>
  </si>
  <si>
    <t>CGL23070759</t>
  </si>
  <si>
    <t>CGL24021399</t>
  </si>
  <si>
    <t>CGL23060633</t>
  </si>
  <si>
    <t>CGL23070687</t>
  </si>
  <si>
    <t>CGL24011238</t>
  </si>
  <si>
    <t>CGL24011278</t>
  </si>
  <si>
    <t>CGL23121167</t>
  </si>
  <si>
    <t>CGL24021398</t>
  </si>
  <si>
    <t>CGL24021387</t>
  </si>
  <si>
    <t>CGL23111073</t>
  </si>
  <si>
    <t>CGL23060567</t>
  </si>
  <si>
    <t>CGL23101001</t>
  </si>
  <si>
    <t>CGL23070651</t>
  </si>
  <si>
    <t>CGL24021347</t>
  </si>
  <si>
    <t>CGL24021340</t>
  </si>
  <si>
    <t>CGL24021367</t>
  </si>
  <si>
    <t>CGL24021379</t>
  </si>
  <si>
    <t>CGL24021419</t>
  </si>
  <si>
    <t>CGL24011295</t>
  </si>
  <si>
    <t>CGL24021364</t>
  </si>
  <si>
    <t>CGL24021392</t>
  </si>
  <si>
    <t>CGL24021407</t>
  </si>
  <si>
    <t>CGL23121155</t>
  </si>
  <si>
    <t>CGL24021362</t>
  </si>
  <si>
    <t>CGL24021400</t>
  </si>
  <si>
    <t>CGL24021416</t>
  </si>
  <si>
    <t>CGL24021331</t>
  </si>
  <si>
    <t>CGL24021373</t>
  </si>
  <si>
    <t>CGL24021355</t>
  </si>
  <si>
    <t>CGL24031451</t>
  </si>
  <si>
    <t>CGL24011301</t>
  </si>
  <si>
    <t>CGL24031445</t>
  </si>
  <si>
    <t>CGL24021334</t>
  </si>
  <si>
    <t>CGL24021329</t>
  </si>
  <si>
    <t>CGL24021415</t>
  </si>
  <si>
    <t>CGL24021412</t>
  </si>
  <si>
    <t>CGL24021317</t>
  </si>
  <si>
    <t>CGL24031491</t>
  </si>
  <si>
    <t>CGL24031441</t>
  </si>
  <si>
    <t>CGL24021381</t>
  </si>
  <si>
    <t>CGL24021349</t>
  </si>
  <si>
    <t>CGL24021366</t>
  </si>
  <si>
    <t>CGL24021326</t>
  </si>
  <si>
    <t>CGL24021402</t>
  </si>
  <si>
    <t>CGL24021408</t>
  </si>
  <si>
    <t>CGL24021348</t>
  </si>
  <si>
    <t>CGL24021401</t>
  </si>
  <si>
    <t>CGL24011304</t>
  </si>
  <si>
    <t>CGL24021382</t>
  </si>
  <si>
    <t>CGL24011267</t>
  </si>
  <si>
    <t>CGL24031426</t>
  </si>
  <si>
    <t>CGL24031485</t>
  </si>
  <si>
    <t>CGL24021374</t>
  </si>
  <si>
    <t>CGL23121145</t>
  </si>
  <si>
    <t>CGL24011253</t>
  </si>
  <si>
    <t>CGL24021378</t>
  </si>
  <si>
    <t>CGL24011316</t>
  </si>
  <si>
    <t>CGL24021356</t>
  </si>
  <si>
    <t>CGL24031420</t>
  </si>
  <si>
    <t>CGL24031422</t>
  </si>
  <si>
    <t>CGL24021318</t>
  </si>
  <si>
    <t>CGL24021418</t>
  </si>
  <si>
    <t>CGL24021363</t>
  </si>
  <si>
    <t>CGL24021377</t>
  </si>
  <si>
    <t>CGL24031433</t>
  </si>
  <si>
    <t>CGL24011261</t>
  </si>
  <si>
    <t>CGL24021390</t>
  </si>
  <si>
    <t>CGL24031425</t>
  </si>
  <si>
    <t>CGL24031452</t>
  </si>
  <si>
    <t>CGL24031447</t>
  </si>
  <si>
    <t>CGL24031430</t>
  </si>
  <si>
    <t>CGL24031459</t>
  </si>
  <si>
    <t>CGL24031456</t>
  </si>
  <si>
    <t>CGL24031423</t>
  </si>
  <si>
    <t>CGL24031494</t>
  </si>
  <si>
    <t>CGL24031438</t>
  </si>
  <si>
    <t>CGL24031492</t>
  </si>
  <si>
    <t>CGL24031471</t>
  </si>
  <si>
    <t>CGL24031429</t>
  </si>
  <si>
    <t>CGL24011270</t>
  </si>
  <si>
    <t>CGL24031458</t>
  </si>
  <si>
    <t>CGL24031427</t>
  </si>
  <si>
    <t>CGL24031450</t>
  </si>
  <si>
    <t>CGL24031454</t>
  </si>
  <si>
    <t>CGL24021409</t>
  </si>
  <si>
    <t>JOINT PRODUCTION</t>
  </si>
  <si>
    <t>JOSE SALAS RAMIREZ</t>
  </si>
  <si>
    <t>TERLUSO</t>
  </si>
  <si>
    <t>C0051</t>
  </si>
  <si>
    <t>C0003</t>
  </si>
  <si>
    <t>C0002</t>
  </si>
  <si>
    <t>C0069</t>
  </si>
  <si>
    <t>C0001</t>
  </si>
  <si>
    <t>C0070</t>
  </si>
  <si>
    <t>C0024</t>
  </si>
  <si>
    <t>C0004</t>
  </si>
  <si>
    <t>C0005</t>
  </si>
  <si>
    <t>C0071</t>
  </si>
  <si>
    <t>C0064</t>
  </si>
  <si>
    <t xml:space="preserve">Marzo </t>
  </si>
  <si>
    <t>C0033</t>
  </si>
  <si>
    <t>CORE GLOBAL TRADING LLC</t>
  </si>
  <si>
    <t>07/03/2024</t>
  </si>
  <si>
    <t>21/03/2024</t>
  </si>
  <si>
    <t>26/03/2024</t>
  </si>
  <si>
    <t>1-001287</t>
  </si>
  <si>
    <t>1-001366</t>
  </si>
  <si>
    <t>3-001391</t>
  </si>
  <si>
    <t>CGL24031424</t>
  </si>
  <si>
    <t>CGL240300001-2024/03</t>
  </si>
  <si>
    <t>VER</t>
  </si>
  <si>
    <t>QRO</t>
  </si>
  <si>
    <t>NLD</t>
  </si>
  <si>
    <t>2-001421</t>
  </si>
  <si>
    <t>CGL24031448</t>
  </si>
  <si>
    <t>1-001424</t>
  </si>
  <si>
    <t>CGL24021339</t>
  </si>
  <si>
    <t>2-001425</t>
  </si>
  <si>
    <t>CGL24031495</t>
  </si>
  <si>
    <t>2-001426</t>
  </si>
  <si>
    <t>CGL24031467</t>
  </si>
  <si>
    <t>2-001423</t>
  </si>
  <si>
    <t>CGL24031468</t>
  </si>
  <si>
    <t>1-001430</t>
  </si>
  <si>
    <t>CGL24011309</t>
  </si>
  <si>
    <t>2-001436</t>
  </si>
  <si>
    <t>CGL24021395</t>
  </si>
  <si>
    <t>2-001433</t>
  </si>
  <si>
    <t>CGL24021388</t>
  </si>
  <si>
    <t>2-001434</t>
  </si>
  <si>
    <t>CGL24021410</t>
  </si>
  <si>
    <t>2-001435</t>
  </si>
  <si>
    <t>CGL24031460</t>
  </si>
  <si>
    <t>2-001431</t>
  </si>
  <si>
    <t>CGL24031446</t>
  </si>
  <si>
    <t>1-001428</t>
  </si>
  <si>
    <t>2-001432</t>
  </si>
  <si>
    <t>CGL24031501</t>
  </si>
  <si>
    <t>2-001439</t>
  </si>
  <si>
    <t>CGL24031469</t>
  </si>
  <si>
    <t>2-001438</t>
  </si>
  <si>
    <t>CGL24031522</t>
  </si>
  <si>
    <t>1-001437</t>
  </si>
  <si>
    <t>1-001440</t>
  </si>
  <si>
    <t>CGL24021383</t>
  </si>
  <si>
    <t>1-001442</t>
  </si>
  <si>
    <t>CGL24021337</t>
  </si>
  <si>
    <t>2-001443</t>
  </si>
  <si>
    <t>CGL24021394</t>
  </si>
  <si>
    <t>2-001447</t>
  </si>
  <si>
    <t>CGL24041531</t>
  </si>
  <si>
    <t>2-001445</t>
  </si>
  <si>
    <t>CGL24031428</t>
  </si>
  <si>
    <t>2-001444</t>
  </si>
  <si>
    <t>CGL24031457</t>
  </si>
  <si>
    <t>2-001441</t>
  </si>
  <si>
    <t>CGL24041542</t>
  </si>
  <si>
    <t>2-001455</t>
  </si>
  <si>
    <t>CGL24031437</t>
  </si>
  <si>
    <t>2-001454</t>
  </si>
  <si>
    <t>CGL24031490</t>
  </si>
  <si>
    <t>2-001453</t>
  </si>
  <si>
    <t>CGL24031497</t>
  </si>
  <si>
    <t>2-001450</t>
  </si>
  <si>
    <t>CGL24021319</t>
  </si>
  <si>
    <t>2-001449</t>
  </si>
  <si>
    <t>CGL24021344</t>
  </si>
  <si>
    <t>2-001456</t>
  </si>
  <si>
    <t>CGL24021421</t>
  </si>
  <si>
    <t>2-001452</t>
  </si>
  <si>
    <t>CGL24021411</t>
  </si>
  <si>
    <t>2-001451</t>
  </si>
  <si>
    <t>CGL24021358</t>
  </si>
  <si>
    <t>2-001457</t>
  </si>
  <si>
    <t>CGL24021414</t>
  </si>
  <si>
    <t>2-001448</t>
  </si>
  <si>
    <t>CGL24031489</t>
  </si>
  <si>
    <t>1-001459</t>
  </si>
  <si>
    <t>CGL24041527</t>
  </si>
  <si>
    <t>2-001460</t>
  </si>
  <si>
    <t>CGL24031466</t>
  </si>
  <si>
    <t>2-001462</t>
  </si>
  <si>
    <t>CGL24031520</t>
  </si>
  <si>
    <t>2-001461</t>
  </si>
  <si>
    <t>CGL24031475</t>
  </si>
  <si>
    <t>1-001464</t>
  </si>
  <si>
    <t>2-001465</t>
  </si>
  <si>
    <t>CGL24031486</t>
  </si>
  <si>
    <t>2-001466</t>
  </si>
  <si>
    <t>CGL24041546</t>
  </si>
  <si>
    <t>2-001468</t>
  </si>
  <si>
    <t>CGL24031498</t>
  </si>
  <si>
    <t>2-001467</t>
  </si>
  <si>
    <t>CGL24031519</t>
  </si>
  <si>
    <t>2-001469</t>
  </si>
  <si>
    <t>CGL24031496</t>
  </si>
  <si>
    <t>2-001481</t>
  </si>
  <si>
    <t>CGL24031526</t>
  </si>
  <si>
    <t>2-001476</t>
  </si>
  <si>
    <t>CGL24011300</t>
  </si>
  <si>
    <t>2-001475</t>
  </si>
  <si>
    <t>CGL24011269</t>
  </si>
  <si>
    <t>2-001479</t>
  </si>
  <si>
    <t>CGL24031524</t>
  </si>
  <si>
    <t>2-001477</t>
  </si>
  <si>
    <t>CGL24011297</t>
  </si>
  <si>
    <t>2-001478</t>
  </si>
  <si>
    <t>CGL24031525</t>
  </si>
  <si>
    <t>2-001482</t>
  </si>
  <si>
    <t>CGL24031432</t>
  </si>
  <si>
    <t>2-001474</t>
  </si>
  <si>
    <t>CGL24011246</t>
  </si>
  <si>
    <t>1-001473</t>
  </si>
  <si>
    <t>CGL24041599</t>
  </si>
  <si>
    <t>1-001490</t>
  </si>
  <si>
    <t>CGL24031521</t>
  </si>
  <si>
    <t>1-001491</t>
  </si>
  <si>
    <t>CGL24041565</t>
  </si>
  <si>
    <t>2-001488</t>
  </si>
  <si>
    <t>CGL24031502</t>
  </si>
  <si>
    <t>2-001493</t>
  </si>
  <si>
    <t>CGL24031518</t>
  </si>
  <si>
    <t>1-001494</t>
  </si>
  <si>
    <t>CGL24031517</t>
  </si>
  <si>
    <t>2-001495</t>
  </si>
  <si>
    <t>CGL24041540</t>
  </si>
  <si>
    <t>2-001498</t>
  </si>
  <si>
    <t>CGL24041554</t>
  </si>
  <si>
    <t>2-001502</t>
  </si>
  <si>
    <t>CGL24021403</t>
  </si>
  <si>
    <t>2-001501</t>
  </si>
  <si>
    <t>CGL24031474</t>
  </si>
  <si>
    <t>2-001499</t>
  </si>
  <si>
    <t>CGL24041563</t>
  </si>
  <si>
    <t>2-001505</t>
  </si>
  <si>
    <t>CGL24031488</t>
  </si>
  <si>
    <t>1-001506</t>
  </si>
  <si>
    <t>CGL24041571</t>
  </si>
  <si>
    <t>2-001500</t>
  </si>
  <si>
    <t>CGL24041564</t>
  </si>
  <si>
    <t>2-001504</t>
  </si>
  <si>
    <t>CGL24031444</t>
  </si>
  <si>
    <t>2-001496</t>
  </si>
  <si>
    <t>CGL24031516</t>
  </si>
  <si>
    <t>2-001497</t>
  </si>
  <si>
    <t>CGL24041549</t>
  </si>
  <si>
    <t>2-001503</t>
  </si>
  <si>
    <t>CGL24041558</t>
  </si>
  <si>
    <t>2-001507</t>
  </si>
  <si>
    <t>CGL24041557</t>
  </si>
  <si>
    <t>2-001509</t>
  </si>
  <si>
    <t>CGL24041539</t>
  </si>
  <si>
    <t>2-001515</t>
  </si>
  <si>
    <t>CGL24041589</t>
  </si>
  <si>
    <t>2-001513</t>
  </si>
  <si>
    <t>CGL24031431</t>
  </si>
  <si>
    <t>1-001511</t>
  </si>
  <si>
    <t>CGL24021375</t>
  </si>
  <si>
    <t>2-001508</t>
  </si>
  <si>
    <t>CGL24041550</t>
  </si>
  <si>
    <t>2-001514</t>
  </si>
  <si>
    <t>CGL24041559</t>
  </si>
  <si>
    <t>1-001512</t>
  </si>
  <si>
    <t>CGL24031439</t>
  </si>
  <si>
    <t>2-001510</t>
  </si>
  <si>
    <t>CGL24041590</t>
  </si>
  <si>
    <t>2-001522</t>
  </si>
  <si>
    <t>2-001524</t>
  </si>
  <si>
    <t>2-001526</t>
  </si>
  <si>
    <t>2-001523</t>
  </si>
  <si>
    <t>1-001518</t>
  </si>
  <si>
    <t>CGL24031507</t>
  </si>
  <si>
    <t>1-001516</t>
  </si>
  <si>
    <t>CGL24031480</t>
  </si>
  <si>
    <t>1-001519</t>
  </si>
  <si>
    <t>CGL24031513</t>
  </si>
  <si>
    <t>2-001521</t>
  </si>
  <si>
    <t>1-001517</t>
  </si>
  <si>
    <t>CGL24031481</t>
  </si>
  <si>
    <t>2-001525</t>
  </si>
  <si>
    <t>1-001527</t>
  </si>
  <si>
    <t>CGL24031477</t>
  </si>
  <si>
    <t>1-001531</t>
  </si>
  <si>
    <t>CGL24031499</t>
  </si>
  <si>
    <t>1-001520</t>
  </si>
  <si>
    <t>CGL24031509</t>
  </si>
  <si>
    <t>01/04/2024</t>
  </si>
  <si>
    <t>04/04/2024</t>
  </si>
  <si>
    <t>08/04/2024</t>
  </si>
  <si>
    <t>09/04/2024</t>
  </si>
  <si>
    <t>10/04/2024</t>
  </si>
  <si>
    <t>11/04/2024</t>
  </si>
  <si>
    <t>12/04/2024</t>
  </si>
  <si>
    <t>13/04/2024</t>
  </si>
  <si>
    <t>16/04/2024</t>
  </si>
  <si>
    <t>17/04/2024</t>
  </si>
  <si>
    <t>18/04/2024</t>
  </si>
  <si>
    <t>19/04/2024</t>
  </si>
  <si>
    <t>23/04/2024</t>
  </si>
  <si>
    <t>24/04/2024</t>
  </si>
  <si>
    <t>25/04/2024</t>
  </si>
  <si>
    <t>27/04/2024</t>
  </si>
  <si>
    <t>29/04/2024</t>
  </si>
  <si>
    <t>30/04/2024</t>
  </si>
  <si>
    <t>C0042</t>
  </si>
  <si>
    <t>C0050</t>
  </si>
  <si>
    <t>C0065</t>
  </si>
  <si>
    <t>C0006</t>
  </si>
  <si>
    <t xml:space="preserve">NAPS-GUANAJUATO NORTWHIRE </t>
  </si>
  <si>
    <t xml:space="preserve">NAPS-GUANAJUATO PENN </t>
  </si>
  <si>
    <t>NORTH AMERICAN PRODUCTION SHARING DE MEXICO</t>
  </si>
  <si>
    <t>2-001422</t>
  </si>
  <si>
    <t>2-001427</t>
  </si>
  <si>
    <t>1-001446</t>
  </si>
  <si>
    <t>2-001458</t>
  </si>
  <si>
    <t>3-001470</t>
  </si>
  <si>
    <t>2-001480</t>
  </si>
  <si>
    <t>2-001472</t>
  </si>
  <si>
    <t>1-001484</t>
  </si>
  <si>
    <t>1-001487</t>
  </si>
  <si>
    <t>1-001486</t>
  </si>
  <si>
    <t>2-001471</t>
  </si>
  <si>
    <t>2-001485</t>
  </si>
  <si>
    <t>1-001489</t>
  </si>
  <si>
    <t>1-001492</t>
  </si>
  <si>
    <t>1-001529</t>
  </si>
  <si>
    <t>1-001528</t>
  </si>
  <si>
    <t>CGL24031434</t>
  </si>
  <si>
    <t>CGL24031493</t>
  </si>
  <si>
    <t>CGL24031472</t>
  </si>
  <si>
    <t>CGL240400001-2024/04</t>
  </si>
  <si>
    <t>CGL24031482</t>
  </si>
  <si>
    <t>CGL24031473</t>
  </si>
  <si>
    <t>CGL24041535</t>
  </si>
  <si>
    <t>CGL24041573</t>
  </si>
  <si>
    <t>CGL24041552</t>
  </si>
  <si>
    <t>CGL24011275</t>
  </si>
  <si>
    <t>03/04/2024</t>
  </si>
  <si>
    <t>20/04/2024</t>
  </si>
  <si>
    <t>C0012</t>
  </si>
  <si>
    <t>C0055</t>
  </si>
  <si>
    <t>C0066</t>
  </si>
  <si>
    <t>INTERIORISMO CORP</t>
  </si>
  <si>
    <t>1-001532</t>
  </si>
  <si>
    <t>2-001535</t>
  </si>
  <si>
    <t>2-001534</t>
  </si>
  <si>
    <t>2-001533</t>
  </si>
  <si>
    <t>2-001536</t>
  </si>
  <si>
    <t>2-001537</t>
  </si>
  <si>
    <t>1-001539</t>
  </si>
  <si>
    <t>1-001541</t>
  </si>
  <si>
    <t>1-001540</t>
  </si>
  <si>
    <t>1-001542</t>
  </si>
  <si>
    <t>2-001538</t>
  </si>
  <si>
    <t>1-001544</t>
  </si>
  <si>
    <t>1-001543</t>
  </si>
  <si>
    <t>2-001545</t>
  </si>
  <si>
    <t>2-001546</t>
  </si>
  <si>
    <t>2-001547</t>
  </si>
  <si>
    <t>2-001549</t>
  </si>
  <si>
    <t>2-001548</t>
  </si>
  <si>
    <t>1-001551</t>
  </si>
  <si>
    <t>1-001552</t>
  </si>
  <si>
    <t>1-001550</t>
  </si>
  <si>
    <t>2-001555</t>
  </si>
  <si>
    <t>2-001560</t>
  </si>
  <si>
    <t>1-001553</t>
  </si>
  <si>
    <t>2-001558</t>
  </si>
  <si>
    <t>1-001554</t>
  </si>
  <si>
    <t>2-001556</t>
  </si>
  <si>
    <t>2-001557</t>
  </si>
  <si>
    <t>2-001559</t>
  </si>
  <si>
    <t>1-001561</t>
  </si>
  <si>
    <t>1-001562</t>
  </si>
  <si>
    <t>2-001563</t>
  </si>
  <si>
    <t>2-001565</t>
  </si>
  <si>
    <t>1-001566</t>
  </si>
  <si>
    <t>2-001569</t>
  </si>
  <si>
    <t>2-001571</t>
  </si>
  <si>
    <t>2-001568</t>
  </si>
  <si>
    <t>2-001570</t>
  </si>
  <si>
    <t>1-001567</t>
  </si>
  <si>
    <t>1-001572</t>
  </si>
  <si>
    <t>1-001574</t>
  </si>
  <si>
    <t>2-001575</t>
  </si>
  <si>
    <t>1-001573</t>
  </si>
  <si>
    <t>2-001587</t>
  </si>
  <si>
    <t>1-001580</t>
  </si>
  <si>
    <t>2-001590</t>
  </si>
  <si>
    <t>2-001588</t>
  </si>
  <si>
    <t>2-001591</t>
  </si>
  <si>
    <t>2-001576</t>
  </si>
  <si>
    <t>1-001583</t>
  </si>
  <si>
    <t>1-001577</t>
  </si>
  <si>
    <t>2-001592</t>
  </si>
  <si>
    <t>2-001579</t>
  </si>
  <si>
    <t>2-001585</t>
  </si>
  <si>
    <t>2-001589</t>
  </si>
  <si>
    <t>1-001581</t>
  </si>
  <si>
    <t>2-001586</t>
  </si>
  <si>
    <t>2-001584</t>
  </si>
  <si>
    <t>1-001582</t>
  </si>
  <si>
    <t>1-001595</t>
  </si>
  <si>
    <t>1-001600</t>
  </si>
  <si>
    <t>1-001594</t>
  </si>
  <si>
    <t>1-001599</t>
  </si>
  <si>
    <t>2-001593</t>
  </si>
  <si>
    <t>1-001598</t>
  </si>
  <si>
    <t>1-001597</t>
  </si>
  <si>
    <t>1-001596</t>
  </si>
  <si>
    <t>1-001603</t>
  </si>
  <si>
    <t>1-001602</t>
  </si>
  <si>
    <t>1-001604</t>
  </si>
  <si>
    <t>1-001601</t>
  </si>
  <si>
    <t>1-001609</t>
  </si>
  <si>
    <t>1-001614</t>
  </si>
  <si>
    <t>1-001608</t>
  </si>
  <si>
    <t>1-001613</t>
  </si>
  <si>
    <t>1-001612</t>
  </si>
  <si>
    <t>1-001610</t>
  </si>
  <si>
    <t>2-001607</t>
  </si>
  <si>
    <t>2-001611</t>
  </si>
  <si>
    <t>1-001619</t>
  </si>
  <si>
    <t>2-001623</t>
  </si>
  <si>
    <t>2-001621</t>
  </si>
  <si>
    <t>1-001618</t>
  </si>
  <si>
    <t>2-001617</t>
  </si>
  <si>
    <t>1-001620</t>
  </si>
  <si>
    <t>2-001625</t>
  </si>
  <si>
    <t>2-001624</t>
  </si>
  <si>
    <t>CGL24021386</t>
  </si>
  <si>
    <t>CGL24011305</t>
  </si>
  <si>
    <t>CGL24041576</t>
  </si>
  <si>
    <t>CGL24041570</t>
  </si>
  <si>
    <t>CGL24031512</t>
  </si>
  <si>
    <t>CGL24031465</t>
  </si>
  <si>
    <t>CGL24031449</t>
  </si>
  <si>
    <t>CGL24031500</t>
  </si>
  <si>
    <t>CGL24041619</t>
  </si>
  <si>
    <t>CGL24031479</t>
  </si>
  <si>
    <t>CGL24031478</t>
  </si>
  <si>
    <t>CGL24041628</t>
  </si>
  <si>
    <t>CGL24041593</t>
  </si>
  <si>
    <t>CGL24041592</t>
  </si>
  <si>
    <t>CGL24041605</t>
  </si>
  <si>
    <t>CGL24051647</t>
  </si>
  <si>
    <t>CGL24041602</t>
  </si>
  <si>
    <t>CGL24041615</t>
  </si>
  <si>
    <t>CGL24051646</t>
  </si>
  <si>
    <t>CGL24021404</t>
  </si>
  <si>
    <t>CGL24041632</t>
  </si>
  <si>
    <t>CGL24021405</t>
  </si>
  <si>
    <t>CGL24041617</t>
  </si>
  <si>
    <t>CGL24041616</t>
  </si>
  <si>
    <t>CGL24041635</t>
  </si>
  <si>
    <t>CGL24031523</t>
  </si>
  <si>
    <t>CGL24041577</t>
  </si>
  <si>
    <t>CGL24041594</t>
  </si>
  <si>
    <t>CGL24031505</t>
  </si>
  <si>
    <t>CGL24041611</t>
  </si>
  <si>
    <t>CGL24031453</t>
  </si>
  <si>
    <t>CGL24051637</t>
  </si>
  <si>
    <t>CGL24041537</t>
  </si>
  <si>
    <t>CGL24051636</t>
  </si>
  <si>
    <t>CGL24051634</t>
  </si>
  <si>
    <t>CGL24031515</t>
  </si>
  <si>
    <t>CGL24041556</t>
  </si>
  <si>
    <t>CGL24041604</t>
  </si>
  <si>
    <t>CGL24031510</t>
  </si>
  <si>
    <t>CGL24041629</t>
  </si>
  <si>
    <t>CGL24041575</t>
  </si>
  <si>
    <t>CGL24041578</t>
  </si>
  <si>
    <t>CGL24041528</t>
  </si>
  <si>
    <t>CGL24031506</t>
  </si>
  <si>
    <t>CGL24041569</t>
  </si>
  <si>
    <t>CGL24051652</t>
  </si>
  <si>
    <t>CGL24041603</t>
  </si>
  <si>
    <t>CGL24031464</t>
  </si>
  <si>
    <t>CGL24041530</t>
  </si>
  <si>
    <t>CGL24041562</t>
  </si>
  <si>
    <t>CGL24041541</t>
  </si>
  <si>
    <t>CGL24051704</t>
  </si>
  <si>
    <t>CGL24041567</t>
  </si>
  <si>
    <t>CGL24041555</t>
  </si>
  <si>
    <t>CGL24051670</t>
  </si>
  <si>
    <t>CGL24051685</t>
  </si>
  <si>
    <t>CGL24041574</t>
  </si>
  <si>
    <t>CGL24031514</t>
  </si>
  <si>
    <t>CGL24041579</t>
  </si>
  <si>
    <t>CGL24041529</t>
  </si>
  <si>
    <t>CGL24051682</t>
  </si>
  <si>
    <t>CGL24051612</t>
  </si>
  <si>
    <t>CGL24021342</t>
  </si>
  <si>
    <t>CGL24031461</t>
  </si>
  <si>
    <t>CGL24041543</t>
  </si>
  <si>
    <t>CGL24021406</t>
  </si>
  <si>
    <t>CGL24031511</t>
  </si>
  <si>
    <t>CGL24041581</t>
  </si>
  <si>
    <t>CGL24041630</t>
  </si>
  <si>
    <t>CGL24051656</t>
  </si>
  <si>
    <t>CGL24031476</t>
  </si>
  <si>
    <t>CGL24041580</t>
  </si>
  <si>
    <t>CGL24051672</t>
  </si>
  <si>
    <t>CGL24051645</t>
  </si>
  <si>
    <t>CGL24051638</t>
  </si>
  <si>
    <t>CGL24051667</t>
  </si>
  <si>
    <t>CGL24051666</t>
  </si>
  <si>
    <t>CGL24051678</t>
  </si>
  <si>
    <t>CGL24051649</t>
  </si>
  <si>
    <t>CGL24041601</t>
  </si>
  <si>
    <t>CGL24041561</t>
  </si>
  <si>
    <t>CGL24041597</t>
  </si>
  <si>
    <t>02/05/2024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</si>
  <si>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</si>
  <si>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</si>
  <si>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</si>
  <si>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</si>
  <si>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</si>
  <si>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</si>
  <si>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</si>
  <si>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</si>
  <si>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</si>
  <si>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</si>
  <si>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20/05/2024</t>
  </si>
  <si>
    <t>22/05/2024</t>
  </si>
  <si>
    <t>23/05/2024</t>
  </si>
  <si>
    <t>24/05/2024</t>
  </si>
  <si>
    <t>27/05/2024</t>
  </si>
  <si>
    <t>29/05/2024</t>
  </si>
  <si>
    <t>30/05/2024</t>
  </si>
  <si>
    <t>31/05/2024</t>
  </si>
  <si>
    <t>C0067</t>
  </si>
  <si>
    <t>C0011</t>
  </si>
  <si>
    <t>ND AUTOMOTIVE SYSTEMS MEXICO</t>
  </si>
  <si>
    <t>NAPS-GUANAJUATO</t>
  </si>
  <si>
    <t>1-001564</t>
  </si>
  <si>
    <t>1-001605</t>
  </si>
  <si>
    <t>1-001616</t>
  </si>
  <si>
    <t>1-001615</t>
  </si>
  <si>
    <t>3-001606</t>
  </si>
  <si>
    <t>1-001622</t>
  </si>
  <si>
    <t>1-001626</t>
  </si>
  <si>
    <t>CGL24041548</t>
  </si>
  <si>
    <t>CGL24051661</t>
  </si>
  <si>
    <t>C0045</t>
  </si>
  <si>
    <t>CLIENTE NOMBRE</t>
  </si>
  <si>
    <t xml:space="preserve">NAPS-GUANAJUATO NORTHWIRE INC </t>
  </si>
  <si>
    <t>HONGKONG HONOR HIGH TECH COMPANY LIMITED</t>
  </si>
  <si>
    <t>PROFIT</t>
  </si>
  <si>
    <t>EJECUTIVO</t>
  </si>
  <si>
    <t>NALLELY</t>
  </si>
  <si>
    <t>ELIAS</t>
  </si>
  <si>
    <t>ALONSO</t>
  </si>
  <si>
    <t>ISRAEL</t>
  </si>
  <si>
    <t>Total</t>
  </si>
  <si>
    <t>ANTONIO ORNELAS DIAZ</t>
  </si>
  <si>
    <t>SERVICIOS INTEGRALES BERPAR</t>
  </si>
  <si>
    <t>CAM MEXICO OPERATIONS</t>
  </si>
  <si>
    <t>WORLD EXPRESS LOGISTICS INC.SHENZHEN</t>
  </si>
  <si>
    <t>JOINT PRODUCTION HCMF</t>
  </si>
  <si>
    <t>JOINT PRODUCTION HONOR</t>
  </si>
  <si>
    <t>CGL24071864</t>
  </si>
  <si>
    <t>C0081</t>
  </si>
  <si>
    <t>JOINT PRODUCTION BLACK SMITH</t>
  </si>
  <si>
    <t>C0084</t>
  </si>
  <si>
    <t>GSI ASIA PACIFIC, CO. LIMITED</t>
  </si>
  <si>
    <t>JOINT PRODUCTION TECTRAN</t>
  </si>
  <si>
    <t>Trimestre 4</t>
  </si>
  <si>
    <t>JESSICA</t>
  </si>
  <si>
    <t>Noviembre</t>
  </si>
  <si>
    <t>CGL24102159</t>
  </si>
  <si>
    <t>POINT LOGISTICS S.A.</t>
  </si>
  <si>
    <t>GOMSA INTEGRADORA</t>
  </si>
  <si>
    <t>STARPLAST MEXICO</t>
  </si>
  <si>
    <t>C0079</t>
  </si>
  <si>
    <t>CORE GLOBAL TRANSPORT</t>
  </si>
  <si>
    <t>CGL24082033</t>
  </si>
  <si>
    <t>HM ULUSLARARASI PROJE TASIMACILIGI A.S</t>
  </si>
  <si>
    <t>CGL24112312</t>
  </si>
  <si>
    <t>SENTER SYNERGY</t>
  </si>
  <si>
    <t>CGL24112357</t>
  </si>
  <si>
    <t>Nuevas</t>
  </si>
  <si>
    <t>INVICONT OÜ</t>
  </si>
  <si>
    <t xml:space="preserve">JOINT PRODUCTION TECTRAN </t>
  </si>
  <si>
    <t xml:space="preserve">JOINT PRODUCTION HONOR </t>
  </si>
  <si>
    <t>CHEMICAL COLOR DE MEXICO</t>
  </si>
  <si>
    <t>FACTURACIÓN MENSUAL POR OFICINA 2025</t>
  </si>
  <si>
    <t>FACTURACIÓN EJERCICIO 2025</t>
  </si>
  <si>
    <t>2-002317</t>
  </si>
  <si>
    <t>CGL24122402</t>
  </si>
  <si>
    <t>2-002318</t>
  </si>
  <si>
    <t>CGL24122374</t>
  </si>
  <si>
    <t>1-002319</t>
  </si>
  <si>
    <t>CGL24112354</t>
  </si>
  <si>
    <t>1-002320</t>
  </si>
  <si>
    <t>CGL24122437</t>
  </si>
  <si>
    <t>2-002321</t>
  </si>
  <si>
    <t>CGL24122431</t>
  </si>
  <si>
    <t>2-002322</t>
  </si>
  <si>
    <t>CGL24122391</t>
  </si>
  <si>
    <t>1-002323</t>
  </si>
  <si>
    <t>CGL24122418</t>
  </si>
  <si>
    <t>1-002324</t>
  </si>
  <si>
    <t>CGL24112348</t>
  </si>
  <si>
    <t>2-002325</t>
  </si>
  <si>
    <t>CGL24122383</t>
  </si>
  <si>
    <t>1-002326</t>
  </si>
  <si>
    <t>1-002327</t>
  </si>
  <si>
    <t>CGL24122395</t>
  </si>
  <si>
    <t>1-002328</t>
  </si>
  <si>
    <t>CGL24122396</t>
  </si>
  <si>
    <t>2-002329</t>
  </si>
  <si>
    <t>CGL24122392</t>
  </si>
  <si>
    <t>1-002330</t>
  </si>
  <si>
    <t>1-002331</t>
  </si>
  <si>
    <t>CGL24122433</t>
  </si>
  <si>
    <t>1-002332</t>
  </si>
  <si>
    <t>CGL24122379</t>
  </si>
  <si>
    <t>2-002333</t>
  </si>
  <si>
    <t>CGL24122390</t>
  </si>
  <si>
    <t>1-002335</t>
  </si>
  <si>
    <t>CGL24122417</t>
  </si>
  <si>
    <t>2-002336</t>
  </si>
  <si>
    <t>CGL24122414</t>
  </si>
  <si>
    <t>2-002337</t>
  </si>
  <si>
    <t>CGL25012441</t>
  </si>
  <si>
    <t>2-002338</t>
  </si>
  <si>
    <t>CGL25012442</t>
  </si>
  <si>
    <t>2-002339</t>
  </si>
  <si>
    <t>CGL25012452</t>
  </si>
  <si>
    <t>2-002340</t>
  </si>
  <si>
    <t>CGL24122420</t>
  </si>
  <si>
    <t>2-002341</t>
  </si>
  <si>
    <t>CGL24122385</t>
  </si>
  <si>
    <t>2-002342</t>
  </si>
  <si>
    <t>CGL24122384</t>
  </si>
  <si>
    <t>2-002343</t>
  </si>
  <si>
    <t>CGL25012444</t>
  </si>
  <si>
    <t>1-002344</t>
  </si>
  <si>
    <t>CGL24122434</t>
  </si>
  <si>
    <t>1-002345</t>
  </si>
  <si>
    <t>CGL24122393</t>
  </si>
  <si>
    <t>2-002346</t>
  </si>
  <si>
    <t>CGL25012457</t>
  </si>
  <si>
    <t>2-002347</t>
  </si>
  <si>
    <t>CGL24122428</t>
  </si>
  <si>
    <t>2-002348</t>
  </si>
  <si>
    <t>CGL24122429</t>
  </si>
  <si>
    <t>1-002349</t>
  </si>
  <si>
    <t>CGL24122404</t>
  </si>
  <si>
    <t>2-002350</t>
  </si>
  <si>
    <t>CGL25012465</t>
  </si>
  <si>
    <t>1-002351</t>
  </si>
  <si>
    <t>CGL25012440</t>
  </si>
  <si>
    <t>2-002352</t>
  </si>
  <si>
    <t>CGL25012474</t>
  </si>
  <si>
    <t>1-002353</t>
  </si>
  <si>
    <t>CGL25012461</t>
  </si>
  <si>
    <t>1-002354</t>
  </si>
  <si>
    <t>CGL25012443</t>
  </si>
  <si>
    <t>1-002355</t>
  </si>
  <si>
    <t>CGL25012496</t>
  </si>
  <si>
    <t>1-002359</t>
  </si>
  <si>
    <t>2-002361</t>
  </si>
  <si>
    <t>CGL25012495</t>
  </si>
  <si>
    <t>2-002362</t>
  </si>
  <si>
    <t>CGL25012489</t>
  </si>
  <si>
    <t>1-002363</t>
  </si>
  <si>
    <t>CGL25012497</t>
  </si>
  <si>
    <t>2-002364</t>
  </si>
  <si>
    <t>CGL25012450</t>
  </si>
  <si>
    <t>2-002365</t>
  </si>
  <si>
    <t>CGL25012468</t>
  </si>
  <si>
    <t>2-002366</t>
  </si>
  <si>
    <t>CGL25012481</t>
  </si>
  <si>
    <t>2-002367</t>
  </si>
  <si>
    <t>CGL25012478</t>
  </si>
  <si>
    <t>2-002368</t>
  </si>
  <si>
    <t>CGL25012449</t>
  </si>
  <si>
    <t>1-002369</t>
  </si>
  <si>
    <t>CGL24122421</t>
  </si>
  <si>
    <t>1-002370</t>
  </si>
  <si>
    <t>CGL24122436</t>
  </si>
  <si>
    <t>2-002371</t>
  </si>
  <si>
    <t>CGL25012487</t>
  </si>
  <si>
    <t>2-002372</t>
  </si>
  <si>
    <t>CGL25012486</t>
  </si>
  <si>
    <t>2-002373</t>
  </si>
  <si>
    <t>CGL25012471</t>
  </si>
  <si>
    <t>1-002374</t>
  </si>
  <si>
    <t>CGL25012439</t>
  </si>
  <si>
    <t>1-002375</t>
  </si>
  <si>
    <t>CGL25012485</t>
  </si>
  <si>
    <t>2-002376</t>
  </si>
  <si>
    <t>CGL24122407</t>
  </si>
  <si>
    <t>1-002377</t>
  </si>
  <si>
    <t>CGL25012473</t>
  </si>
  <si>
    <t>1-002378</t>
  </si>
  <si>
    <t>CGL25012494</t>
  </si>
  <si>
    <t>2-002379</t>
  </si>
  <si>
    <t>CGL25012498</t>
  </si>
  <si>
    <t>2-002383</t>
  </si>
  <si>
    <t>CGL25012482</t>
  </si>
  <si>
    <t>2-002384</t>
  </si>
  <si>
    <t>CGL25012484</t>
  </si>
  <si>
    <t>1-002385</t>
  </si>
  <si>
    <t>2-002386</t>
  </si>
  <si>
    <t>CGL25012504</t>
  </si>
  <si>
    <t>2-002388</t>
  </si>
  <si>
    <t>CGL25012503</t>
  </si>
  <si>
    <t>1-002389</t>
  </si>
  <si>
    <t>CGL25012438</t>
  </si>
  <si>
    <t>2-002390</t>
  </si>
  <si>
    <t>CGL25012520</t>
  </si>
  <si>
    <t>2-002391</t>
  </si>
  <si>
    <t>CGL25012500</t>
  </si>
  <si>
    <t>1-002392</t>
  </si>
  <si>
    <t>CGL25012458</t>
  </si>
  <si>
    <t>1-002393</t>
  </si>
  <si>
    <t>CGL25012483</t>
  </si>
  <si>
    <t>1-002334</t>
  </si>
  <si>
    <t>2-002356</t>
  </si>
  <si>
    <t>CGL24112355</t>
  </si>
  <si>
    <t>2-002357</t>
  </si>
  <si>
    <t>CGL24122435</t>
  </si>
  <si>
    <t>1-002358</t>
  </si>
  <si>
    <t>CGL24122430</t>
  </si>
  <si>
    <t>C0089</t>
  </si>
  <si>
    <t>1-002360</t>
  </si>
  <si>
    <t>CGL24122432</t>
  </si>
  <si>
    <t>2-002380</t>
  </si>
  <si>
    <t>CGL25012470</t>
  </si>
  <si>
    <t>1-002381</t>
  </si>
  <si>
    <t>CGL24122397</t>
  </si>
  <si>
    <t>1-002382</t>
  </si>
  <si>
    <t>1-002387</t>
  </si>
  <si>
    <t>CGL25012469</t>
  </si>
  <si>
    <t>C0090</t>
  </si>
  <si>
    <t>JESUS</t>
  </si>
  <si>
    <t xml:space="preserve">Febrero </t>
  </si>
  <si>
    <t>1-002395</t>
  </si>
  <si>
    <t>1-002396</t>
  </si>
  <si>
    <t>CGL25012475</t>
  </si>
  <si>
    <t>1-002397</t>
  </si>
  <si>
    <t>CGL25012515</t>
  </si>
  <si>
    <t>1-002399</t>
  </si>
  <si>
    <t>CGL25012513</t>
  </si>
  <si>
    <t>2-002401</t>
  </si>
  <si>
    <t>CGL25012522</t>
  </si>
  <si>
    <t>2-002402</t>
  </si>
  <si>
    <t>CGL25012464</t>
  </si>
  <si>
    <t>1-002403</t>
  </si>
  <si>
    <t>CGL25012501</t>
  </si>
  <si>
    <t>2-002404</t>
  </si>
  <si>
    <t>CGL25022547</t>
  </si>
  <si>
    <t>2-002405</t>
  </si>
  <si>
    <t>CGL25012488</t>
  </si>
  <si>
    <t>2-002406</t>
  </si>
  <si>
    <t>CGL25012528</t>
  </si>
  <si>
    <t>2-002407</t>
  </si>
  <si>
    <t>CGL24122416</t>
  </si>
  <si>
    <t>2-002408</t>
  </si>
  <si>
    <t>CGL25022551</t>
  </si>
  <si>
    <t>2-002409</t>
  </si>
  <si>
    <t>CGL25012511</t>
  </si>
  <si>
    <t>2-002410</t>
  </si>
  <si>
    <t>CGL25012507</t>
  </si>
  <si>
    <t>2-002411</t>
  </si>
  <si>
    <t>CGL25012456</t>
  </si>
  <si>
    <t>2-002412</t>
  </si>
  <si>
    <t>CGL25012539</t>
  </si>
  <si>
    <t>2-002413</t>
  </si>
  <si>
    <t>CGL25012479</t>
  </si>
  <si>
    <t>2-002414</t>
  </si>
  <si>
    <t>CGL25012512</t>
  </si>
  <si>
    <t>1-002415</t>
  </si>
  <si>
    <t>CGL25022546</t>
  </si>
  <si>
    <t>2-002417</t>
  </si>
  <si>
    <t>CGL25022550</t>
  </si>
  <si>
    <t>1-002418</t>
  </si>
  <si>
    <t>CGL25012491</t>
  </si>
  <si>
    <t>1-002419</t>
  </si>
  <si>
    <t>CGL25012492</t>
  </si>
  <si>
    <t>1-002420</t>
  </si>
  <si>
    <t>CGL25012510</t>
  </si>
  <si>
    <t>1-002423</t>
  </si>
  <si>
    <t>CGL25022541</t>
  </si>
  <si>
    <t>1-002424</t>
  </si>
  <si>
    <t>CGL25012463</t>
  </si>
  <si>
    <t>2-002425</t>
  </si>
  <si>
    <t>CGL25022548</t>
  </si>
  <si>
    <t>2-002428</t>
  </si>
  <si>
    <t>CGL25012530</t>
  </si>
  <si>
    <t>1-002429</t>
  </si>
  <si>
    <t>CGL25022559</t>
  </si>
  <si>
    <t>2-002430</t>
  </si>
  <si>
    <t>CGL25022560</t>
  </si>
  <si>
    <t>2-002431</t>
  </si>
  <si>
    <t>CGL25022555</t>
  </si>
  <si>
    <t>2-002432</t>
  </si>
  <si>
    <t>CGL25022565</t>
  </si>
  <si>
    <t>2-002433</t>
  </si>
  <si>
    <t>CGL25012533</t>
  </si>
  <si>
    <t>2-002434</t>
  </si>
  <si>
    <t>CGL25012532</t>
  </si>
  <si>
    <t>1-002435</t>
  </si>
  <si>
    <t>CGL25012538</t>
  </si>
  <si>
    <t>1-002438</t>
  </si>
  <si>
    <t>2-002439</t>
  </si>
  <si>
    <t>CGL25022542</t>
  </si>
  <si>
    <t>2-002440</t>
  </si>
  <si>
    <t>CGL25022545</t>
  </si>
  <si>
    <t>2-002441</t>
  </si>
  <si>
    <t>CGL25022544</t>
  </si>
  <si>
    <t>2-002442</t>
  </si>
  <si>
    <t>CGL25022556</t>
  </si>
  <si>
    <t>1-002443</t>
  </si>
  <si>
    <t>CGL25012516</t>
  </si>
  <si>
    <t>2-002444</t>
  </si>
  <si>
    <t>CGL25022575</t>
  </si>
  <si>
    <t>1-002445</t>
  </si>
  <si>
    <t>CGL25012540</t>
  </si>
  <si>
    <t>2-002446</t>
  </si>
  <si>
    <t>CGL25012536</t>
  </si>
  <si>
    <t>1-002447</t>
  </si>
  <si>
    <t>2-002448</t>
  </si>
  <si>
    <t>CGL24122389</t>
  </si>
  <si>
    <t>2-002449</t>
  </si>
  <si>
    <t>CGL25022563</t>
  </si>
  <si>
    <t>1-002450</t>
  </si>
  <si>
    <t>1-002451</t>
  </si>
  <si>
    <t>2-002452</t>
  </si>
  <si>
    <t>CGL25022554</t>
  </si>
  <si>
    <t>2-002453</t>
  </si>
  <si>
    <t>CGL25012447</t>
  </si>
  <si>
    <t>2-002455</t>
  </si>
  <si>
    <t>CGL25022581</t>
  </si>
  <si>
    <t>1-002456</t>
  </si>
  <si>
    <t>CGL25022586</t>
  </si>
  <si>
    <t>2-002457</t>
  </si>
  <si>
    <t>CGL25022572</t>
  </si>
  <si>
    <t>1-002458</t>
  </si>
  <si>
    <t>CGL25022569</t>
  </si>
  <si>
    <t>2-002459</t>
  </si>
  <si>
    <t>CGL25022552</t>
  </si>
  <si>
    <t>2-002460</t>
  </si>
  <si>
    <t>CGL25022603</t>
  </si>
  <si>
    <t>2-002461</t>
  </si>
  <si>
    <t>CGL25022597</t>
  </si>
  <si>
    <t>2-002462</t>
  </si>
  <si>
    <t>CGL25022596</t>
  </si>
  <si>
    <t>2-002464</t>
  </si>
  <si>
    <t>CGL25022595</t>
  </si>
  <si>
    <t>2-002465</t>
  </si>
  <si>
    <t>CGL25022600</t>
  </si>
  <si>
    <t>2-002466</t>
  </si>
  <si>
    <t>CGL25022598</t>
  </si>
  <si>
    <t>2-002467</t>
  </si>
  <si>
    <t>CGL25022570</t>
  </si>
  <si>
    <t>2-002468</t>
  </si>
  <si>
    <t>CGL25022573</t>
  </si>
  <si>
    <t>2-002469</t>
  </si>
  <si>
    <t>CGL25022574</t>
  </si>
  <si>
    <t>1-002470</t>
  </si>
  <si>
    <t>CGL25012480</t>
  </si>
  <si>
    <t>1-002471</t>
  </si>
  <si>
    <t>CGL25022583</t>
  </si>
  <si>
    <t>1-002474</t>
  </si>
  <si>
    <t>CGL25012521</t>
  </si>
  <si>
    <t>2-002475</t>
  </si>
  <si>
    <t>CGL25022614</t>
  </si>
  <si>
    <t>2-002476</t>
  </si>
  <si>
    <t>CGL25012525</t>
  </si>
  <si>
    <t>2-002477</t>
  </si>
  <si>
    <t>CGL25022610</t>
  </si>
  <si>
    <t>1-002478</t>
  </si>
  <si>
    <t>CGL25012535</t>
  </si>
  <si>
    <t>2-002479</t>
  </si>
  <si>
    <t>CGL25022605</t>
  </si>
  <si>
    <t>1-002398</t>
  </si>
  <si>
    <t>1-002400</t>
  </si>
  <si>
    <t>CGL24122386</t>
  </si>
  <si>
    <t>1-002421</t>
  </si>
  <si>
    <t>1-002422</t>
  </si>
  <si>
    <t>1-002426</t>
  </si>
  <si>
    <t>CGL25012490</t>
  </si>
  <si>
    <t>1-002436</t>
  </si>
  <si>
    <t>1-002437</t>
  </si>
  <si>
    <t>1-002454</t>
  </si>
  <si>
    <t>2-002463</t>
  </si>
  <si>
    <t>CGL25012519</t>
  </si>
  <si>
    <t>1-002472</t>
  </si>
  <si>
    <t>CGL25012499</t>
  </si>
  <si>
    <t>1-002473</t>
  </si>
  <si>
    <t>C0085</t>
  </si>
  <si>
    <t>C0086</t>
  </si>
  <si>
    <t>C0091</t>
  </si>
  <si>
    <t>INNOVATIVE PORTING SL</t>
  </si>
  <si>
    <t>C0093</t>
  </si>
  <si>
    <t>DESCAFEINADORES MEXICANOS</t>
  </si>
  <si>
    <t>1-002480</t>
  </si>
  <si>
    <t>CGL25022585</t>
  </si>
  <si>
    <t>2-002483</t>
  </si>
  <si>
    <t>CGL25022594</t>
  </si>
  <si>
    <t>NAPS-GUANAJUATO CAM</t>
  </si>
  <si>
    <t>2-002484</t>
  </si>
  <si>
    <t>CGL25022593</t>
  </si>
  <si>
    <t>1-002485</t>
  </si>
  <si>
    <t>CGL25022566</t>
  </si>
  <si>
    <t>2-002486</t>
  </si>
  <si>
    <t>CGL25022577</t>
  </si>
  <si>
    <t>2-002487</t>
  </si>
  <si>
    <t>CGL25022599</t>
  </si>
  <si>
    <t>1-002488</t>
  </si>
  <si>
    <t>CGL25022628</t>
  </si>
  <si>
    <t>1-002490</t>
  </si>
  <si>
    <t>CGL25032636</t>
  </si>
  <si>
    <t>1-002491</t>
  </si>
  <si>
    <t>CGL25032675</t>
  </si>
  <si>
    <t>2-002492</t>
  </si>
  <si>
    <t>CGL25012529</t>
  </si>
  <si>
    <t>2-002493</t>
  </si>
  <si>
    <t>CGL25022626</t>
  </si>
  <si>
    <t>2-002494</t>
  </si>
  <si>
    <t>CGL25032639</t>
  </si>
  <si>
    <t>2-002495</t>
  </si>
  <si>
    <t>CGL25032640</t>
  </si>
  <si>
    <t>2-002496</t>
  </si>
  <si>
    <t>CGL25032641</t>
  </si>
  <si>
    <t>2-002497</t>
  </si>
  <si>
    <t>CGL25022627</t>
  </si>
  <si>
    <t>1-002498</t>
  </si>
  <si>
    <t>CGL25032671</t>
  </si>
  <si>
    <t>2-002500</t>
  </si>
  <si>
    <t>CGL25022612</t>
  </si>
  <si>
    <t>1-002501</t>
  </si>
  <si>
    <t>CGL25022591</t>
  </si>
  <si>
    <t>2-002502</t>
  </si>
  <si>
    <t>CGL25032674</t>
  </si>
  <si>
    <t>2-002503</t>
  </si>
  <si>
    <t>CGL25032652</t>
  </si>
  <si>
    <t>2-002504</t>
  </si>
  <si>
    <t>CGL25032648</t>
  </si>
  <si>
    <t>2-002505</t>
  </si>
  <si>
    <t>CGL25032653</t>
  </si>
  <si>
    <t>1-002507</t>
  </si>
  <si>
    <t>CGL25022604</t>
  </si>
  <si>
    <t>2-002508</t>
  </si>
  <si>
    <t>CGL25022588</t>
  </si>
  <si>
    <t>2-002509</t>
  </si>
  <si>
    <t>CGL25032632</t>
  </si>
  <si>
    <t>2-002510</t>
  </si>
  <si>
    <t>CGL25032660</t>
  </si>
  <si>
    <t>2-002511</t>
  </si>
  <si>
    <t>CGL25032662</t>
  </si>
  <si>
    <t>2-002512</t>
  </si>
  <si>
    <t>CGL25032656</t>
  </si>
  <si>
    <t>2-002513</t>
  </si>
  <si>
    <t>CGL25032661</t>
  </si>
  <si>
    <t>2-002514</t>
  </si>
  <si>
    <t>CGL25022625</t>
  </si>
  <si>
    <t>1-002515</t>
  </si>
  <si>
    <t>CGL25022578</t>
  </si>
  <si>
    <t>2-002517</t>
  </si>
  <si>
    <t>CGL25022543</t>
  </si>
  <si>
    <t>2-002518</t>
  </si>
  <si>
    <t>CGL25032650</t>
  </si>
  <si>
    <t>1-002519</t>
  </si>
  <si>
    <t>1-002520</t>
  </si>
  <si>
    <t>CGL25032637</t>
  </si>
  <si>
    <t>1-002521</t>
  </si>
  <si>
    <t>CGL25032633</t>
  </si>
  <si>
    <t>2-002523</t>
  </si>
  <si>
    <t>CGL25022613</t>
  </si>
  <si>
    <t>2-002524</t>
  </si>
  <si>
    <t>CGL25032649</t>
  </si>
  <si>
    <t>2-002525</t>
  </si>
  <si>
    <t>CGL25032683</t>
  </si>
  <si>
    <t>1-002526</t>
  </si>
  <si>
    <t>CGL25032667</t>
  </si>
  <si>
    <t>2-002527</t>
  </si>
  <si>
    <t>CGL25022622</t>
  </si>
  <si>
    <t>2-002528</t>
  </si>
  <si>
    <t>CGL25032634</t>
  </si>
  <si>
    <t>2-002529</t>
  </si>
  <si>
    <t>CGL25032642</t>
  </si>
  <si>
    <t>2-002530</t>
  </si>
  <si>
    <t>CGL25032635</t>
  </si>
  <si>
    <t>2-002531</t>
  </si>
  <si>
    <t>CGL25032647</t>
  </si>
  <si>
    <t>2-002532</t>
  </si>
  <si>
    <t>CGL25032645</t>
  </si>
  <si>
    <t>2-002533</t>
  </si>
  <si>
    <t>CGL25032638</t>
  </si>
  <si>
    <t>1-002534</t>
  </si>
  <si>
    <t>CGL25022631</t>
  </si>
  <si>
    <t>2-002535</t>
  </si>
  <si>
    <t>CGL25032682</t>
  </si>
  <si>
    <t>2-002536</t>
  </si>
  <si>
    <t>CGL25032690</t>
  </si>
  <si>
    <t>1-002537</t>
  </si>
  <si>
    <t>CGL24092105</t>
  </si>
  <si>
    <t>1-002538</t>
  </si>
  <si>
    <t>1-002539</t>
  </si>
  <si>
    <t>CGL25022606</t>
  </si>
  <si>
    <t>2-002540</t>
  </si>
  <si>
    <t>CGL25032678</t>
  </si>
  <si>
    <t>2-002541</t>
  </si>
  <si>
    <t>CGL25032703</t>
  </si>
  <si>
    <t>2-002542</t>
  </si>
  <si>
    <t>CGL25032704</t>
  </si>
  <si>
    <t>2-002543</t>
  </si>
  <si>
    <t>CGL25032680</t>
  </si>
  <si>
    <t>2-002544</t>
  </si>
  <si>
    <t>CGL25032681</t>
  </si>
  <si>
    <t>2-002545</t>
  </si>
  <si>
    <t>CGL25032699</t>
  </si>
  <si>
    <t>1-002546</t>
  </si>
  <si>
    <t>CGL25012517</t>
  </si>
  <si>
    <t>2-002549</t>
  </si>
  <si>
    <t>CGL25022621</t>
  </si>
  <si>
    <t>2-002550</t>
  </si>
  <si>
    <t>CGL25032646</t>
  </si>
  <si>
    <t>1-002551</t>
  </si>
  <si>
    <t>CGL25032676</t>
  </si>
  <si>
    <t>1-002552</t>
  </si>
  <si>
    <t>CGL25022579</t>
  </si>
  <si>
    <t>1-002553</t>
  </si>
  <si>
    <t>CGL25032710</t>
  </si>
  <si>
    <t>2-002554</t>
  </si>
  <si>
    <t>CGL25022618</t>
  </si>
  <si>
    <t>1-002555</t>
  </si>
  <si>
    <t>CGL25032654</t>
  </si>
  <si>
    <t>1-002556</t>
  </si>
  <si>
    <t>CGL25032732</t>
  </si>
  <si>
    <t>1-002557</t>
  </si>
  <si>
    <t>CGL25032733</t>
  </si>
  <si>
    <t>2-002558</t>
  </si>
  <si>
    <t>CGL25032657</t>
  </si>
  <si>
    <t>2-002559</t>
  </si>
  <si>
    <t>CGL25032698</t>
  </si>
  <si>
    <t>2-002560</t>
  </si>
  <si>
    <t>CGL25032700</t>
  </si>
  <si>
    <t>1-002561</t>
  </si>
  <si>
    <t>CGL25032673</t>
  </si>
  <si>
    <t>C0075</t>
  </si>
  <si>
    <t>JOINT PRODUCTION (HCMF)</t>
  </si>
  <si>
    <t>2-002562</t>
  </si>
  <si>
    <t>CGL25032691</t>
  </si>
  <si>
    <t>2-002563</t>
  </si>
  <si>
    <t>CGL25032695</t>
  </si>
  <si>
    <t>2-002564</t>
  </si>
  <si>
    <t>CGL25022620</t>
  </si>
  <si>
    <t>1-002570</t>
  </si>
  <si>
    <t>CGL25022619</t>
  </si>
  <si>
    <t>1-002567</t>
  </si>
  <si>
    <t>CGL25032651</t>
  </si>
  <si>
    <t>1-002571</t>
  </si>
  <si>
    <t>CGL25032721</t>
  </si>
  <si>
    <t>1-002573</t>
  </si>
  <si>
    <t>CGL25032677</t>
  </si>
  <si>
    <t>1-002568</t>
  </si>
  <si>
    <t>CGL25022608</t>
  </si>
  <si>
    <t>1-002569</t>
  </si>
  <si>
    <t>1-002574</t>
  </si>
  <si>
    <t>CGL25022629</t>
  </si>
  <si>
    <t>1-002575</t>
  </si>
  <si>
    <t>1-002576</t>
  </si>
  <si>
    <t>CGL25032669</t>
  </si>
  <si>
    <t>1-002577</t>
  </si>
  <si>
    <t>CGL25032672</t>
  </si>
  <si>
    <t>1-002578</t>
  </si>
  <si>
    <t>CGL25022607</t>
  </si>
  <si>
    <t>2-002579</t>
  </si>
  <si>
    <t>CGL25032707</t>
  </si>
  <si>
    <t>2-002580</t>
  </si>
  <si>
    <t>CGL25032702</t>
  </si>
  <si>
    <t>2-002581</t>
  </si>
  <si>
    <t>CGL25032701</t>
  </si>
  <si>
    <t>2-002582</t>
  </si>
  <si>
    <t>CGL25012445</t>
  </si>
  <si>
    <t>1-002583</t>
  </si>
  <si>
    <t>CGL25022580</t>
  </si>
  <si>
    <t>2-002584</t>
  </si>
  <si>
    <t>CGL25032718</t>
  </si>
  <si>
    <t>2-002585</t>
  </si>
  <si>
    <t>CGL25032659</t>
  </si>
  <si>
    <t>2-002586</t>
  </si>
  <si>
    <t>CGL25032715</t>
  </si>
  <si>
    <t>1-002481</t>
  </si>
  <si>
    <t>CGL25012472</t>
  </si>
  <si>
    <t>1-002482</t>
  </si>
  <si>
    <t>1-002489</t>
  </si>
  <si>
    <t>CGL25022564</t>
  </si>
  <si>
    <t>2-002499</t>
  </si>
  <si>
    <t>CGL25032644</t>
  </si>
  <si>
    <t>1-002506</t>
  </si>
  <si>
    <t>1-002516</t>
  </si>
  <si>
    <t>CGL25022582</t>
  </si>
  <si>
    <t>2-002522</t>
  </si>
  <si>
    <t>1-002547</t>
  </si>
  <si>
    <t>CGL25022568</t>
  </si>
  <si>
    <t>1-002548</t>
  </si>
  <si>
    <t>1-002566</t>
  </si>
  <si>
    <t>1-002565</t>
  </si>
  <si>
    <t>2-002572</t>
  </si>
  <si>
    <t>CGL25032694</t>
  </si>
  <si>
    <t>1-002587</t>
  </si>
  <si>
    <t>1-002588</t>
  </si>
  <si>
    <t>2-002589</t>
  </si>
  <si>
    <t>CGL25022587</t>
  </si>
  <si>
    <t>2-002590</t>
  </si>
  <si>
    <t>CGL25032724</t>
  </si>
  <si>
    <t>1-002591</t>
  </si>
  <si>
    <t>CGL25032731</t>
  </si>
  <si>
    <t>2-002592</t>
  </si>
  <si>
    <t>CGL25032655</t>
  </si>
  <si>
    <t>1-002593</t>
  </si>
  <si>
    <t>CGL25032717</t>
  </si>
  <si>
    <t>2-002594</t>
  </si>
  <si>
    <t>CGL25022630</t>
  </si>
  <si>
    <t>2-002595</t>
  </si>
  <si>
    <t>2-002596</t>
  </si>
  <si>
    <t>CGL25032738</t>
  </si>
  <si>
    <t>1-002597</t>
  </si>
  <si>
    <t>CGL25032713</t>
  </si>
  <si>
    <t>1-002598</t>
  </si>
  <si>
    <t>CGL25032712</t>
  </si>
  <si>
    <t>2-002599</t>
  </si>
  <si>
    <t>CGL25032688</t>
  </si>
  <si>
    <t>1-002601</t>
  </si>
  <si>
    <t>CGL25032742</t>
  </si>
  <si>
    <t>2-002602</t>
  </si>
  <si>
    <t>CGL25032722</t>
  </si>
  <si>
    <t>2-002603</t>
  </si>
  <si>
    <t>CGL25032723</t>
  </si>
  <si>
    <t>1-002604</t>
  </si>
  <si>
    <t>CGL25032714</t>
  </si>
  <si>
    <t>2-002605</t>
  </si>
  <si>
    <t>CGL25042748</t>
  </si>
  <si>
    <t>1-002606</t>
  </si>
  <si>
    <t>CGL25022592</t>
  </si>
  <si>
    <t>2-002607</t>
  </si>
  <si>
    <t>CGL25022576</t>
  </si>
  <si>
    <t>2-002608</t>
  </si>
  <si>
    <t>CGL25042771</t>
  </si>
  <si>
    <t>2-002609</t>
  </si>
  <si>
    <t>2-002610</t>
  </si>
  <si>
    <t>CGL25042769</t>
  </si>
  <si>
    <t>1-002611</t>
  </si>
  <si>
    <t>CGL25032737</t>
  </si>
  <si>
    <t>1-002612</t>
  </si>
  <si>
    <t>CGL25032716</t>
  </si>
  <si>
    <t>2-002613</t>
  </si>
  <si>
    <t>CGL25032734</t>
  </si>
  <si>
    <t>1-002614</t>
  </si>
  <si>
    <t>CGL25032740</t>
  </si>
  <si>
    <t>2-002615</t>
  </si>
  <si>
    <t>CGL25042744</t>
  </si>
  <si>
    <t>2-002616</t>
  </si>
  <si>
    <t>CGL25042745</t>
  </si>
  <si>
    <t>2-002617</t>
  </si>
  <si>
    <t>CGL25042750</t>
  </si>
  <si>
    <t>2-002618</t>
  </si>
  <si>
    <t>CGL25042751</t>
  </si>
  <si>
    <t>1-002620</t>
  </si>
  <si>
    <t>CGL25032697</t>
  </si>
  <si>
    <t>2-002621</t>
  </si>
  <si>
    <t>CGL25042779</t>
  </si>
  <si>
    <t>1-002622</t>
  </si>
  <si>
    <t>CGL25032720</t>
  </si>
  <si>
    <t>2-002623</t>
  </si>
  <si>
    <t>CGL25032739</t>
  </si>
  <si>
    <t>1-002624</t>
  </si>
  <si>
    <t>CGL25042757</t>
  </si>
  <si>
    <t>2-002625</t>
  </si>
  <si>
    <t>CGL25042773</t>
  </si>
  <si>
    <t>2-002626</t>
  </si>
  <si>
    <t>CGL25042774</t>
  </si>
  <si>
    <t>2-002627</t>
  </si>
  <si>
    <t>CGL25042787</t>
  </si>
  <si>
    <t>2-002628</t>
  </si>
  <si>
    <t>CGL25042790</t>
  </si>
  <si>
    <t>2-002629</t>
  </si>
  <si>
    <t>CGL25032730</t>
  </si>
  <si>
    <t>1-002630</t>
  </si>
  <si>
    <t>CGL25022615</t>
  </si>
  <si>
    <t>1-002631</t>
  </si>
  <si>
    <t>CGL25042776</t>
  </si>
  <si>
    <t>2-002632</t>
  </si>
  <si>
    <t>CGL25042777</t>
  </si>
  <si>
    <t>2-002633</t>
  </si>
  <si>
    <t>CGL25042780</t>
  </si>
  <si>
    <t>1-002634</t>
  </si>
  <si>
    <t>CGL25032696</t>
  </si>
  <si>
    <t>1-002635</t>
  </si>
  <si>
    <t>CGL25032741</t>
  </si>
  <si>
    <t>2-002638</t>
  </si>
  <si>
    <t>CGL25042839</t>
  </si>
  <si>
    <t>1-002639</t>
  </si>
  <si>
    <t>CGL25042791</t>
  </si>
  <si>
    <t>1-002640</t>
  </si>
  <si>
    <t>CGL25042847</t>
  </si>
  <si>
    <t>1-002641</t>
  </si>
  <si>
    <t>CGL25042848</t>
  </si>
  <si>
    <t>2-002642</t>
  </si>
  <si>
    <t>CGL25042806</t>
  </si>
  <si>
    <t>2-002643</t>
  </si>
  <si>
    <t>CGL25042835</t>
  </si>
  <si>
    <t>1-002644</t>
  </si>
  <si>
    <t>CGL25042792</t>
  </si>
  <si>
    <t>2-002645</t>
  </si>
  <si>
    <t>CGL25042759</t>
  </si>
  <si>
    <t>2-002646</t>
  </si>
  <si>
    <t>CGL25042836</t>
  </si>
  <si>
    <t>2-002647</t>
  </si>
  <si>
    <t>CGL25042811</t>
  </si>
  <si>
    <t>2-002648</t>
  </si>
  <si>
    <t>CGL25042809</t>
  </si>
  <si>
    <t>2-002649</t>
  </si>
  <si>
    <t>CGL25042810</t>
  </si>
  <si>
    <t>2-002650</t>
  </si>
  <si>
    <t>CGL25042827</t>
  </si>
  <si>
    <t>2-002651</t>
  </si>
  <si>
    <t>CGL25042794</t>
  </si>
  <si>
    <t>1-002652</t>
  </si>
  <si>
    <t>CGL25042760</t>
  </si>
  <si>
    <t>2-002654</t>
  </si>
  <si>
    <t>CGL25032726</t>
  </si>
  <si>
    <t>2-002655</t>
  </si>
  <si>
    <t>CGL25042812</t>
  </si>
  <si>
    <t>2-002656</t>
  </si>
  <si>
    <t>CGL25042838</t>
  </si>
  <si>
    <t>2-002657</t>
  </si>
  <si>
    <t>CGL25042842</t>
  </si>
  <si>
    <t>1-002658</t>
  </si>
  <si>
    <t>CGL25042770</t>
  </si>
  <si>
    <t>1-002659</t>
  </si>
  <si>
    <t>CGL25042795</t>
  </si>
  <si>
    <t>1-002660</t>
  </si>
  <si>
    <t>CGL25042747</t>
  </si>
  <si>
    <t>2-002661</t>
  </si>
  <si>
    <t>CGL25042802</t>
  </si>
  <si>
    <t>1-002662</t>
  </si>
  <si>
    <t>CGL25032719</t>
  </si>
  <si>
    <t>1-002663</t>
  </si>
  <si>
    <t>CGL25042753</t>
  </si>
  <si>
    <t>1-002664</t>
  </si>
  <si>
    <t>1-002665</t>
  </si>
  <si>
    <t>CGL25032705</t>
  </si>
  <si>
    <t>1-002600</t>
  </si>
  <si>
    <t>CGL25032709</t>
  </si>
  <si>
    <t>1-002636</t>
  </si>
  <si>
    <t>CGL25032668</t>
  </si>
  <si>
    <t>1-002637</t>
  </si>
  <si>
    <t>2-002619</t>
  </si>
  <si>
    <t>CGL25042789</t>
  </si>
  <si>
    <t>2-002653</t>
  </si>
  <si>
    <t>CGL25042860</t>
  </si>
  <si>
    <t>1-002666</t>
  </si>
  <si>
    <t>T</t>
  </si>
  <si>
    <t>A</t>
  </si>
  <si>
    <t>M</t>
  </si>
  <si>
    <t>T OPERACIÓN</t>
  </si>
  <si>
    <t>2-002667</t>
  </si>
  <si>
    <t>CGL25042849</t>
  </si>
  <si>
    <t>2-002668</t>
  </si>
  <si>
    <t>CGL25042850</t>
  </si>
  <si>
    <t>2-002669</t>
  </si>
  <si>
    <t>CGL25042793</t>
  </si>
  <si>
    <t>2-002670</t>
  </si>
  <si>
    <t>CGL25042762</t>
  </si>
  <si>
    <t>1-002671</t>
  </si>
  <si>
    <t>CGL25042875</t>
  </si>
  <si>
    <t>1-002672</t>
  </si>
  <si>
    <t>CGL25042784</t>
  </si>
  <si>
    <t>1-002673</t>
  </si>
  <si>
    <t>CGL25042788</t>
  </si>
  <si>
    <t>2-002674</t>
  </si>
  <si>
    <t>CGL25032689</t>
  </si>
  <si>
    <t>2-002675</t>
  </si>
  <si>
    <t>CGL23030260</t>
  </si>
  <si>
    <t>2-002677</t>
  </si>
  <si>
    <t>CGL25042885</t>
  </si>
  <si>
    <t>1-002678</t>
  </si>
  <si>
    <t>CGL25042851</t>
  </si>
  <si>
    <t>1-002680</t>
  </si>
  <si>
    <t>CGL25042884</t>
  </si>
  <si>
    <t>2-002681</t>
  </si>
  <si>
    <t>CGL25042877</t>
  </si>
  <si>
    <t>2-002682</t>
  </si>
  <si>
    <t>CGL25052886</t>
  </si>
  <si>
    <t>2-002683</t>
  </si>
  <si>
    <t>CGL25042743</t>
  </si>
  <si>
    <t>2-002684</t>
  </si>
  <si>
    <t>CGL25052893</t>
  </si>
  <si>
    <t>2-002685</t>
  </si>
  <si>
    <t>CGL25042881</t>
  </si>
  <si>
    <t>1-002686</t>
  </si>
  <si>
    <t>CGL25042857</t>
  </si>
  <si>
    <t>2-002687</t>
  </si>
  <si>
    <t>CGL25042858</t>
  </si>
  <si>
    <t>1-002688</t>
  </si>
  <si>
    <t>CGL25042855</t>
  </si>
  <si>
    <t>1-002689</t>
  </si>
  <si>
    <t>CGL25052901</t>
  </si>
  <si>
    <t>1-002690</t>
  </si>
  <si>
    <t>CGL25042859</t>
  </si>
  <si>
    <t>1-002691</t>
  </si>
  <si>
    <t>CGL25052887</t>
  </si>
  <si>
    <t>2-002694</t>
  </si>
  <si>
    <t>CGL25042761</t>
  </si>
  <si>
    <t>2-002695</t>
  </si>
  <si>
    <t>CGL25042754</t>
  </si>
  <si>
    <t>1-002692</t>
  </si>
  <si>
    <t>C0097</t>
  </si>
  <si>
    <t>CORPORATIVO ADUANAL ROBLES</t>
  </si>
  <si>
    <t>1-002696</t>
  </si>
  <si>
    <t>CGL25042775</t>
  </si>
  <si>
    <t>2-002697</t>
  </si>
  <si>
    <t>CGL25052907</t>
  </si>
  <si>
    <t>2-002698</t>
  </si>
  <si>
    <t>CGL25042768</t>
  </si>
  <si>
    <t>1-002699</t>
  </si>
  <si>
    <t>CGL25042852</t>
  </si>
  <si>
    <t>2-002700</t>
  </si>
  <si>
    <t>CGL25042876</t>
  </si>
  <si>
    <t>2-002701</t>
  </si>
  <si>
    <t>CGL25052908</t>
  </si>
  <si>
    <t>1-002702</t>
  </si>
  <si>
    <t>CGL25042807</t>
  </si>
  <si>
    <t>1-002703</t>
  </si>
  <si>
    <t>CGL25042841</t>
  </si>
  <si>
    <t>2-002704</t>
  </si>
  <si>
    <t>CGL25052894</t>
  </si>
  <si>
    <t>1-002705</t>
  </si>
  <si>
    <t>CGL25042821</t>
  </si>
  <si>
    <t>1-002706</t>
  </si>
  <si>
    <t>CGL25052935</t>
  </si>
  <si>
    <t>2-002707</t>
  </si>
  <si>
    <t>CGL25052910</t>
  </si>
  <si>
    <t>2-002708</t>
  </si>
  <si>
    <t>CGL25052911</t>
  </si>
  <si>
    <t>2-002709</t>
  </si>
  <si>
    <t>CGL25052912</t>
  </si>
  <si>
    <t>1-002710</t>
  </si>
  <si>
    <t>CGL25042861</t>
  </si>
  <si>
    <t>1-002711</t>
  </si>
  <si>
    <t>CGL25042862</t>
  </si>
  <si>
    <t>2-002712</t>
  </si>
  <si>
    <t>CGL25042765</t>
  </si>
  <si>
    <t>2-002713</t>
  </si>
  <si>
    <t>CGL25042758</t>
  </si>
  <si>
    <t>2-002714</t>
  </si>
  <si>
    <t>CGL25042764</t>
  </si>
  <si>
    <t>2-002715</t>
  </si>
  <si>
    <t>CGL25052921</t>
  </si>
  <si>
    <t>2-002716</t>
  </si>
  <si>
    <t>CGL25042872</t>
  </si>
  <si>
    <t>1-002717</t>
  </si>
  <si>
    <t>CGL25042831</t>
  </si>
  <si>
    <t>1-002718</t>
  </si>
  <si>
    <t>CGL25042820</t>
  </si>
  <si>
    <t>1-002719</t>
  </si>
  <si>
    <t>CGL25042819</t>
  </si>
  <si>
    <t>1-002720</t>
  </si>
  <si>
    <t>CGL25042818</t>
  </si>
  <si>
    <t>1-002721</t>
  </si>
  <si>
    <t>CGL25042823</t>
  </si>
  <si>
    <t>1-002722</t>
  </si>
  <si>
    <t>CGL25042817</t>
  </si>
  <si>
    <t>1-002723</t>
  </si>
  <si>
    <t>CGL25042816</t>
  </si>
  <si>
    <t>1-002724</t>
  </si>
  <si>
    <t>CGL25042815</t>
  </si>
  <si>
    <t>1-002725</t>
  </si>
  <si>
    <t>CGL25042801</t>
  </si>
  <si>
    <t>1-002726</t>
  </si>
  <si>
    <t>CGL25042813</t>
  </si>
  <si>
    <t>1-002727</t>
  </si>
  <si>
    <t>CGL25042833</t>
  </si>
  <si>
    <t>1-002728</t>
  </si>
  <si>
    <t>CGL25042822</t>
  </si>
  <si>
    <t>1-002729</t>
  </si>
  <si>
    <t>CGL25042828</t>
  </si>
  <si>
    <t>1-002730</t>
  </si>
  <si>
    <t>CGL25042799</t>
  </si>
  <si>
    <t>1-002731</t>
  </si>
  <si>
    <t>CGL25042803</t>
  </si>
  <si>
    <t>1-002732</t>
  </si>
  <si>
    <t>CGL25042853</t>
  </si>
  <si>
    <t>1-002733</t>
  </si>
  <si>
    <t>CGL25052902</t>
  </si>
  <si>
    <t>1-002734</t>
  </si>
  <si>
    <t>CGL25042868</t>
  </si>
  <si>
    <t>1-002735</t>
  </si>
  <si>
    <t>CGL25042805</t>
  </si>
  <si>
    <t>1-002736</t>
  </si>
  <si>
    <t>CGL25042804</t>
  </si>
  <si>
    <t>2-002737</t>
  </si>
  <si>
    <t>CGL25052892</t>
  </si>
  <si>
    <t>1-002738</t>
  </si>
  <si>
    <t>CGL25052897</t>
  </si>
  <si>
    <t>2-002739</t>
  </si>
  <si>
    <t>CGL25052896</t>
  </si>
  <si>
    <t>2-002740</t>
  </si>
  <si>
    <t>CGL25052923</t>
  </si>
  <si>
    <t>2-002741</t>
  </si>
  <si>
    <t>CGL25052895</t>
  </si>
  <si>
    <t>2-002742</t>
  </si>
  <si>
    <t>CGL25052940</t>
  </si>
  <si>
    <t>2-002743</t>
  </si>
  <si>
    <t>CGL25052945</t>
  </si>
  <si>
    <t>1-002744</t>
  </si>
  <si>
    <t>CGL25042840</t>
  </si>
  <si>
    <t>1-002745</t>
  </si>
  <si>
    <t>CGL25042772</t>
  </si>
  <si>
    <t>1-002746</t>
  </si>
  <si>
    <t>1-002747</t>
  </si>
  <si>
    <t>1-002748</t>
  </si>
  <si>
    <t>CGL25042834</t>
  </si>
  <si>
    <t>2-002749</t>
  </si>
  <si>
    <t>CGL25042767</t>
  </si>
  <si>
    <t>1-002750</t>
  </si>
  <si>
    <t>CGL25042856</t>
  </si>
  <si>
    <t>1-002751</t>
  </si>
  <si>
    <t>CGL25052904</t>
  </si>
  <si>
    <t>1-002752</t>
  </si>
  <si>
    <t>CGL25052903</t>
  </si>
  <si>
    <t>1-002753 0 %</t>
  </si>
  <si>
    <t>CGL25042854</t>
  </si>
  <si>
    <t>1-002753</t>
  </si>
  <si>
    <t>1-002754</t>
  </si>
  <si>
    <t>CGL25042749</t>
  </si>
  <si>
    <t>1-002755</t>
  </si>
  <si>
    <t>CGL25032643</t>
  </si>
  <si>
    <t>2-002756</t>
  </si>
  <si>
    <t>CGL25052931</t>
  </si>
  <si>
    <t>1-002757</t>
  </si>
  <si>
    <t>CGL25052929</t>
  </si>
  <si>
    <t>1-002758</t>
  </si>
  <si>
    <t>CGL25052928</t>
  </si>
  <si>
    <t>1-002759</t>
  </si>
  <si>
    <t>CGL25052888</t>
  </si>
  <si>
    <t>1-002760</t>
  </si>
  <si>
    <t>CGL25052930</t>
  </si>
  <si>
    <t>1-002761</t>
  </si>
  <si>
    <t>CGL25042874</t>
  </si>
  <si>
    <t>2-002762</t>
  </si>
  <si>
    <t>CGL25052899</t>
  </si>
  <si>
    <t>2-002763</t>
  </si>
  <si>
    <t>CGL25052913</t>
  </si>
  <si>
    <t>2-002764</t>
  </si>
  <si>
    <t>CGL25052914</t>
  </si>
  <si>
    <t>2-002765</t>
  </si>
  <si>
    <t>CGL25042845</t>
  </si>
  <si>
    <t>2-002766</t>
  </si>
  <si>
    <t>CGL25052920</t>
  </si>
  <si>
    <t>1-002767</t>
  </si>
  <si>
    <t>CGL25042800</t>
  </si>
  <si>
    <t>1-002768</t>
  </si>
  <si>
    <t>CGL25052924</t>
  </si>
  <si>
    <t>2-002769</t>
  </si>
  <si>
    <t>CGL25052922</t>
  </si>
  <si>
    <t>2-002772</t>
  </si>
  <si>
    <t>CGL25042763</t>
  </si>
  <si>
    <t>2-002773</t>
  </si>
  <si>
    <t>CGL25042832</t>
  </si>
  <si>
    <t>2-002774</t>
  </si>
  <si>
    <t>CGL25052953</t>
  </si>
  <si>
    <t>1-002775</t>
  </si>
  <si>
    <t>CGL25052926</t>
  </si>
  <si>
    <t>1-002776</t>
  </si>
  <si>
    <t>CGL25052932</t>
  </si>
  <si>
    <t>1-002777</t>
  </si>
  <si>
    <t>CGL25052933</t>
  </si>
  <si>
    <t>2-002778</t>
  </si>
  <si>
    <t>CGL25052961</t>
  </si>
  <si>
    <t>1-002779</t>
  </si>
  <si>
    <t>2-002780</t>
  </si>
  <si>
    <t>CGL25052960</t>
  </si>
  <si>
    <t>1-002781</t>
  </si>
  <si>
    <t>CGL25052943</t>
  </si>
  <si>
    <t>2-002782</t>
  </si>
  <si>
    <t>CGL25052951</t>
  </si>
  <si>
    <t>2-002783</t>
  </si>
  <si>
    <t>CGL25052952</t>
  </si>
  <si>
    <t>2-002784</t>
  </si>
  <si>
    <t>CGL25052889</t>
  </si>
  <si>
    <t>2-002785</t>
  </si>
  <si>
    <t>CGL25052950</t>
  </si>
  <si>
    <t>2-002786</t>
  </si>
  <si>
    <t>CGL25052949</t>
  </si>
  <si>
    <t>2-002787</t>
  </si>
  <si>
    <t>CGL25052959</t>
  </si>
  <si>
    <t>2-002790</t>
  </si>
  <si>
    <t>CGL25052968</t>
  </si>
  <si>
    <t>2-002791</t>
  </si>
  <si>
    <t>CGL25052974</t>
  </si>
  <si>
    <t>2-002792</t>
  </si>
  <si>
    <t>CGL25052967</t>
  </si>
  <si>
    <t>1-002793</t>
  </si>
  <si>
    <t>CGL25042798</t>
  </si>
  <si>
    <t>1-002794</t>
  </si>
  <si>
    <t>1-002795</t>
  </si>
  <si>
    <t>1-002796</t>
  </si>
  <si>
    <t>CGL25052918</t>
  </si>
  <si>
    <t>1-002797</t>
  </si>
  <si>
    <t>CGL25052919</t>
  </si>
  <si>
    <t>1-002798</t>
  </si>
  <si>
    <t>CGL25052917</t>
  </si>
  <si>
    <t>1-002799</t>
  </si>
  <si>
    <t>CGL25052916</t>
  </si>
  <si>
    <t>1-002800</t>
  </si>
  <si>
    <t>CGL25052909</t>
  </si>
  <si>
    <t>1-002801</t>
  </si>
  <si>
    <t>CGL25052906</t>
  </si>
  <si>
    <t>1-002802</t>
  </si>
  <si>
    <t>CGL25052956</t>
  </si>
  <si>
    <t>1-002803</t>
  </si>
  <si>
    <t>CGL25052954</t>
  </si>
  <si>
    <t>1-002804</t>
  </si>
  <si>
    <t>CGL25052955</t>
  </si>
  <si>
    <t>1-002806</t>
  </si>
  <si>
    <t>CGL25052966</t>
  </si>
  <si>
    <t>1-002809</t>
  </si>
  <si>
    <t>CGL25042873</t>
  </si>
  <si>
    <t>2-002810</t>
  </si>
  <si>
    <t>CGL25052941</t>
  </si>
  <si>
    <t>2-002811</t>
  </si>
  <si>
    <t>CGL25052998</t>
  </si>
  <si>
    <t>2-002812</t>
  </si>
  <si>
    <t>CGL25052996</t>
  </si>
  <si>
    <t>2-002813</t>
  </si>
  <si>
    <t>CGL25052981</t>
  </si>
  <si>
    <t>2-002814</t>
  </si>
  <si>
    <t>CGL25052982</t>
  </si>
  <si>
    <t>2-002815</t>
  </si>
  <si>
    <t>CGL25052964</t>
  </si>
  <si>
    <t>1-002816</t>
  </si>
  <si>
    <t>CGL25052973</t>
  </si>
  <si>
    <t>1-002676</t>
  </si>
  <si>
    <t>CGL25042814</t>
  </si>
  <si>
    <t>1-002679</t>
  </si>
  <si>
    <t>2-002771</t>
  </si>
  <si>
    <t>CGL25052942</t>
  </si>
  <si>
    <t>1-002788</t>
  </si>
  <si>
    <t>CGL25052925</t>
  </si>
  <si>
    <t>1-002789</t>
  </si>
  <si>
    <t>1-002805</t>
  </si>
  <si>
    <t>CGL25052915</t>
  </si>
  <si>
    <t>1-002807</t>
  </si>
  <si>
    <t>CGL25042746</t>
  </si>
  <si>
    <t>1-002808</t>
  </si>
  <si>
    <t>NA</t>
  </si>
  <si>
    <t>MELISSA</t>
  </si>
  <si>
    <t>1-002817</t>
  </si>
  <si>
    <t>2-002818</t>
  </si>
  <si>
    <t>1-002819</t>
  </si>
  <si>
    <t>2-002820</t>
  </si>
  <si>
    <t>1-002821</t>
  </si>
  <si>
    <t>1-002822</t>
  </si>
  <si>
    <t>1-002823</t>
  </si>
  <si>
    <t>2-002824</t>
  </si>
  <si>
    <t>2-002825</t>
  </si>
  <si>
    <t>2-002826</t>
  </si>
  <si>
    <t>1-002827</t>
  </si>
  <si>
    <t>1-002829</t>
  </si>
  <si>
    <t>1-002830</t>
  </si>
  <si>
    <t>1-002831</t>
  </si>
  <si>
    <t>2-002832</t>
  </si>
  <si>
    <t>2-002833</t>
  </si>
  <si>
    <t>2-002834</t>
  </si>
  <si>
    <t>1-002835</t>
  </si>
  <si>
    <t>2-002836</t>
  </si>
  <si>
    <t>2-002837</t>
  </si>
  <si>
    <t>2-002838</t>
  </si>
  <si>
    <t>2-002839</t>
  </si>
  <si>
    <t>2-002841</t>
  </si>
  <si>
    <t>2-002842</t>
  </si>
  <si>
    <t>2-002843</t>
  </si>
  <si>
    <t>2-002844</t>
  </si>
  <si>
    <t>1-002845</t>
  </si>
  <si>
    <t>1-002846</t>
  </si>
  <si>
    <t>1-002847</t>
  </si>
  <si>
    <t>1-002848</t>
  </si>
  <si>
    <t>1-002849</t>
  </si>
  <si>
    <t>2-002850</t>
  </si>
  <si>
    <t>2-002851</t>
  </si>
  <si>
    <t>2-002852</t>
  </si>
  <si>
    <t>2-002853</t>
  </si>
  <si>
    <t>2-002854</t>
  </si>
  <si>
    <t>1-002855</t>
  </si>
  <si>
    <t>2-002856</t>
  </si>
  <si>
    <t>2-002857</t>
  </si>
  <si>
    <t>2-002858</t>
  </si>
  <si>
    <t>1-002859</t>
  </si>
  <si>
    <t>1-002860</t>
  </si>
  <si>
    <t>2-002862</t>
  </si>
  <si>
    <t>1-002861</t>
  </si>
  <si>
    <t>1-002863</t>
  </si>
  <si>
    <t>2-002864</t>
  </si>
  <si>
    <t>2-002865</t>
  </si>
  <si>
    <t>2-002866</t>
  </si>
  <si>
    <t>1-002867</t>
  </si>
  <si>
    <t>1-002868</t>
  </si>
  <si>
    <t>1-002869</t>
  </si>
  <si>
    <t>1-002870</t>
  </si>
  <si>
    <t>1-002871</t>
  </si>
  <si>
    <t>1-002872</t>
  </si>
  <si>
    <t>2-002873</t>
  </si>
  <si>
    <t>1-002874</t>
  </si>
  <si>
    <t>1-002875</t>
  </si>
  <si>
    <t>1-002876</t>
  </si>
  <si>
    <t>1-002877</t>
  </si>
  <si>
    <t>2-002878</t>
  </si>
  <si>
    <t>1-002879</t>
  </si>
  <si>
    <t>1-002880</t>
  </si>
  <si>
    <t>2-002881</t>
  </si>
  <si>
    <t>1-002882</t>
  </si>
  <si>
    <t>2-002883</t>
  </si>
  <si>
    <t>2-002884</t>
  </si>
  <si>
    <t>1-002885</t>
  </si>
  <si>
    <t>1-002887</t>
  </si>
  <si>
    <t>2-002888</t>
  </si>
  <si>
    <t>1-002889</t>
  </si>
  <si>
    <t>CGL25042871</t>
  </si>
  <si>
    <t>CGL25052994</t>
  </si>
  <si>
    <t>CGL25052990</t>
  </si>
  <si>
    <t>CGL25052979</t>
  </si>
  <si>
    <t>CGL25052980</t>
  </si>
  <si>
    <t>CGL25052977</t>
  </si>
  <si>
    <t>CGL25052972</t>
  </si>
  <si>
    <t>CGL25052989</t>
  </si>
  <si>
    <t>CGL25053010</t>
  </si>
  <si>
    <t>CGL25052997</t>
  </si>
  <si>
    <t>CGL25052971</t>
  </si>
  <si>
    <t>CGL25052970</t>
  </si>
  <si>
    <t>CGL25052958</t>
  </si>
  <si>
    <t>CGL25052993</t>
  </si>
  <si>
    <t>CGL25053018</t>
  </si>
  <si>
    <t>CGL25053019</t>
  </si>
  <si>
    <t>CGL25063052</t>
  </si>
  <si>
    <t>CGL25063078</t>
  </si>
  <si>
    <t>CGL25063079</t>
  </si>
  <si>
    <t>CGL25042865</t>
  </si>
  <si>
    <t>CGL25042867</t>
  </si>
  <si>
    <t>CGL25063045</t>
  </si>
  <si>
    <t>CGL25063054</t>
  </si>
  <si>
    <t>CGL25053009</t>
  </si>
  <si>
    <t>CGL25063073</t>
  </si>
  <si>
    <t>CGL25052991</t>
  </si>
  <si>
    <t>CGL25053003</t>
  </si>
  <si>
    <t>CGL25063046</t>
  </si>
  <si>
    <t>CGL25063044</t>
  </si>
  <si>
    <t>CGL25053008</t>
  </si>
  <si>
    <t>CGL25052983</t>
  </si>
  <si>
    <t>CGL25052890</t>
  </si>
  <si>
    <t>CGL25063093</t>
  </si>
  <si>
    <t>CGL25063110</t>
  </si>
  <si>
    <t>CGL25063112</t>
  </si>
  <si>
    <t>CGL25063047</t>
  </si>
  <si>
    <t>CGL25063118</t>
  </si>
  <si>
    <t>CGL25063116</t>
  </si>
  <si>
    <t>CGL25063053</t>
  </si>
  <si>
    <t>CGL25052992</t>
  </si>
  <si>
    <t>CGL25063014</t>
  </si>
  <si>
    <t>CGL25063115</t>
  </si>
  <si>
    <t>CGL25063032</t>
  </si>
  <si>
    <t>CGL25063015</t>
  </si>
  <si>
    <t>CGL25063034</t>
  </si>
  <si>
    <t>CGL25063074</t>
  </si>
  <si>
    <t>CGL25063087</t>
  </si>
  <si>
    <t>CGL25063058</t>
  </si>
  <si>
    <t>CGL25052957</t>
  </si>
  <si>
    <t>CGL25063076</t>
  </si>
  <si>
    <t>CGL25063016</t>
  </si>
  <si>
    <t>CGL25063043</t>
  </si>
  <si>
    <t>CGL25063056</t>
  </si>
  <si>
    <t>CGL25063123</t>
  </si>
  <si>
    <t>CGL25063150</t>
  </si>
  <si>
    <t>CGL25052999</t>
  </si>
  <si>
    <t>CGL25063080</t>
  </si>
  <si>
    <t>CGL25063089</t>
  </si>
  <si>
    <t>CGL25063086</t>
  </si>
  <si>
    <t>CGL25063091</t>
  </si>
  <si>
    <t>CGL25063152</t>
  </si>
  <si>
    <t>CGL25053006</t>
  </si>
  <si>
    <t>CGL25063113</t>
  </si>
  <si>
    <t>CGL25063141</t>
  </si>
  <si>
    <t>CGL25063084</t>
  </si>
  <si>
    <t>CGL25063114</t>
  </si>
  <si>
    <t>CGL25032663</t>
  </si>
  <si>
    <t>1-002828</t>
  </si>
  <si>
    <t>1-002840</t>
  </si>
  <si>
    <t>CGL25063055</t>
  </si>
  <si>
    <t>1-002886</t>
  </si>
  <si>
    <t>LOREFANY</t>
  </si>
  <si>
    <t>2-002890</t>
  </si>
  <si>
    <t>CGL25063092</t>
  </si>
  <si>
    <t>2-002891</t>
  </si>
  <si>
    <t>CGL25063090</t>
  </si>
  <si>
    <t>2-002892</t>
  </si>
  <si>
    <t>CGL25063070</t>
  </si>
  <si>
    <t>2-002893</t>
  </si>
  <si>
    <t>CGL25063170</t>
  </si>
  <si>
    <t>2-002894</t>
  </si>
  <si>
    <t>CGL25063066</t>
  </si>
  <si>
    <t>2-002895</t>
  </si>
  <si>
    <t>CGL25063039</t>
  </si>
  <si>
    <t>2-002896</t>
  </si>
  <si>
    <t>CGL25052975</t>
  </si>
  <si>
    <t>2-002897</t>
  </si>
  <si>
    <t>CGL25063069</t>
  </si>
  <si>
    <t>2-002898</t>
  </si>
  <si>
    <t>CGL25063041</t>
  </si>
  <si>
    <t>2-002899</t>
  </si>
  <si>
    <t>CGL25053012</t>
  </si>
  <si>
    <t>2-002900</t>
  </si>
  <si>
    <t>CGL25063117</t>
  </si>
  <si>
    <t>2-002901</t>
  </si>
  <si>
    <t>CGL25063125</t>
  </si>
  <si>
    <t>2-002902</t>
  </si>
  <si>
    <t>CGL25053028</t>
  </si>
  <si>
    <t>2-002903</t>
  </si>
  <si>
    <t>CGL25052984</t>
  </si>
  <si>
    <t>2-002904</t>
  </si>
  <si>
    <t>CGL25063161</t>
  </si>
  <si>
    <t>2-002905</t>
  </si>
  <si>
    <t>CGL25063164</t>
  </si>
  <si>
    <t>2-002906</t>
  </si>
  <si>
    <t>CGL25063106</t>
  </si>
  <si>
    <t>2-002907</t>
  </si>
  <si>
    <t>CGL25063040</t>
  </si>
  <si>
    <t>2-002908</t>
  </si>
  <si>
    <t>CGL25063033</t>
  </si>
  <si>
    <t>2-002909</t>
  </si>
  <si>
    <t>CGL25063038</t>
  </si>
  <si>
    <t>2-002910</t>
  </si>
  <si>
    <t>CGL25053004</t>
  </si>
  <si>
    <t>2-002911</t>
  </si>
  <si>
    <t>CGL25063126</t>
  </si>
  <si>
    <t>2-002912</t>
  </si>
  <si>
    <t>CGL25063121</t>
  </si>
  <si>
    <t>2-002913</t>
  </si>
  <si>
    <t>CGL25063147</t>
  </si>
  <si>
    <t>2-002914</t>
  </si>
  <si>
    <t>CGL25063148</t>
  </si>
  <si>
    <t>2-002915</t>
  </si>
  <si>
    <t>CGL25063173</t>
  </si>
  <si>
    <t>1-002916</t>
  </si>
  <si>
    <t>CGL25063111</t>
  </si>
  <si>
    <t>2-002917</t>
  </si>
  <si>
    <t>CGL25063171</t>
  </si>
  <si>
    <t>2-002918</t>
  </si>
  <si>
    <t>CGL25063128</t>
  </si>
  <si>
    <t>1-002919</t>
  </si>
  <si>
    <t>CGL25063138</t>
  </si>
  <si>
    <t>2-002920</t>
  </si>
  <si>
    <t>CGL25052978</t>
  </si>
  <si>
    <t>1-002921</t>
  </si>
  <si>
    <t>CGL25063085</t>
  </si>
  <si>
    <t>1-002922</t>
  </si>
  <si>
    <t>CGL25063145</t>
  </si>
  <si>
    <t>1-002923</t>
  </si>
  <si>
    <t>CGL25063146</t>
  </si>
  <si>
    <t>1-002924</t>
  </si>
  <si>
    <t>CGL25063151</t>
  </si>
  <si>
    <t>1-002925</t>
  </si>
  <si>
    <t>CGL25063162</t>
  </si>
  <si>
    <t>1-002926</t>
  </si>
  <si>
    <t>CGL25063169</t>
  </si>
  <si>
    <t>2-002927</t>
  </si>
  <si>
    <t>CGL25053030</t>
  </si>
  <si>
    <t>2-002929</t>
  </si>
  <si>
    <t>CGL25053013</t>
  </si>
  <si>
    <t>2-002930</t>
  </si>
  <si>
    <t>CGL25063127</t>
  </si>
  <si>
    <t>1-002931</t>
  </si>
  <si>
    <t>CGL25063139</t>
  </si>
  <si>
    <t>2-002932</t>
  </si>
  <si>
    <t>CGL25073204</t>
  </si>
  <si>
    <t>2-002933</t>
  </si>
  <si>
    <t>CGL25063175</t>
  </si>
  <si>
    <t>2-002934</t>
  </si>
  <si>
    <t>CGL25073203</t>
  </si>
  <si>
    <t>2-002935</t>
  </si>
  <si>
    <t>CGL25073205</t>
  </si>
  <si>
    <t>2-002936</t>
  </si>
  <si>
    <t>CGL25063130</t>
  </si>
  <si>
    <t>2-002937</t>
  </si>
  <si>
    <t>CGL25063158</t>
  </si>
  <si>
    <t>2-002938</t>
  </si>
  <si>
    <t>CGL25063176</t>
  </si>
  <si>
    <t>1-002939</t>
  </si>
  <si>
    <t>CGL25073185</t>
  </si>
  <si>
    <t>1-002940</t>
  </si>
  <si>
    <t>CGL25052995</t>
  </si>
  <si>
    <t>2-002941</t>
  </si>
  <si>
    <t>CGL25073230</t>
  </si>
  <si>
    <t>2-002942</t>
  </si>
  <si>
    <t>CGL25063137</t>
  </si>
  <si>
    <t>2-002943</t>
  </si>
  <si>
    <t>CGL25073184</t>
  </si>
  <si>
    <t>1-002944</t>
  </si>
  <si>
    <t>CGL25073202</t>
  </si>
  <si>
    <t xml:space="preserve">MEGALUMINIO SERVICIOS </t>
  </si>
  <si>
    <t>2-002945</t>
  </si>
  <si>
    <t>CGL25073201</t>
  </si>
  <si>
    <t>1-002946</t>
  </si>
  <si>
    <t>CGL25063140</t>
  </si>
  <si>
    <t>2-002948</t>
  </si>
  <si>
    <t>CGL25042786</t>
  </si>
  <si>
    <t>2-002949</t>
  </si>
  <si>
    <t>CGL25063065</t>
  </si>
  <si>
    <t>1-002950</t>
  </si>
  <si>
    <t>CGL25073231</t>
  </si>
  <si>
    <t>2-002951</t>
  </si>
  <si>
    <t>CGL25073199</t>
  </si>
  <si>
    <t>1-002952</t>
  </si>
  <si>
    <t>CGL25063149</t>
  </si>
  <si>
    <t>1-002953</t>
  </si>
  <si>
    <t>CGL25053000</t>
  </si>
  <si>
    <t>1-002954</t>
  </si>
  <si>
    <t>CGL25053017</t>
  </si>
  <si>
    <t>2-002955</t>
  </si>
  <si>
    <t>CGL25073195</t>
  </si>
  <si>
    <t>2-002958</t>
  </si>
  <si>
    <t>CGL25063182</t>
  </si>
  <si>
    <t>1-002959</t>
  </si>
  <si>
    <t>1-002960</t>
  </si>
  <si>
    <t>CGL25063077</t>
  </si>
  <si>
    <t>1-002961</t>
  </si>
  <si>
    <t>CGL25053001</t>
  </si>
  <si>
    <t>1-002962</t>
  </si>
  <si>
    <t>1-002963</t>
  </si>
  <si>
    <t>CGL25053011</t>
  </si>
  <si>
    <t>1-002964</t>
  </si>
  <si>
    <t>2-002965</t>
  </si>
  <si>
    <t>CGL25073241</t>
  </si>
  <si>
    <t>2-002968</t>
  </si>
  <si>
    <t>CGL25063156</t>
  </si>
  <si>
    <t>2-002969</t>
  </si>
  <si>
    <t>CGL25063142</t>
  </si>
  <si>
    <t xml:space="preserve">SELLOS Y RETENES DE SAN LUIS </t>
  </si>
  <si>
    <t>2-002970</t>
  </si>
  <si>
    <t>CGL25063143</t>
  </si>
  <si>
    <t>1-002971</t>
  </si>
  <si>
    <t>CGL25063178</t>
  </si>
  <si>
    <t>1-002972</t>
  </si>
  <si>
    <t>CGL25063165</t>
  </si>
  <si>
    <t>C0040</t>
  </si>
  <si>
    <t>NAPS-GUANAJUATO MULTITECH</t>
  </si>
  <si>
    <t>2-002973</t>
  </si>
  <si>
    <t>CGL25073187</t>
  </si>
  <si>
    <t>1-002974</t>
  </si>
  <si>
    <t>CGL25073229</t>
  </si>
  <si>
    <t>1-002975</t>
  </si>
  <si>
    <t>CGL25063167</t>
  </si>
  <si>
    <t>1-002976</t>
  </si>
  <si>
    <t>CGL25073213</t>
  </si>
  <si>
    <t>1-002977</t>
  </si>
  <si>
    <t>CGL25073206</t>
  </si>
  <si>
    <t>1-002978</t>
  </si>
  <si>
    <t>CGL25073214</t>
  </si>
  <si>
    <t>1-002979</t>
  </si>
  <si>
    <t>CGL25073218</t>
  </si>
  <si>
    <t>1-002980</t>
  </si>
  <si>
    <t>CGL25073219</t>
  </si>
  <si>
    <t>1-002981</t>
  </si>
  <si>
    <t>CGL25073220</t>
  </si>
  <si>
    <t>1-002982</t>
  </si>
  <si>
    <t>CGL25073244</t>
  </si>
  <si>
    <t>2-002983</t>
  </si>
  <si>
    <t>CGL25073247</t>
  </si>
  <si>
    <t>2-002986</t>
  </si>
  <si>
    <t>CGL25063179</t>
  </si>
  <si>
    <t>2-002987</t>
  </si>
  <si>
    <t>CGL25063131</t>
  </si>
  <si>
    <t>2-002988</t>
  </si>
  <si>
    <t>CGL25063157</t>
  </si>
  <si>
    <t>1-002989</t>
  </si>
  <si>
    <t>CGL25063166</t>
  </si>
  <si>
    <t>2-002990</t>
  </si>
  <si>
    <t>CGL25073234</t>
  </si>
  <si>
    <t>2-002991</t>
  </si>
  <si>
    <t>CGL25073251</t>
  </si>
  <si>
    <t>1-002992</t>
  </si>
  <si>
    <t>CGL25063057</t>
  </si>
  <si>
    <t>2-002993</t>
  </si>
  <si>
    <t>CGL25073281</t>
  </si>
  <si>
    <t>2-002994</t>
  </si>
  <si>
    <t>CGL25063181</t>
  </si>
  <si>
    <t>2-002995</t>
  </si>
  <si>
    <t>CGL25073210</t>
  </si>
  <si>
    <t>1-002996</t>
  </si>
  <si>
    <t>CGL25053021</t>
  </si>
  <si>
    <t>1-002997</t>
  </si>
  <si>
    <t>CGL25073225</t>
  </si>
  <si>
    <t>1-002998</t>
  </si>
  <si>
    <t>CGL25073226</t>
  </si>
  <si>
    <t>1-002999</t>
  </si>
  <si>
    <t>CGL25073227</t>
  </si>
  <si>
    <t>2-003000</t>
  </si>
  <si>
    <t>CGL25063180</t>
  </si>
  <si>
    <t>1-003001</t>
  </si>
  <si>
    <t>CGL25063075</t>
  </si>
  <si>
    <t>2-003002</t>
  </si>
  <si>
    <t>CGL25042752</t>
  </si>
  <si>
    <t>1-003003</t>
  </si>
  <si>
    <t>CGL25053002</t>
  </si>
  <si>
    <t>2-003005</t>
  </si>
  <si>
    <t>CGL25073284</t>
  </si>
  <si>
    <t>2-003006</t>
  </si>
  <si>
    <t>CGL25073196</t>
  </si>
  <si>
    <t>2-003007</t>
  </si>
  <si>
    <t>CGL25063132</t>
  </si>
  <si>
    <t>1-003008</t>
  </si>
  <si>
    <t>CGL25053020</t>
  </si>
  <si>
    <t>1-003009</t>
  </si>
  <si>
    <t>CGL25073174</t>
  </si>
  <si>
    <t>1-003010</t>
  </si>
  <si>
    <t>CGL25073232</t>
  </si>
  <si>
    <t>2-003011</t>
  </si>
  <si>
    <t>CGL25063102</t>
  </si>
  <si>
    <t>1-003013</t>
  </si>
  <si>
    <t>CGL25063109</t>
  </si>
  <si>
    <t>2-003014</t>
  </si>
  <si>
    <t>CGL25073287</t>
  </si>
  <si>
    <t>1-003015</t>
  </si>
  <si>
    <t>CGL25063107</t>
  </si>
  <si>
    <t>2-003016</t>
  </si>
  <si>
    <t>CGL25073211</t>
  </si>
  <si>
    <t>2-003017</t>
  </si>
  <si>
    <t>CGL25073209</t>
  </si>
  <si>
    <t>1-003019</t>
  </si>
  <si>
    <t>CGL25063048</t>
  </si>
  <si>
    <t>1-003020</t>
  </si>
  <si>
    <t xml:space="preserve">CORPORATIVO ADUANAL ROBLES </t>
  </si>
  <si>
    <t>1-003021</t>
  </si>
  <si>
    <t>CGL25063168</t>
  </si>
  <si>
    <t>1-003022</t>
  </si>
  <si>
    <t>CGL25053027</t>
  </si>
  <si>
    <t>1-003023</t>
  </si>
  <si>
    <t>CGL25052946</t>
  </si>
  <si>
    <t>C0099</t>
  </si>
  <si>
    <t>DIGIT AUTOMOTIVE DE MEXICO</t>
  </si>
  <si>
    <t>2-003024</t>
  </si>
  <si>
    <t>CGL25063183</t>
  </si>
  <si>
    <t>1-003025</t>
  </si>
  <si>
    <t>CGL25073262</t>
  </si>
  <si>
    <t>2-003026</t>
  </si>
  <si>
    <t>CGL25073298</t>
  </si>
  <si>
    <t>1-003027</t>
  </si>
  <si>
    <t>CGL25063081</t>
  </si>
  <si>
    <t>1-003028</t>
  </si>
  <si>
    <t>CGL25073186</t>
  </si>
  <si>
    <t>1-003029</t>
  </si>
  <si>
    <t>CGL25073264</t>
  </si>
  <si>
    <t>1-003030</t>
  </si>
  <si>
    <t>CGL25073223</t>
  </si>
  <si>
    <t>2-003031</t>
  </si>
  <si>
    <t>CGL25073267</t>
  </si>
  <si>
    <t>2-003032</t>
  </si>
  <si>
    <t>CGL25073250</t>
  </si>
  <si>
    <t>1-003034</t>
  </si>
  <si>
    <t>CGL25063051</t>
  </si>
  <si>
    <t>1-003035</t>
  </si>
  <si>
    <t>CGL25073263</t>
  </si>
  <si>
    <t>1-003037</t>
  </si>
  <si>
    <t xml:space="preserve">CHEMICAL COLOR DE MEXICO </t>
  </si>
  <si>
    <t>1-003038</t>
  </si>
  <si>
    <t>2-003039</t>
  </si>
  <si>
    <t>CGL25073257</t>
  </si>
  <si>
    <t>2-003040</t>
  </si>
  <si>
    <t>CGL25073312</t>
  </si>
  <si>
    <t>2-003041</t>
  </si>
  <si>
    <t>CGL25073300</t>
  </si>
  <si>
    <t>1-030042</t>
  </si>
  <si>
    <t>CGL25073224</t>
  </si>
  <si>
    <t>1-003043</t>
  </si>
  <si>
    <t>1-003044</t>
  </si>
  <si>
    <t>1-003045</t>
  </si>
  <si>
    <t>CGL25073240</t>
  </si>
  <si>
    <t>2-003046</t>
  </si>
  <si>
    <t>CGL25073249</t>
  </si>
  <si>
    <t>2-003047</t>
  </si>
  <si>
    <t>CGL25063124</t>
  </si>
  <si>
    <t>2-003048</t>
  </si>
  <si>
    <t>CGL25073260</t>
  </si>
  <si>
    <t>1-003049</t>
  </si>
  <si>
    <t>CGL25063108</t>
  </si>
  <si>
    <t>1-003050</t>
  </si>
  <si>
    <t>CGL25042870</t>
  </si>
  <si>
    <t>C0056</t>
  </si>
  <si>
    <t xml:space="preserve">TENDENCIA INTERIOR </t>
  </si>
  <si>
    <t>2-002928</t>
  </si>
  <si>
    <t>CGL25073208</t>
  </si>
  <si>
    <t xml:space="preserve"> C0084</t>
  </si>
  <si>
    <t>1-002947</t>
  </si>
  <si>
    <t>CGL25063083</t>
  </si>
  <si>
    <t>C0096</t>
  </si>
  <si>
    <t xml:space="preserve">NEXT LOGISTICS XXI S.L </t>
  </si>
  <si>
    <t>1-002956</t>
  </si>
  <si>
    <t>CGL25063172</t>
  </si>
  <si>
    <t>1-002957</t>
  </si>
  <si>
    <t>CGL25063122</t>
  </si>
  <si>
    <t>1-002966</t>
  </si>
  <si>
    <t>1-002967</t>
  </si>
  <si>
    <t>1-002984</t>
  </si>
  <si>
    <t>CGL25073216</t>
  </si>
  <si>
    <t>1-002985</t>
  </si>
  <si>
    <t>C0095</t>
  </si>
  <si>
    <t>SUPER POPULAR LOGISTICS</t>
  </si>
  <si>
    <t>1-003004</t>
  </si>
  <si>
    <t>CGL25073215</t>
  </si>
  <si>
    <t>1-003012</t>
  </si>
  <si>
    <t>CGL25073246</t>
  </si>
  <si>
    <t>1-003018</t>
  </si>
  <si>
    <t>CGL25063153</t>
  </si>
  <si>
    <t>1-003036</t>
  </si>
  <si>
    <t>CGL25073285</t>
  </si>
  <si>
    <t xml:space="preserve">CORE GLOBAL TRANSPORT </t>
  </si>
  <si>
    <t>NAPS-GUANAJUATO AMERICAN BOA</t>
  </si>
  <si>
    <t>NAPS-JUAREZ</t>
  </si>
  <si>
    <t>NEXT LOGISTICS XXI, S.L.</t>
  </si>
  <si>
    <t xml:space="preserve">SOLUCIONES LOGISTICAS Q DE MEXICO </t>
  </si>
  <si>
    <t>1-003051</t>
  </si>
  <si>
    <t>CGL25073237</t>
  </si>
  <si>
    <t>2-003052</t>
  </si>
  <si>
    <t>CGL25073313</t>
  </si>
  <si>
    <t>1-003053</t>
  </si>
  <si>
    <t>CGL25073207</t>
  </si>
  <si>
    <t>1-003054</t>
  </si>
  <si>
    <t>CGL25063177</t>
  </si>
  <si>
    <t>2-003055</t>
  </si>
  <si>
    <t>CGL25073273</t>
  </si>
  <si>
    <t>1-003056</t>
  </si>
  <si>
    <t>CGL25063136</t>
  </si>
  <si>
    <t>2-003057</t>
  </si>
  <si>
    <t>CGL25073242</t>
  </si>
  <si>
    <t>2-003058</t>
  </si>
  <si>
    <t>CGL25063100</t>
  </si>
  <si>
    <t>2-003059</t>
  </si>
  <si>
    <t>CGL25063071</t>
  </si>
  <si>
    <t>2-003060</t>
  </si>
  <si>
    <t>CGL25073190</t>
  </si>
  <si>
    <t>2-003061</t>
  </si>
  <si>
    <t>CGL25073268</t>
  </si>
  <si>
    <t>2-003062</t>
  </si>
  <si>
    <t>CGL25073283</t>
  </si>
  <si>
    <t>2-003063</t>
  </si>
  <si>
    <t>CGL25073291</t>
  </si>
  <si>
    <t>2-003064</t>
  </si>
  <si>
    <t>CGL25073297</t>
  </si>
  <si>
    <t>1-003065</t>
  </si>
  <si>
    <t>CGL25073290</t>
  </si>
  <si>
    <t>1-003066</t>
  </si>
  <si>
    <t>CGL25073248</t>
  </si>
  <si>
    <t>2-003067</t>
  </si>
  <si>
    <t>CGL25073228</t>
  </si>
  <si>
    <t>2-003068</t>
  </si>
  <si>
    <t>CGL25073296</t>
  </si>
  <si>
    <t>2-003069</t>
  </si>
  <si>
    <t>CGL25073311</t>
  </si>
  <si>
    <t>1-003070</t>
  </si>
  <si>
    <t>CGL25073302</t>
  </si>
  <si>
    <t>2-003071</t>
  </si>
  <si>
    <t>CGL25073289</t>
  </si>
  <si>
    <t>2-003075</t>
  </si>
  <si>
    <t>CGL25063101</t>
  </si>
  <si>
    <t>2-003076</t>
  </si>
  <si>
    <t>CGL25073274</t>
  </si>
  <si>
    <t>2-003077</t>
  </si>
  <si>
    <t>CGL25073299</t>
  </si>
  <si>
    <t>2-003078</t>
  </si>
  <si>
    <t>CGL25073301</t>
  </si>
  <si>
    <t>1-003079</t>
  </si>
  <si>
    <t>CGL25073288</t>
  </si>
  <si>
    <t>1-003080</t>
  </si>
  <si>
    <t>CGL25073256</t>
  </si>
  <si>
    <t>2-003081</t>
  </si>
  <si>
    <t>CGL25073303</t>
  </si>
  <si>
    <t>2-003082</t>
  </si>
  <si>
    <t>CGL25073259</t>
  </si>
  <si>
    <t>2-003083</t>
  </si>
  <si>
    <t>CGL25073275</t>
  </si>
  <si>
    <t>2-003084</t>
  </si>
  <si>
    <t>CGL25073320</t>
  </si>
  <si>
    <t>2-003085</t>
  </si>
  <si>
    <t>CGL25083332</t>
  </si>
  <si>
    <t>2-003086</t>
  </si>
  <si>
    <t>CGL25083335</t>
  </si>
  <si>
    <t>1-003087</t>
  </si>
  <si>
    <t>CGL25083333</t>
  </si>
  <si>
    <t>1-003088</t>
  </si>
  <si>
    <t>CGL25083334</t>
  </si>
  <si>
    <t>2-003089</t>
  </si>
  <si>
    <t>CGL25073252</t>
  </si>
  <si>
    <t>2-003090</t>
  </si>
  <si>
    <t>CGL25083337</t>
  </si>
  <si>
    <t>2-003094</t>
  </si>
  <si>
    <t>CGL25073294</t>
  </si>
  <si>
    <t>2-003095</t>
  </si>
  <si>
    <t>CGL25083342</t>
  </si>
  <si>
    <t>1-003096</t>
  </si>
  <si>
    <t>CGL25063082</t>
  </si>
  <si>
    <t>2-003097</t>
  </si>
  <si>
    <t>CGL25073306</t>
  </si>
  <si>
    <t>1-003098</t>
  </si>
  <si>
    <t>CGL25083314</t>
  </si>
  <si>
    <t>2-003099</t>
  </si>
  <si>
    <t>CGL25083359</t>
  </si>
  <si>
    <t>2-003100</t>
  </si>
  <si>
    <t>CGL25073319</t>
  </si>
  <si>
    <t>1-003101</t>
  </si>
  <si>
    <t>CGL25063144</t>
  </si>
  <si>
    <t>2-003102</t>
  </si>
  <si>
    <t>CGL25073305</t>
  </si>
  <si>
    <t>1-003103</t>
  </si>
  <si>
    <t>CGL25083339</t>
  </si>
  <si>
    <t>1-003104</t>
  </si>
  <si>
    <t>CGL25073261</t>
  </si>
  <si>
    <t>1-003105</t>
  </si>
  <si>
    <t>C0101</t>
  </si>
  <si>
    <t>1-003106</t>
  </si>
  <si>
    <t>CGL25083341</t>
  </si>
  <si>
    <t>1-003107</t>
  </si>
  <si>
    <t>CGL25083357</t>
  </si>
  <si>
    <t>1-003108</t>
  </si>
  <si>
    <t>CGL25083358</t>
  </si>
  <si>
    <t>1-003109</t>
  </si>
  <si>
    <t>CGL25083340</t>
  </si>
  <si>
    <t>2-003110</t>
  </si>
  <si>
    <t>CGL25083345</t>
  </si>
  <si>
    <t>2-003111</t>
  </si>
  <si>
    <t>CGL25083360</t>
  </si>
  <si>
    <t>2-003112</t>
  </si>
  <si>
    <t>CGL25083362</t>
  </si>
  <si>
    <t>2-003113</t>
  </si>
  <si>
    <t>CGL25073308</t>
  </si>
  <si>
    <t>2-003114</t>
  </si>
  <si>
    <t>CGL25083329</t>
  </si>
  <si>
    <t>2-003115</t>
  </si>
  <si>
    <t>CGL25073295</t>
  </si>
  <si>
    <t>2-003118</t>
  </si>
  <si>
    <t>CGL25073235</t>
  </si>
  <si>
    <t>2-003119</t>
  </si>
  <si>
    <t>CGL25083330</t>
  </si>
  <si>
    <t>2-003120</t>
  </si>
  <si>
    <t>CGL25083366</t>
  </si>
  <si>
    <t>1-003121</t>
  </si>
  <si>
    <t>2-003122</t>
  </si>
  <si>
    <t>CGL25083375</t>
  </si>
  <si>
    <t>2-003123</t>
  </si>
  <si>
    <t>CGL25083338</t>
  </si>
  <si>
    <t>2-003124</t>
  </si>
  <si>
    <t>CGL25083361</t>
  </si>
  <si>
    <t>2-003125</t>
  </si>
  <si>
    <t>CGL25083363</t>
  </si>
  <si>
    <t>2-003126</t>
  </si>
  <si>
    <t>CGL25083325</t>
  </si>
  <si>
    <t>2-003127</t>
  </si>
  <si>
    <t>CGL25073293</t>
  </si>
  <si>
    <t>2-003128</t>
  </si>
  <si>
    <t>CGL25083367</t>
  </si>
  <si>
    <t>2-003129</t>
  </si>
  <si>
    <t>CGL25073316</t>
  </si>
  <si>
    <t>1-003130</t>
  </si>
  <si>
    <t>2-003131</t>
  </si>
  <si>
    <t>CGL25073307</t>
  </si>
  <si>
    <t>2-003132</t>
  </si>
  <si>
    <t>CGL25083352</t>
  </si>
  <si>
    <t>1-003133</t>
  </si>
  <si>
    <t>CGL25083407</t>
  </si>
  <si>
    <t>2-003134</t>
  </si>
  <si>
    <t>CGL25073270</t>
  </si>
  <si>
    <t>2-003135</t>
  </si>
  <si>
    <t>CGL25083350</t>
  </si>
  <si>
    <t>2-003136</t>
  </si>
  <si>
    <t>CGL25083368</t>
  </si>
  <si>
    <t>2-003137</t>
  </si>
  <si>
    <t>CGL25083401</t>
  </si>
  <si>
    <t>2-003138</t>
  </si>
  <si>
    <t>CGL25083399</t>
  </si>
  <si>
    <t>2-003139</t>
  </si>
  <si>
    <t>CGL25083389</t>
  </si>
  <si>
    <t>2-003141</t>
  </si>
  <si>
    <t>CGL25083392</t>
  </si>
  <si>
    <t>1-003142</t>
  </si>
  <si>
    <t>CGL25083426</t>
  </si>
  <si>
    <t>1-003143</t>
  </si>
  <si>
    <t>1-003144</t>
  </si>
  <si>
    <t>CGL25083364</t>
  </si>
  <si>
    <t>1-003145</t>
  </si>
  <si>
    <t>CGL25083331</t>
  </si>
  <si>
    <t>1-003146</t>
  </si>
  <si>
    <t>2-003147</t>
  </si>
  <si>
    <t>CGL25083369</t>
  </si>
  <si>
    <t>1-003148</t>
  </si>
  <si>
    <t>CGL25083404</t>
  </si>
  <si>
    <t>1-003149</t>
  </si>
  <si>
    <t>CGL25063155</t>
  </si>
  <si>
    <t>1-003151</t>
  </si>
  <si>
    <t>CGL25073282</t>
  </si>
  <si>
    <t>C0098</t>
  </si>
  <si>
    <t>2-003152</t>
  </si>
  <si>
    <t>CGL25083403</t>
  </si>
  <si>
    <t>1-003153</t>
  </si>
  <si>
    <t>CGL25083374</t>
  </si>
  <si>
    <t>2-003154</t>
  </si>
  <si>
    <t>CGL25083393</t>
  </si>
  <si>
    <t>1-003155</t>
  </si>
  <si>
    <t>CGL25083383</t>
  </si>
  <si>
    <t>1-003156</t>
  </si>
  <si>
    <t>CGL25083343</t>
  </si>
  <si>
    <t>1-003157</t>
  </si>
  <si>
    <t>CGL25083381</t>
  </si>
  <si>
    <t>1-003158</t>
  </si>
  <si>
    <t>CGL25083382</t>
  </si>
  <si>
    <t>1-003159</t>
  </si>
  <si>
    <t>CGL25083388</t>
  </si>
  <si>
    <t>1-003160</t>
  </si>
  <si>
    <t>CGL25083385</t>
  </si>
  <si>
    <t>1-003161</t>
  </si>
  <si>
    <t>CGL25083386</t>
  </si>
  <si>
    <t>1-003162</t>
  </si>
  <si>
    <t>CGL25083394</t>
  </si>
  <si>
    <t>1-003163</t>
  </si>
  <si>
    <t>CGL25083384</t>
  </si>
  <si>
    <t>2-003164</t>
  </si>
  <si>
    <t>CGL25083417</t>
  </si>
  <si>
    <t>1-003167</t>
  </si>
  <si>
    <t>CGL25083373</t>
  </si>
  <si>
    <t>2-003168</t>
  </si>
  <si>
    <t>CGL25073309</t>
  </si>
  <si>
    <t>2-003169</t>
  </si>
  <si>
    <t>CGL25083347</t>
  </si>
  <si>
    <t>1-003170</t>
  </si>
  <si>
    <t>CGL25073239</t>
  </si>
  <si>
    <t>1-003171</t>
  </si>
  <si>
    <t>CGL25063135</t>
  </si>
  <si>
    <t>2-003172</t>
  </si>
  <si>
    <t>CGL25083416</t>
  </si>
  <si>
    <t>1-003173</t>
  </si>
  <si>
    <t>CGL25073238</t>
  </si>
  <si>
    <t>1-003174</t>
  </si>
  <si>
    <t>CGL25083410</t>
  </si>
  <si>
    <t>1-003175</t>
  </si>
  <si>
    <t>CGL25083413</t>
  </si>
  <si>
    <t>1-003176</t>
  </si>
  <si>
    <t>CGL25073243</t>
  </si>
  <si>
    <t>2-003177</t>
  </si>
  <si>
    <t>CGL25083372</t>
  </si>
  <si>
    <t>1-003178</t>
  </si>
  <si>
    <t>CGL25083408</t>
  </si>
  <si>
    <t>1-003072</t>
  </si>
  <si>
    <t>CGL25073233</t>
  </si>
  <si>
    <t>1-003073</t>
  </si>
  <si>
    <t>CGL25073245</t>
  </si>
  <si>
    <t>1-003074</t>
  </si>
  <si>
    <t>1-003116</t>
  </si>
  <si>
    <t>1-003117</t>
  </si>
  <si>
    <t>2-003140</t>
  </si>
  <si>
    <t>2-003165</t>
  </si>
  <si>
    <t>CGL25083415</t>
  </si>
  <si>
    <t>1-003166</t>
  </si>
  <si>
    <t>CGL25073292</t>
  </si>
  <si>
    <t>1-003179</t>
  </si>
  <si>
    <t>CGL25083371</t>
  </si>
  <si>
    <t>1-003180</t>
  </si>
  <si>
    <t xml:space="preserve">Septiembre </t>
  </si>
  <si>
    <t>1-003181</t>
  </si>
  <si>
    <t>2-003182</t>
  </si>
  <si>
    <t>1-003183</t>
  </si>
  <si>
    <t>2-003184</t>
  </si>
  <si>
    <t>2-003185</t>
  </si>
  <si>
    <t>2-003186</t>
  </si>
  <si>
    <t>2-003187</t>
  </si>
  <si>
    <t>2-003188</t>
  </si>
  <si>
    <t>2-003189</t>
  </si>
  <si>
    <t>1-003190</t>
  </si>
  <si>
    <t>2-003192</t>
  </si>
  <si>
    <t>2-003191</t>
  </si>
  <si>
    <t>1-003193</t>
  </si>
  <si>
    <t>1-003194</t>
  </si>
  <si>
    <t>1-003195</t>
  </si>
  <si>
    <t>1-003197</t>
  </si>
  <si>
    <t>1-003198</t>
  </si>
  <si>
    <t>1-003199</t>
  </si>
  <si>
    <t>2-003206</t>
  </si>
  <si>
    <t>2-003200</t>
  </si>
  <si>
    <t>2-003201</t>
  </si>
  <si>
    <t>2-003202</t>
  </si>
  <si>
    <t>2-003203</t>
  </si>
  <si>
    <t>2-003204</t>
  </si>
  <si>
    <t>1-003205</t>
  </si>
  <si>
    <t>2-003207</t>
  </si>
  <si>
    <t>1-003208</t>
  </si>
  <si>
    <t>2-003210</t>
  </si>
  <si>
    <t>2-003209</t>
  </si>
  <si>
    <t>2-003213</t>
  </si>
  <si>
    <t>1-003211</t>
  </si>
  <si>
    <t>1-003212</t>
  </si>
  <si>
    <t>2-003215</t>
  </si>
  <si>
    <t>1-003214</t>
  </si>
  <si>
    <t>1-003217</t>
  </si>
  <si>
    <t>2-003216</t>
  </si>
  <si>
    <t>1-003218</t>
  </si>
  <si>
    <t>2-003219</t>
  </si>
  <si>
    <t>1-003220</t>
  </si>
  <si>
    <t>2-003222</t>
  </si>
  <si>
    <t>2-003223</t>
  </si>
  <si>
    <t>1-003221</t>
  </si>
  <si>
    <t>1-003226</t>
  </si>
  <si>
    <t>1-003227</t>
  </si>
  <si>
    <t>2-003228</t>
  </si>
  <si>
    <t>2-003224</t>
  </si>
  <si>
    <t>2-003225</t>
  </si>
  <si>
    <t>2-003231</t>
  </si>
  <si>
    <t>2-003232</t>
  </si>
  <si>
    <t>1-003229</t>
  </si>
  <si>
    <t>2-003233</t>
  </si>
  <si>
    <t>2-003234</t>
  </si>
  <si>
    <t>2-003230</t>
  </si>
  <si>
    <t>1-003235</t>
  </si>
  <si>
    <t>1-003236</t>
  </si>
  <si>
    <t>1-003237</t>
  </si>
  <si>
    <t>2-003238</t>
  </si>
  <si>
    <t>2-003239</t>
  </si>
  <si>
    <t>1-003240</t>
  </si>
  <si>
    <t>1-003243</t>
  </si>
  <si>
    <t>1-003242</t>
  </si>
  <si>
    <t>1-003241</t>
  </si>
  <si>
    <t>1-003244</t>
  </si>
  <si>
    <t>1-003245</t>
  </si>
  <si>
    <t>1-003246</t>
  </si>
  <si>
    <t>1-003247</t>
  </si>
  <si>
    <t>1-003248</t>
  </si>
  <si>
    <t>1-003249</t>
  </si>
  <si>
    <t>2-003250</t>
  </si>
  <si>
    <t>2-003251</t>
  </si>
  <si>
    <t>2-003252</t>
  </si>
  <si>
    <t>1-003260</t>
  </si>
  <si>
    <t>1-003262</t>
  </si>
  <si>
    <t>1-003255</t>
  </si>
  <si>
    <t>1-003261</t>
  </si>
  <si>
    <t>2-003253</t>
  </si>
  <si>
    <t>1-003258</t>
  </si>
  <si>
    <t>1-003259</t>
  </si>
  <si>
    <t>1-003265</t>
  </si>
  <si>
    <t>1-003256</t>
  </si>
  <si>
    <t>1-003254</t>
  </si>
  <si>
    <t>1-003257</t>
  </si>
  <si>
    <t>2-003263</t>
  </si>
  <si>
    <t>1-003266</t>
  </si>
  <si>
    <t>1-003267</t>
  </si>
  <si>
    <t>1-003268</t>
  </si>
  <si>
    <t>CGL25083435</t>
  </si>
  <si>
    <t>CGL25083427</t>
  </si>
  <si>
    <t>CGL25093451</t>
  </si>
  <si>
    <t>CGL25083406</t>
  </si>
  <si>
    <t>CGL25083405</t>
  </si>
  <si>
    <t>CGL25083421</t>
  </si>
  <si>
    <t>CGL25083422</t>
  </si>
  <si>
    <t>CGL25083433</t>
  </si>
  <si>
    <t>CGL25083400</t>
  </si>
  <si>
    <t>CGL25083418</t>
  </si>
  <si>
    <t>CGL25083445</t>
  </si>
  <si>
    <t>CGL25093452</t>
  </si>
  <si>
    <t>CGL25083439</t>
  </si>
  <si>
    <t>CGL25083443</t>
  </si>
  <si>
    <t>CGL25083442</t>
  </si>
  <si>
    <t>CGL25083441</t>
  </si>
  <si>
    <t>CGL25083411</t>
  </si>
  <si>
    <t>CGL25093449</t>
  </si>
  <si>
    <t>CGL25083355</t>
  </si>
  <si>
    <t>CGL25073277</t>
  </si>
  <si>
    <t>CGL25083436</t>
  </si>
  <si>
    <t>CGL25093448</t>
  </si>
  <si>
    <t>CGL25093455</t>
  </si>
  <si>
    <t>CGL25093453</t>
  </si>
  <si>
    <t>CGL25083390</t>
  </si>
  <si>
    <t>CGL25093459</t>
  </si>
  <si>
    <t>CGL25083376</t>
  </si>
  <si>
    <t>CGL25083444</t>
  </si>
  <si>
    <t>CGL25093447</t>
  </si>
  <si>
    <t>CGL25083430</t>
  </si>
  <si>
    <t>CGL25083437</t>
  </si>
  <si>
    <t>CGL25083429</t>
  </si>
  <si>
    <t>CGL25083446</t>
  </si>
  <si>
    <t>CGL25083425</t>
  </si>
  <si>
    <t>CGL25093454</t>
  </si>
  <si>
    <t>CGL25093460</t>
  </si>
  <si>
    <t>CGL25083409</t>
  </si>
  <si>
    <t>CGL25093496</t>
  </si>
  <si>
    <t>CGL25093495</t>
  </si>
  <si>
    <t>CGL25083434</t>
  </si>
  <si>
    <t>CGL25093458</t>
  </si>
  <si>
    <t>CGL25093456</t>
  </si>
  <si>
    <t>CGL25093486</t>
  </si>
  <si>
    <t>CGL25083419</t>
  </si>
  <si>
    <t>CGL25093461</t>
  </si>
  <si>
    <t>CGL25093517</t>
  </si>
  <si>
    <t>CGL25093502</t>
  </si>
  <si>
    <t>CGL25093484</t>
  </si>
  <si>
    <t>CGL25093507</t>
  </si>
  <si>
    <t>CGL25093508</t>
  </si>
  <si>
    <t>CGL25093438</t>
  </si>
  <si>
    <t>CGL25093501</t>
  </si>
  <si>
    <t>CGL25093515</t>
  </si>
  <si>
    <t>CGL25093489</t>
  </si>
  <si>
    <t>CGL25093500</t>
  </si>
  <si>
    <t>CGL25093490</t>
  </si>
  <si>
    <t>CGL25083412</t>
  </si>
  <si>
    <t>CGL25093505</t>
  </si>
  <si>
    <t>CGL25093503</t>
  </si>
  <si>
    <t>CGL25083440</t>
  </si>
  <si>
    <t>CGL25083328 // CGL25083336</t>
  </si>
  <si>
    <t>CGL25073315</t>
  </si>
  <si>
    <t>CGL25093457</t>
  </si>
  <si>
    <t>CGL25093462</t>
  </si>
  <si>
    <t>CGL25093494</t>
  </si>
  <si>
    <t>CGL25093488</t>
  </si>
  <si>
    <t>CGL25093471</t>
  </si>
  <si>
    <t>CGL25083420</t>
  </si>
  <si>
    <t>CGL25083431</t>
  </si>
  <si>
    <t>CGL25093497</t>
  </si>
  <si>
    <t>CGL25093528</t>
  </si>
  <si>
    <t>CGL25093464</t>
  </si>
  <si>
    <t>CGL25093527</t>
  </si>
  <si>
    <t>CGL25093450</t>
  </si>
  <si>
    <t>CGL25093499</t>
  </si>
  <si>
    <t>CGL25093509</t>
  </si>
  <si>
    <t>CGL25022617</t>
  </si>
  <si>
    <t>HAHN AUTOMATION GROUP</t>
  </si>
  <si>
    <t>SELLOS Y RETENES</t>
  </si>
  <si>
    <t>JOINT PRODUCTION BOOTH</t>
  </si>
  <si>
    <t>2-003269</t>
  </si>
  <si>
    <t>CGL25093510</t>
  </si>
  <si>
    <t>2-003270</t>
  </si>
  <si>
    <t>CGL25093521</t>
  </si>
  <si>
    <t>1-003271</t>
  </si>
  <si>
    <t>CGL25093504</t>
  </si>
  <si>
    <t>2-003272</t>
  </si>
  <si>
    <t>CGL25063061</t>
  </si>
  <si>
    <t>2-003273</t>
  </si>
  <si>
    <t>CGL25093476</t>
  </si>
  <si>
    <t>2-003274</t>
  </si>
  <si>
    <t>CGL25093525</t>
  </si>
  <si>
    <t>2-003275</t>
  </si>
  <si>
    <t>CGL25093549</t>
  </si>
  <si>
    <t>2-003276</t>
  </si>
  <si>
    <t>CGL25093546</t>
  </si>
  <si>
    <t>2-003277</t>
  </si>
  <si>
    <t>CGL25093548</t>
  </si>
  <si>
    <t>1-003278</t>
  </si>
  <si>
    <t>CGL25103583</t>
  </si>
  <si>
    <t>1-003279</t>
  </si>
  <si>
    <t>CGL25093542</t>
  </si>
  <si>
    <t>1-003280</t>
  </si>
  <si>
    <t>CGL25093511</t>
  </si>
  <si>
    <t>2-003281</t>
  </si>
  <si>
    <t>CGL25093550</t>
  </si>
  <si>
    <t>2-003282</t>
  </si>
  <si>
    <t>CGL25093485</t>
  </si>
  <si>
    <t>2-003283</t>
  </si>
  <si>
    <t>CGL25093529</t>
  </si>
  <si>
    <t>1-003285</t>
  </si>
  <si>
    <t>CGL25093482</t>
  </si>
  <si>
    <t>1-003286</t>
  </si>
  <si>
    <t>CGL25103559</t>
  </si>
  <si>
    <t>1-003287</t>
  </si>
  <si>
    <t>CGL25103558</t>
  </si>
  <si>
    <t>1-003288</t>
  </si>
  <si>
    <t>CGL25093463</t>
  </si>
  <si>
    <t>1-003289</t>
  </si>
  <si>
    <t>CGL25093522</t>
  </si>
  <si>
    <t>1-003290</t>
  </si>
  <si>
    <t>CGL25103560</t>
  </si>
  <si>
    <t>1-003292</t>
  </si>
  <si>
    <t>1-003293</t>
  </si>
  <si>
    <t>CGL25103551</t>
  </si>
  <si>
    <t>1-003294</t>
  </si>
  <si>
    <t>CGL25083395</t>
  </si>
  <si>
    <t>1-003295</t>
  </si>
  <si>
    <t>1-003296</t>
  </si>
  <si>
    <t>2-003297</t>
  </si>
  <si>
    <t>CGL25093519</t>
  </si>
  <si>
    <t>1-003298</t>
  </si>
  <si>
    <t>CGL25103567</t>
  </si>
  <si>
    <t>1-003299</t>
  </si>
  <si>
    <t>CGL25103552</t>
  </si>
  <si>
    <t>1-003300</t>
  </si>
  <si>
    <t>CGL25103576</t>
  </si>
  <si>
    <t>1-003301</t>
  </si>
  <si>
    <t>CGL25103554</t>
  </si>
  <si>
    <t>1-003302</t>
  </si>
  <si>
    <t>CGL25093523</t>
  </si>
  <si>
    <t>1-003303</t>
  </si>
  <si>
    <t>CGL25103556</t>
  </si>
  <si>
    <t>2-003304</t>
  </si>
  <si>
    <t>CGL25093539</t>
  </si>
  <si>
    <t>2-003305</t>
  </si>
  <si>
    <t>CGL25103561</t>
  </si>
  <si>
    <t>2-003306</t>
  </si>
  <si>
    <t>CGL25103585</t>
  </si>
  <si>
    <t>1-003307</t>
  </si>
  <si>
    <t>2-003208</t>
  </si>
  <si>
    <t>CGL25103570</t>
  </si>
  <si>
    <t>2-003309</t>
  </si>
  <si>
    <t>CGL25103568</t>
  </si>
  <si>
    <t>1-003310</t>
  </si>
  <si>
    <t>CGL25103577</t>
  </si>
  <si>
    <t>1-003311</t>
  </si>
  <si>
    <t>CGL25103555</t>
  </si>
  <si>
    <t>2-003312</t>
  </si>
  <si>
    <t>CGL25103604</t>
  </si>
  <si>
    <t>1-003313</t>
  </si>
  <si>
    <t>CGL25103553</t>
  </si>
  <si>
    <t>1-003314</t>
  </si>
  <si>
    <t>CGL25103584</t>
  </si>
  <si>
    <t>1-003315</t>
  </si>
  <si>
    <t>CGL25103602</t>
  </si>
  <si>
    <t>1-003317</t>
  </si>
  <si>
    <t>CGL23080811</t>
  </si>
  <si>
    <t>2-003318</t>
  </si>
  <si>
    <t>CGL25103591</t>
  </si>
  <si>
    <t>2-003319</t>
  </si>
  <si>
    <t>CGL25093478</t>
  </si>
  <si>
    <t>1-003320</t>
  </si>
  <si>
    <t>CGL25103640</t>
  </si>
  <si>
    <t>1-003321</t>
  </si>
  <si>
    <t>CGL25103578</t>
  </si>
  <si>
    <t>1-003322</t>
  </si>
  <si>
    <t>CGL25103579</t>
  </si>
  <si>
    <t>1-003223</t>
  </si>
  <si>
    <t>CGL25103580</t>
  </si>
  <si>
    <t>1-003324</t>
  </si>
  <si>
    <t>CGL25103644</t>
  </si>
  <si>
    <t>1-003326</t>
  </si>
  <si>
    <t>CGL25083414</t>
  </si>
  <si>
    <t>1-003327</t>
  </si>
  <si>
    <t>CGL25103545</t>
  </si>
  <si>
    <t>1-003328</t>
  </si>
  <si>
    <t>CGL25083387</t>
  </si>
  <si>
    <t>1-003329</t>
  </si>
  <si>
    <t>CGL25103572</t>
  </si>
  <si>
    <t>1-003330</t>
  </si>
  <si>
    <t>CGL25093506</t>
  </si>
  <si>
    <t>2-003331</t>
  </si>
  <si>
    <t>CGL25103571</t>
  </si>
  <si>
    <t>2-003332</t>
  </si>
  <si>
    <t>CGL25103596</t>
  </si>
  <si>
    <t>1-003333</t>
  </si>
  <si>
    <t>2-003335</t>
  </si>
  <si>
    <t>CGL25103641</t>
  </si>
  <si>
    <t>1-003337</t>
  </si>
  <si>
    <t>CGL25103581</t>
  </si>
  <si>
    <t>1-003338</t>
  </si>
  <si>
    <t>CGL25103569</t>
  </si>
  <si>
    <t>1-003340</t>
  </si>
  <si>
    <t>CGL25103601</t>
  </si>
  <si>
    <t>1-003341</t>
  </si>
  <si>
    <t>CGL25103606</t>
  </si>
  <si>
    <t>1-003342</t>
  </si>
  <si>
    <t>CGL25103634</t>
  </si>
  <si>
    <t>1-003343</t>
  </si>
  <si>
    <t>CGL25103598</t>
  </si>
  <si>
    <t>2-003344</t>
  </si>
  <si>
    <t>CGL25103599</t>
  </si>
  <si>
    <t>2-003345</t>
  </si>
  <si>
    <t>CGL25103589</t>
  </si>
  <si>
    <t>2-003346</t>
  </si>
  <si>
    <t>CGL25103587</t>
  </si>
  <si>
    <t>1-003347</t>
  </si>
  <si>
    <t>1-003348</t>
  </si>
  <si>
    <t>CGL25093547</t>
  </si>
  <si>
    <t>1-003349</t>
  </si>
  <si>
    <t>CGL25103588</t>
  </si>
  <si>
    <t>1-003350</t>
  </si>
  <si>
    <t>CGL25103605</t>
  </si>
  <si>
    <t>2-003351</t>
  </si>
  <si>
    <t>CGL25103626</t>
  </si>
  <si>
    <t>1-003352</t>
  </si>
  <si>
    <t>CGL25103661</t>
  </si>
  <si>
    <t>2-003353</t>
  </si>
  <si>
    <t>CGL25103627</t>
  </si>
  <si>
    <t>1-003354</t>
  </si>
  <si>
    <t>CGL25103566</t>
  </si>
  <si>
    <t>1-003355</t>
  </si>
  <si>
    <t>CGL25093465</t>
  </si>
  <si>
    <t>1-003357</t>
  </si>
  <si>
    <t>1-003358</t>
  </si>
  <si>
    <t>CGL25093518</t>
  </si>
  <si>
    <t>1-003359</t>
  </si>
  <si>
    <t>CGL25093487</t>
  </si>
  <si>
    <t>2-003360</t>
  </si>
  <si>
    <t>CGL25103616</t>
  </si>
  <si>
    <t>2-003361</t>
  </si>
  <si>
    <t>CGL25103619</t>
  </si>
  <si>
    <t>1-003362</t>
  </si>
  <si>
    <t>CGL25103621</t>
  </si>
  <si>
    <t>1-003363</t>
  </si>
  <si>
    <t>CGL25103657</t>
  </si>
  <si>
    <t>1-003364</t>
  </si>
  <si>
    <t>CGL25103659</t>
  </si>
  <si>
    <t>2-003365</t>
  </si>
  <si>
    <t>CGL25103615</t>
  </si>
  <si>
    <t>C0017</t>
  </si>
  <si>
    <t>NAPS JUAREZ DURHAM</t>
  </si>
  <si>
    <t>C0102</t>
  </si>
  <si>
    <t>MELISA</t>
  </si>
  <si>
    <t xml:space="preserve">A </t>
  </si>
  <si>
    <t>LUIS</t>
  </si>
  <si>
    <t xml:space="preserve">Octubre </t>
  </si>
  <si>
    <t>2-003284</t>
  </si>
  <si>
    <t>CGL25103557</t>
  </si>
  <si>
    <t>1-003291</t>
  </si>
  <si>
    <t>CGL25093541</t>
  </si>
  <si>
    <t>2-003334</t>
  </si>
  <si>
    <t>CGL25103630</t>
  </si>
  <si>
    <t>1-003336</t>
  </si>
  <si>
    <t>CGL25093467 // CGL25093516</t>
  </si>
  <si>
    <t>2-003339</t>
  </si>
  <si>
    <t>CGL25093530</t>
  </si>
  <si>
    <t>1-003356</t>
  </si>
  <si>
    <t>2-003366</t>
  </si>
  <si>
    <t>CGL25103628</t>
  </si>
  <si>
    <t xml:space="preserve">LOREFANY </t>
  </si>
  <si>
    <t xml:space="preserve">GSI FABRIL </t>
  </si>
  <si>
    <t xml:space="preserve">NAPS-GUANAJUATO NORTH WIRE INC </t>
  </si>
  <si>
    <t>2-003367</t>
  </si>
  <si>
    <t>2-003368</t>
  </si>
  <si>
    <t>1-003369</t>
  </si>
  <si>
    <t>2-003370</t>
  </si>
  <si>
    <t>2-003371</t>
  </si>
  <si>
    <t>1-003373</t>
  </si>
  <si>
    <t>1-003374</t>
  </si>
  <si>
    <t>2-003375</t>
  </si>
  <si>
    <t>2-003376</t>
  </si>
  <si>
    <t>1-003377</t>
  </si>
  <si>
    <t>2-003378</t>
  </si>
  <si>
    <t>1-003379</t>
  </si>
  <si>
    <t>2-003380</t>
  </si>
  <si>
    <t>1-003382</t>
  </si>
  <si>
    <t>1-003383</t>
  </si>
  <si>
    <t>1-003384</t>
  </si>
  <si>
    <t>1-003385</t>
  </si>
  <si>
    <t>1-003386</t>
  </si>
  <si>
    <t>1-003387</t>
  </si>
  <si>
    <t>1-003388</t>
  </si>
  <si>
    <t>1-003389</t>
  </si>
  <si>
    <t>1-003390</t>
  </si>
  <si>
    <t>1-003391</t>
  </si>
  <si>
    <t>1-003392</t>
  </si>
  <si>
    <t>2-003393</t>
  </si>
  <si>
    <t>2-003394</t>
  </si>
  <si>
    <t>2-003395</t>
  </si>
  <si>
    <t>1-003396</t>
  </si>
  <si>
    <t>2-003397</t>
  </si>
  <si>
    <t>2-003398</t>
  </si>
  <si>
    <t>2-003399</t>
  </si>
  <si>
    <t>1-003400</t>
  </si>
  <si>
    <t>2-003401</t>
  </si>
  <si>
    <t>1-003402</t>
  </si>
  <si>
    <t>1-003403</t>
  </si>
  <si>
    <t>1-003404</t>
  </si>
  <si>
    <t>1-003405</t>
  </si>
  <si>
    <t>1-003406</t>
  </si>
  <si>
    <t>1-003407</t>
  </si>
  <si>
    <t>1-003408</t>
  </si>
  <si>
    <t>1-003409</t>
  </si>
  <si>
    <t>1-003410</t>
  </si>
  <si>
    <t>1-003411</t>
  </si>
  <si>
    <t>1-003412</t>
  </si>
  <si>
    <t>2-003414</t>
  </si>
  <si>
    <t>1-003415</t>
  </si>
  <si>
    <t>2-003416</t>
  </si>
  <si>
    <t>1-003417</t>
  </si>
  <si>
    <t>2-003418</t>
  </si>
  <si>
    <t>2-003419</t>
  </si>
  <si>
    <t>2-003420</t>
  </si>
  <si>
    <t>1-003421</t>
  </si>
  <si>
    <t>2-003423</t>
  </si>
  <si>
    <t>2-003424</t>
  </si>
  <si>
    <t>1-003426</t>
  </si>
  <si>
    <t>1-003427</t>
  </si>
  <si>
    <t>2-003428</t>
  </si>
  <si>
    <t>2-003429</t>
  </si>
  <si>
    <t>2-003430</t>
  </si>
  <si>
    <t>2-003431</t>
  </si>
  <si>
    <t>2-003432</t>
  </si>
  <si>
    <t>2-003433</t>
  </si>
  <si>
    <t>2-003434</t>
  </si>
  <si>
    <t>2-003435</t>
  </si>
  <si>
    <t>2-003436</t>
  </si>
  <si>
    <t>2-003437</t>
  </si>
  <si>
    <t>2-003438</t>
  </si>
  <si>
    <t>1-003439</t>
  </si>
  <si>
    <t>1-003440</t>
  </si>
  <si>
    <t>1-003441</t>
  </si>
  <si>
    <t>1-003442</t>
  </si>
  <si>
    <t>1-003443</t>
  </si>
  <si>
    <t>1-003444</t>
  </si>
  <si>
    <t>1-003445</t>
  </si>
  <si>
    <t>2-003446</t>
  </si>
  <si>
    <t>2-003447</t>
  </si>
  <si>
    <t>2-003448</t>
  </si>
  <si>
    <t>2-003449</t>
  </si>
  <si>
    <t>1-003450</t>
  </si>
  <si>
    <t>1-003451</t>
  </si>
  <si>
    <t>2-003452</t>
  </si>
  <si>
    <t>1-003453</t>
  </si>
  <si>
    <t>1-003454</t>
  </si>
  <si>
    <t>2-003455</t>
  </si>
  <si>
    <t>2-003456</t>
  </si>
  <si>
    <t>1-003458</t>
  </si>
  <si>
    <t>1-003459</t>
  </si>
  <si>
    <t>1-003460</t>
  </si>
  <si>
    <t>1-003461</t>
  </si>
  <si>
    <t>1-003462</t>
  </si>
  <si>
    <t>1-003463</t>
  </si>
  <si>
    <t>1-003464</t>
  </si>
  <si>
    <t>1-003465</t>
  </si>
  <si>
    <t>CGL25103593</t>
  </si>
  <si>
    <t>CGL25103662</t>
  </si>
  <si>
    <t>CGL25103665</t>
  </si>
  <si>
    <t>CGL25103633</t>
  </si>
  <si>
    <t>CGL25103651</t>
  </si>
  <si>
    <t>CGL25103624</t>
  </si>
  <si>
    <t>CGL25103620</t>
  </si>
  <si>
    <t>CGL25093480</t>
  </si>
  <si>
    <t>CGL25103613</t>
  </si>
  <si>
    <t>CGL25103675</t>
  </si>
  <si>
    <t>CGL25103655</t>
  </si>
  <si>
    <t>CGL25103625</t>
  </si>
  <si>
    <t>CGL25103609</t>
  </si>
  <si>
    <t>CGL25103643</t>
  </si>
  <si>
    <t>CGL25103610</t>
  </si>
  <si>
    <t>CGL25113676</t>
  </si>
  <si>
    <t>CGL25103677</t>
  </si>
  <si>
    <t>CGL25093466</t>
  </si>
  <si>
    <t>CGL25113704</t>
  </si>
  <si>
    <t>CGL25113708</t>
  </si>
  <si>
    <t>CGL25113709</t>
  </si>
  <si>
    <t>CGL25113666</t>
  </si>
  <si>
    <t>CGL25113692</t>
  </si>
  <si>
    <t>CGL25113699</t>
  </si>
  <si>
    <t>CGL25093520</t>
  </si>
  <si>
    <t>CGL25103663</t>
  </si>
  <si>
    <t>CGL25103618</t>
  </si>
  <si>
    <t>CGL25113712</t>
  </si>
  <si>
    <t>CGL25103614</t>
  </si>
  <si>
    <t>CGL25103611</t>
  </si>
  <si>
    <t>CGL25113697</t>
  </si>
  <si>
    <t>CGL25103684</t>
  </si>
  <si>
    <t>CGL25103660</t>
  </si>
  <si>
    <t>CGL25093513</t>
  </si>
  <si>
    <t>CGL25113694</t>
  </si>
  <si>
    <t>CGL25113700</t>
  </si>
  <si>
    <t>CGL25113702</t>
  </si>
  <si>
    <t>CGL25113703</t>
  </si>
  <si>
    <t>CGL25113705</t>
  </si>
  <si>
    <t>CGL25113706</t>
  </si>
  <si>
    <t>CGL25113707</t>
  </si>
  <si>
    <t>CGL25113721</t>
  </si>
  <si>
    <t>CGL25113667</t>
  </si>
  <si>
    <t>CGL25093526</t>
  </si>
  <si>
    <t>CGL25113723</t>
  </si>
  <si>
    <t>CGL25113701</t>
  </si>
  <si>
    <t>CGL25103682</t>
  </si>
  <si>
    <t>CGL25093514</t>
  </si>
  <si>
    <t>CGL25103683</t>
  </si>
  <si>
    <t>CGL25113727</t>
  </si>
  <si>
    <t>CGL25113716</t>
  </si>
  <si>
    <t>CGL25103622</t>
  </si>
  <si>
    <t>CGL25103632</t>
  </si>
  <si>
    <t>CGL25103642</t>
  </si>
  <si>
    <t>CGL25103654</t>
  </si>
  <si>
    <t>CGL25113722</t>
  </si>
  <si>
    <t>CGL25113726</t>
  </si>
  <si>
    <t>CGL25113759</t>
  </si>
  <si>
    <t>CGL25103623</t>
  </si>
  <si>
    <t>CGL25103631</t>
  </si>
  <si>
    <t>CGL25103636</t>
  </si>
  <si>
    <t>CGL25103639</t>
  </si>
  <si>
    <t>CGL25103652</t>
  </si>
  <si>
    <t>CGL25103656</t>
  </si>
  <si>
    <t>CGL25103653</t>
  </si>
  <si>
    <t>CGL25103650</t>
  </si>
  <si>
    <t>CGL25113736</t>
  </si>
  <si>
    <t>CGL25113725</t>
  </si>
  <si>
    <t>CGL25113742</t>
  </si>
  <si>
    <t>CGL25113744</t>
  </si>
  <si>
    <t>CGL25113741</t>
  </si>
  <si>
    <t>CGL25113747</t>
  </si>
  <si>
    <t>CGL25113696</t>
  </si>
  <si>
    <t>CGL25113740</t>
  </si>
  <si>
    <t>CGL25113758</t>
  </si>
  <si>
    <t>CGL25113717</t>
  </si>
  <si>
    <t>CGL25113738</t>
  </si>
  <si>
    <t>CGL25103681</t>
  </si>
  <si>
    <t>CGL25103586</t>
  </si>
  <si>
    <t>CGL25113739</t>
  </si>
  <si>
    <t>CGL25113748</t>
  </si>
  <si>
    <t>CGL25103608</t>
  </si>
  <si>
    <t>CGL25113771</t>
  </si>
  <si>
    <t>CGL25103638</t>
  </si>
  <si>
    <t>CGL25113756</t>
  </si>
  <si>
    <t>CGL25113737</t>
  </si>
  <si>
    <t>CGL25113720</t>
  </si>
  <si>
    <t>CGL25113761</t>
  </si>
  <si>
    <t>CGL25113728</t>
  </si>
  <si>
    <t>CGL25113760</t>
  </si>
  <si>
    <t>CGL25113735</t>
  </si>
  <si>
    <t>CGL25093540</t>
  </si>
  <si>
    <t>2-003372</t>
  </si>
  <si>
    <t>1-003381</t>
  </si>
  <si>
    <t>2-003413</t>
  </si>
  <si>
    <t>2-003422</t>
  </si>
  <si>
    <t>1-003425</t>
  </si>
  <si>
    <t>1-003457</t>
  </si>
  <si>
    <t>CGL25103672</t>
  </si>
  <si>
    <t>CGL25103680</t>
  </si>
  <si>
    <t>CGL25103678</t>
  </si>
  <si>
    <t>CGL25113730</t>
  </si>
  <si>
    <t>CGL25103574 // CGL25103600 // CGL25103647</t>
  </si>
  <si>
    <t>C0103</t>
  </si>
  <si>
    <t xml:space="preserve">LUIS </t>
  </si>
  <si>
    <t>RODRIGO</t>
  </si>
  <si>
    <t xml:space="preserve">ALONSO </t>
  </si>
  <si>
    <t xml:space="preserve">JESUS </t>
  </si>
  <si>
    <t>FACTURACIÓN ACUMULADA DEL 1o DE ENERO AL 31 de Diciembre 2025</t>
  </si>
  <si>
    <t>LOGISTICA DE CARGA MORSAN</t>
  </si>
  <si>
    <t>LOGISTICA MEXICANA PALCO</t>
  </si>
  <si>
    <t>MORSAN LOGISTICS</t>
  </si>
  <si>
    <t>1-003466</t>
  </si>
  <si>
    <t>CGL25113714</t>
  </si>
  <si>
    <t>2-003467</t>
  </si>
  <si>
    <t>CGL25113734</t>
  </si>
  <si>
    <t>1-003468</t>
  </si>
  <si>
    <t>CGL25113762</t>
  </si>
  <si>
    <t>1-003469</t>
  </si>
  <si>
    <t>CGL25123796</t>
  </si>
  <si>
    <t>1-003470</t>
  </si>
  <si>
    <t>CGL25123823</t>
  </si>
  <si>
    <t>1-003472</t>
  </si>
  <si>
    <t>CGL25123824</t>
  </si>
  <si>
    <t>1-003473</t>
  </si>
  <si>
    <t>CGL25113783</t>
  </si>
  <si>
    <t>1-003475</t>
  </si>
  <si>
    <t>CGL25113784</t>
  </si>
  <si>
    <t>2-003476</t>
  </si>
  <si>
    <t>CGL25113785</t>
  </si>
  <si>
    <t>1-003477</t>
  </si>
  <si>
    <t>CGL25113718</t>
  </si>
  <si>
    <t>1-003478</t>
  </si>
  <si>
    <t>CGL25113751</t>
  </si>
  <si>
    <t>2-003479</t>
  </si>
  <si>
    <t>CGL25113749</t>
  </si>
  <si>
    <t>2-003480</t>
  </si>
  <si>
    <t>CGL25113750</t>
  </si>
  <si>
    <t>2-003481</t>
  </si>
  <si>
    <t>CGL25113780</t>
  </si>
  <si>
    <t>2-003482</t>
  </si>
  <si>
    <t>CGL25123813</t>
  </si>
  <si>
    <t>2-003483</t>
  </si>
  <si>
    <t>CGL25123836</t>
  </si>
  <si>
    <t>2-003484</t>
  </si>
  <si>
    <t>CGL25113787</t>
  </si>
  <si>
    <t>2-003485</t>
  </si>
  <si>
    <t>CGL25113698</t>
  </si>
  <si>
    <t>1-003486</t>
  </si>
  <si>
    <t>CGL25113776</t>
  </si>
  <si>
    <t>2-003487</t>
  </si>
  <si>
    <t>CGL25113768</t>
  </si>
  <si>
    <t>2-003488</t>
  </si>
  <si>
    <t>CGL25113769</t>
  </si>
  <si>
    <t>2-003489</t>
  </si>
  <si>
    <t>CGL25113786</t>
  </si>
  <si>
    <t>2-003490</t>
  </si>
  <si>
    <t>CGL25123803</t>
  </si>
  <si>
    <t>2-003491</t>
  </si>
  <si>
    <t>CGL25123839</t>
  </si>
  <si>
    <t>2-003492</t>
  </si>
  <si>
    <t>CGL25113695</t>
  </si>
  <si>
    <t>2-003493</t>
  </si>
  <si>
    <t>CGL25103690</t>
  </si>
  <si>
    <t>1-003494</t>
  </si>
  <si>
    <t>CGL25123800</t>
  </si>
  <si>
    <t>1-003495</t>
  </si>
  <si>
    <t>CGL25113755</t>
  </si>
  <si>
    <t>1-003496</t>
  </si>
  <si>
    <t>CGL25113773</t>
  </si>
  <si>
    <t>2-003500</t>
  </si>
  <si>
    <t>CGL25123832</t>
  </si>
  <si>
    <t>2-003501</t>
  </si>
  <si>
    <t>CGL25123817</t>
  </si>
  <si>
    <t>2-003502</t>
  </si>
  <si>
    <t>CGL25123826</t>
  </si>
  <si>
    <t>2-003505</t>
  </si>
  <si>
    <t>CGL25123819</t>
  </si>
  <si>
    <t>1-003506</t>
  </si>
  <si>
    <t>CGL25123802</t>
  </si>
  <si>
    <t>1-003507</t>
  </si>
  <si>
    <t>CGL25123827</t>
  </si>
  <si>
    <t>1-003508</t>
  </si>
  <si>
    <t>CGL25123828</t>
  </si>
  <si>
    <t>1-003509</t>
  </si>
  <si>
    <t>CGL25123838</t>
  </si>
  <si>
    <t>1-003510</t>
  </si>
  <si>
    <t>CGL25123825</t>
  </si>
  <si>
    <t>1-003511</t>
  </si>
  <si>
    <t>CGL25123841</t>
  </si>
  <si>
    <t>1-003512</t>
  </si>
  <si>
    <t>CGL25123806</t>
  </si>
  <si>
    <t>1-003514</t>
  </si>
  <si>
    <t>CGL25113788</t>
  </si>
  <si>
    <t>1-003516</t>
  </si>
  <si>
    <t>CGL25123792</t>
  </si>
  <si>
    <t>1-003517</t>
  </si>
  <si>
    <t>CGL25113777</t>
  </si>
  <si>
    <t>1-003518</t>
  </si>
  <si>
    <t>CGL25123793</t>
  </si>
  <si>
    <t>1-003519</t>
  </si>
  <si>
    <t>CGL25123790</t>
  </si>
  <si>
    <t>1-003520</t>
  </si>
  <si>
    <t>CGL25123789</t>
  </si>
  <si>
    <t>1-003521</t>
  </si>
  <si>
    <t>CGL25123791</t>
  </si>
  <si>
    <t>1-003522</t>
  </si>
  <si>
    <t>CGL25123808</t>
  </si>
  <si>
    <t>1-003523</t>
  </si>
  <si>
    <t>CGL25123794</t>
  </si>
  <si>
    <t>1-003524</t>
  </si>
  <si>
    <t>CGL25123846</t>
  </si>
  <si>
    <t>1-003525</t>
  </si>
  <si>
    <t>CGL25123852</t>
  </si>
  <si>
    <t>1-003526</t>
  </si>
  <si>
    <t>CGL25123860</t>
  </si>
  <si>
    <t>2-003527</t>
  </si>
  <si>
    <t>CGL25123849</t>
  </si>
  <si>
    <t>2-003528</t>
  </si>
  <si>
    <t>CGL25113724</t>
  </si>
  <si>
    <t>1-003529</t>
  </si>
  <si>
    <t>CGL25123853</t>
  </si>
  <si>
    <t>2-003530</t>
  </si>
  <si>
    <t>CGL25123862</t>
  </si>
  <si>
    <t>2-003531</t>
  </si>
  <si>
    <t>CGL25113765</t>
  </si>
  <si>
    <t>2-003532</t>
  </si>
  <si>
    <t>CGL25113766</t>
  </si>
  <si>
    <t>1-003533</t>
  </si>
  <si>
    <t>CGL25123854</t>
  </si>
  <si>
    <t>2-003534</t>
  </si>
  <si>
    <t>CGL25123859</t>
  </si>
  <si>
    <t>1-003535</t>
  </si>
  <si>
    <t>CGL25123843</t>
  </si>
  <si>
    <t>2-003536</t>
  </si>
  <si>
    <t>CGL25103685</t>
  </si>
  <si>
    <t>1-003537</t>
  </si>
  <si>
    <t>CGL25123835</t>
  </si>
  <si>
    <t>2-003538</t>
  </si>
  <si>
    <t>CGL25093481</t>
  </si>
  <si>
    <t>2-003539</t>
  </si>
  <si>
    <t>CGL25123857</t>
  </si>
  <si>
    <t>2-003542</t>
  </si>
  <si>
    <t>CGL25103595</t>
  </si>
  <si>
    <t>1-003543</t>
  </si>
  <si>
    <t>CGL25103673</t>
  </si>
  <si>
    <t>2-003544</t>
  </si>
  <si>
    <t>CGL25103617</t>
  </si>
  <si>
    <t>2-003545</t>
  </si>
  <si>
    <t>CGL25113764</t>
  </si>
  <si>
    <t>1-003546</t>
  </si>
  <si>
    <t>CGL25113746</t>
  </si>
  <si>
    <t>2-003547</t>
  </si>
  <si>
    <t>CGL25123799</t>
  </si>
  <si>
    <t>2-003548</t>
  </si>
  <si>
    <t>CGL25113779</t>
  </si>
  <si>
    <t>2-003549</t>
  </si>
  <si>
    <t>CGL25113778</t>
  </si>
  <si>
    <t>1-003550</t>
  </si>
  <si>
    <t>CGL25103679</t>
  </si>
  <si>
    <t>2-003551</t>
  </si>
  <si>
    <t>CGL25123848</t>
  </si>
  <si>
    <t>2-003552</t>
  </si>
  <si>
    <t>CGL25123807</t>
  </si>
  <si>
    <t>1-003554</t>
  </si>
  <si>
    <t>CGL25113715</t>
  </si>
  <si>
    <t>2-003555</t>
  </si>
  <si>
    <t>CGL25113772</t>
  </si>
  <si>
    <t>1-003557</t>
  </si>
  <si>
    <t>CGL25123880</t>
  </si>
  <si>
    <t>1-003559</t>
  </si>
  <si>
    <t>CGL25113733</t>
  </si>
  <si>
    <t>1-003560</t>
  </si>
  <si>
    <t>CGL25103674</t>
  </si>
  <si>
    <t>1-003561</t>
  </si>
  <si>
    <t>CGL25123878</t>
  </si>
  <si>
    <t>2-003562</t>
  </si>
  <si>
    <t>CGL25123875</t>
  </si>
  <si>
    <t>1-003563</t>
  </si>
  <si>
    <t>CGL25123885</t>
  </si>
  <si>
    <t>2-003564</t>
  </si>
  <si>
    <t>CGL25123886</t>
  </si>
  <si>
    <t>2-003565</t>
  </si>
  <si>
    <t>CGL25123888</t>
  </si>
  <si>
    <t>2-003566</t>
  </si>
  <si>
    <t>CGL25123876</t>
  </si>
  <si>
    <t>1-003567</t>
  </si>
  <si>
    <t>CGL25123840</t>
  </si>
  <si>
    <t>1-003568</t>
  </si>
  <si>
    <t>CGL25123881</t>
  </si>
  <si>
    <t>2-003569</t>
  </si>
  <si>
    <t>CGL25103693</t>
  </si>
  <si>
    <t xml:space="preserve">Diciembre </t>
  </si>
  <si>
    <t>LUS</t>
  </si>
  <si>
    <t xml:space="preserve"> M</t>
  </si>
  <si>
    <t>1-003471</t>
  </si>
  <si>
    <t>CGL25113775</t>
  </si>
  <si>
    <t>2-003474</t>
  </si>
  <si>
    <t>CGL25113774</t>
  </si>
  <si>
    <t>1-003497</t>
  </si>
  <si>
    <t>2-003498</t>
  </si>
  <si>
    <t>CGL25123814</t>
  </si>
  <si>
    <t>2-003503</t>
  </si>
  <si>
    <t>CGL25123871</t>
  </si>
  <si>
    <t>2-003504</t>
  </si>
  <si>
    <t>CGL25123804</t>
  </si>
  <si>
    <t>2-003513</t>
  </si>
  <si>
    <t>CGL25123816</t>
  </si>
  <si>
    <t>1-003540</t>
  </si>
  <si>
    <t>CGL25103669</t>
  </si>
  <si>
    <t>1-003541</t>
  </si>
  <si>
    <t>CGL25113713 // CGL25113795</t>
  </si>
  <si>
    <t>1-003553</t>
  </si>
  <si>
    <t>1-003556</t>
  </si>
  <si>
    <t>CGL25103646</t>
  </si>
  <si>
    <t>2-003558</t>
  </si>
  <si>
    <t>CGL25123845</t>
  </si>
  <si>
    <t>2-003570</t>
  </si>
  <si>
    <t>CGL25123850</t>
  </si>
  <si>
    <t>2-003571</t>
  </si>
  <si>
    <t>CGL25113798</t>
  </si>
  <si>
    <t>2-003572</t>
  </si>
  <si>
    <t>C0104</t>
  </si>
  <si>
    <t>C0105</t>
  </si>
  <si>
    <t>SPL GLOBAL CO LTD</t>
  </si>
  <si>
    <t>GSI FABRIL</t>
  </si>
  <si>
    <t>C0109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</si>
</sst>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#,##0;[Red]\(#,##0\)"/>
    <numFmt numFmtId="166" formatCode="#,##0.00;[Red]\(#,##0.00\)"/>
    <numFmt numFmtId="167" formatCode="0.0%"/>
    <numFmt numFmtId="168" formatCode="_-&quot;$&quot;* #,##0_-;\-&quot;$&quot;* #,##0_-;_-&quot;$&quot;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7" applyNumberFormat="0" applyFill="0" applyAlignment="0" applyProtection="0"/>
    <xf numFmtId="0" fontId="7" fillId="0" borderId="28" applyNumberFormat="0" applyFill="0" applyAlignment="0" applyProtection="0"/>
    <xf numFmtId="0" fontId="8" fillId="0" borderId="29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30" applyNumberFormat="0" applyAlignment="0" applyProtection="0"/>
    <xf numFmtId="0" fontId="13" fillId="8" borderId="31" applyNumberFormat="0" applyAlignment="0" applyProtection="0"/>
    <xf numFmtId="0" fontId="14" fillId="8" borderId="30" applyNumberFormat="0" applyAlignment="0" applyProtection="0"/>
    <xf numFmtId="0" fontId="15" fillId="0" borderId="32" applyNumberFormat="0" applyFill="0" applyAlignment="0" applyProtection="0"/>
    <xf numFmtId="0" fontId="16" fillId="9" borderId="33" applyNumberFormat="0" applyAlignment="0" applyProtection="0"/>
    <xf numFmtId="0" fontId="17" fillId="0" borderId="0" applyNumberFormat="0" applyFill="0" applyBorder="0" applyAlignment="0" applyProtection="0"/>
    <xf numFmtId="0" fontId="1" fillId="10" borderId="34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35" applyNumberFormat="0" applyFill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1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0" fillId="0" borderId="1" xfId="0" applyBorder="1"/>
    <xf numFmtId="37" fontId="0" fillId="0" borderId="0" xfId="0" applyNumberFormat="1"/>
    <xf numFmtId="9" fontId="2" fillId="0" borderId="0" xfId="2" applyFont="1" applyAlignment="1">
      <alignment horizontal="center"/>
    </xf>
    <xf numFmtId="164" fontId="0" fillId="0" borderId="0" xfId="1" applyNumberFormat="1" applyFont="1"/>
    <xf numFmtId="164" fontId="2" fillId="0" borderId="8" xfId="1" applyNumberFormat="1" applyFont="1" applyBorder="1"/>
    <xf numFmtId="43" fontId="0" fillId="0" borderId="0" xfId="1" applyFont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right"/>
    </xf>
    <xf numFmtId="165" fontId="0" fillId="0" borderId="10" xfId="0" applyNumberFormat="1" applyBorder="1"/>
    <xf numFmtId="165" fontId="0" fillId="0" borderId="6" xfId="0" applyNumberForma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164" fontId="2" fillId="0" borderId="0" xfId="1" applyNumberFormat="1" applyFont="1" applyBorder="1" applyAlignment="1">
      <alignment horizontal="centerContinuous"/>
    </xf>
    <xf numFmtId="164" fontId="2" fillId="0" borderId="10" xfId="1" applyNumberFormat="1" applyFont="1" applyBorder="1" applyAlignment="1">
      <alignment horizontal="centerContinuous"/>
    </xf>
    <xf numFmtId="164" fontId="2" fillId="0" borderId="7" xfId="1" applyNumberFormat="1" applyFont="1" applyBorder="1" applyAlignment="1">
      <alignment horizontal="centerContinuous"/>
    </xf>
    <xf numFmtId="164" fontId="2" fillId="0" borderId="7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0" fillId="0" borderId="0" xfId="0" applyNumberFormat="1"/>
    <xf numFmtId="164" fontId="2" fillId="0" borderId="8" xfId="0" applyNumberFormat="1" applyFont="1" applyBorder="1"/>
    <xf numFmtId="166" fontId="2" fillId="0" borderId="11" xfId="0" applyNumberFormat="1" applyFont="1" applyBorder="1" applyAlignment="1">
      <alignment horizontal="centerContinuous" wrapText="1"/>
    </xf>
    <xf numFmtId="166" fontId="2" fillId="0" borderId="11" xfId="0" applyNumberFormat="1" applyFont="1" applyBorder="1" applyAlignment="1">
      <alignment horizontal="center" wrapText="1"/>
    </xf>
    <xf numFmtId="166" fontId="0" fillId="0" borderId="0" xfId="0" applyNumberFormat="1"/>
    <xf numFmtId="9" fontId="0" fillId="0" borderId="0" xfId="2" applyFont="1"/>
    <xf numFmtId="0" fontId="0" fillId="0" borderId="0" xfId="0" applyAlignment="1">
      <alignment horizontal="left"/>
    </xf>
    <xf numFmtId="164" fontId="0" fillId="2" borderId="0" xfId="1" applyNumberFormat="1" applyFont="1" applyFill="1"/>
    <xf numFmtId="0" fontId="0" fillId="2" borderId="0" xfId="0" applyFill="1" applyAlignment="1">
      <alignment horizontal="left"/>
    </xf>
    <xf numFmtId="0" fontId="0" fillId="2" borderId="0" xfId="0" applyFill="1"/>
    <xf numFmtId="44" fontId="0" fillId="0" borderId="0" xfId="3" applyFont="1"/>
    <xf numFmtId="44" fontId="0" fillId="0" borderId="0" xfId="0" applyNumberFormat="1"/>
    <xf numFmtId="0" fontId="2" fillId="2" borderId="0" xfId="0" applyFont="1" applyFill="1"/>
    <xf numFmtId="9" fontId="0" fillId="0" borderId="0" xfId="2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7" xfId="0" applyFont="1" applyBorder="1"/>
    <xf numFmtId="166" fontId="4" fillId="0" borderId="7" xfId="0" applyNumberFormat="1" applyFont="1" applyBorder="1"/>
    <xf numFmtId="15" fontId="4" fillId="0" borderId="7" xfId="0" applyNumberFormat="1" applyFont="1" applyBorder="1"/>
    <xf numFmtId="0" fontId="0" fillId="0" borderId="7" xfId="0" applyBorder="1"/>
    <xf numFmtId="44" fontId="0" fillId="0" borderId="0" xfId="3" applyFont="1" applyFill="1"/>
    <xf numFmtId="44" fontId="0" fillId="2" borderId="0" xfId="0" applyNumberFormat="1" applyFill="1"/>
    <xf numFmtId="165" fontId="2" fillId="0" borderId="13" xfId="0" applyNumberFormat="1" applyFont="1" applyBorder="1"/>
    <xf numFmtId="165" fontId="2" fillId="0" borderId="14" xfId="0" applyNumberFormat="1" applyFont="1" applyBorder="1"/>
    <xf numFmtId="165" fontId="0" fillId="0" borderId="7" xfId="0" applyNumberFormat="1" applyBorder="1"/>
    <xf numFmtId="0" fontId="0" fillId="0" borderId="15" xfId="0" applyBorder="1"/>
    <xf numFmtId="9" fontId="4" fillId="0" borderId="7" xfId="0" applyNumberFormat="1" applyFont="1" applyBorder="1"/>
    <xf numFmtId="0" fontId="0" fillId="0" borderId="16" xfId="0" applyBorder="1"/>
    <xf numFmtId="164" fontId="2" fillId="0" borderId="17" xfId="1" applyNumberFormat="1" applyFont="1" applyBorder="1" applyAlignment="1">
      <alignment horizontal="centerContinuous"/>
    </xf>
    <xf numFmtId="164" fontId="2" fillId="0" borderId="18" xfId="1" applyNumberFormat="1" applyFont="1" applyBorder="1" applyAlignment="1">
      <alignment horizontal="centerContinuous"/>
    </xf>
    <xf numFmtId="164" fontId="0" fillId="0" borderId="19" xfId="1" applyNumberFormat="1" applyFont="1" applyBorder="1"/>
    <xf numFmtId="0" fontId="2" fillId="0" borderId="20" xfId="0" applyFont="1" applyBorder="1" applyAlignment="1">
      <alignment horizontal="center"/>
    </xf>
    <xf numFmtId="164" fontId="2" fillId="0" borderId="21" xfId="1" applyNumberFormat="1" applyFont="1" applyBorder="1" applyAlignment="1">
      <alignment horizontal="center"/>
    </xf>
    <xf numFmtId="0" fontId="0" fillId="0" borderId="22" xfId="0" applyBorder="1"/>
    <xf numFmtId="164" fontId="0" fillId="0" borderId="23" xfId="1" applyNumberFormat="1" applyFont="1" applyBorder="1"/>
    <xf numFmtId="37" fontId="0" fillId="0" borderId="22" xfId="0" applyNumberFormat="1" applyBorder="1"/>
    <xf numFmtId="0" fontId="0" fillId="0" borderId="22" xfId="0" applyBorder="1" applyAlignment="1">
      <alignment horizontal="left"/>
    </xf>
    <xf numFmtId="164" fontId="0" fillId="0" borderId="25" xfId="1" applyNumberFormat="1" applyFont="1" applyBorder="1"/>
    <xf numFmtId="164" fontId="0" fillId="0" borderId="26" xfId="1" applyNumberFormat="1" applyFont="1" applyBorder="1"/>
    <xf numFmtId="164" fontId="0" fillId="0" borderId="23" xfId="1" applyNumberFormat="1" applyFont="1" applyFill="1" applyBorder="1"/>
    <xf numFmtId="0" fontId="2" fillId="0" borderId="24" xfId="0" applyFont="1" applyBorder="1" applyAlignment="1">
      <alignment horizontal="center"/>
    </xf>
    <xf numFmtId="166" fontId="0" fillId="0" borderId="23" xfId="0" applyNumberFormat="1" applyBorder="1" applyAlignment="1">
      <alignment horizontal="centerContinuous"/>
    </xf>
    <xf numFmtId="164" fontId="2" fillId="0" borderId="21" xfId="1" applyNumberFormat="1" applyFont="1" applyBorder="1" applyAlignment="1">
      <alignment horizontal="centerContinuous"/>
    </xf>
    <xf numFmtId="166" fontId="2" fillId="0" borderId="38" xfId="0" applyNumberFormat="1" applyFont="1" applyBorder="1" applyAlignment="1">
      <alignment horizontal="centerContinuous" wrapText="1"/>
    </xf>
    <xf numFmtId="164" fontId="0" fillId="0" borderId="42" xfId="1" applyNumberFormat="1" applyFont="1" applyBorder="1"/>
    <xf numFmtId="0" fontId="2" fillId="0" borderId="16" xfId="0" applyFont="1" applyBorder="1" applyAlignment="1">
      <alignment horizontal="centerContinuous"/>
    </xf>
    <xf numFmtId="0" fontId="0" fillId="0" borderId="41" xfId="0" applyBorder="1"/>
    <xf numFmtId="0" fontId="0" fillId="0" borderId="24" xfId="0" applyBorder="1"/>
    <xf numFmtId="164" fontId="2" fillId="0" borderId="36" xfId="1" applyNumberFormat="1" applyFont="1" applyBorder="1" applyAlignment="1">
      <alignment horizontal="centerContinuous"/>
    </xf>
    <xf numFmtId="0" fontId="2" fillId="0" borderId="22" xfId="0" applyFont="1" applyBorder="1" applyAlignment="1">
      <alignment horizontal="center"/>
    </xf>
    <xf numFmtId="0" fontId="2" fillId="0" borderId="36" xfId="0" applyFont="1" applyBorder="1" applyAlignment="1">
      <alignment horizontal="centerContinuous"/>
    </xf>
    <xf numFmtId="164" fontId="2" fillId="0" borderId="19" xfId="1" applyNumberFormat="1" applyFont="1" applyBorder="1" applyAlignment="1">
      <alignment horizontal="centerContinuous"/>
    </xf>
    <xf numFmtId="0" fontId="2" fillId="0" borderId="37" xfId="0" applyFont="1" applyBorder="1" applyAlignment="1">
      <alignment horizontal="center"/>
    </xf>
    <xf numFmtId="164" fontId="2" fillId="0" borderId="40" xfId="1" applyNumberFormat="1" applyFont="1" applyFill="1" applyBorder="1"/>
    <xf numFmtId="164" fontId="2" fillId="0" borderId="43" xfId="1" applyNumberFormat="1" applyFont="1" applyBorder="1"/>
    <xf numFmtId="0" fontId="2" fillId="0" borderId="22" xfId="0" applyFont="1" applyBorder="1" applyAlignment="1">
      <alignment horizontal="centerContinuous"/>
    </xf>
    <xf numFmtId="164" fontId="2" fillId="0" borderId="23" xfId="1" applyNumberFormat="1" applyFont="1" applyBorder="1" applyAlignment="1">
      <alignment horizontal="centerContinuous"/>
    </xf>
    <xf numFmtId="164" fontId="2" fillId="0" borderId="39" xfId="1" applyNumberFormat="1" applyFont="1" applyFill="1" applyBorder="1"/>
    <xf numFmtId="166" fontId="0" fillId="0" borderId="19" xfId="0" applyNumberFormat="1" applyBorder="1" applyAlignment="1">
      <alignment horizontal="centerContinuous"/>
    </xf>
    <xf numFmtId="0" fontId="2" fillId="0" borderId="20" xfId="0" applyFont="1" applyBorder="1" applyAlignment="1">
      <alignment horizontal="centerContinuous"/>
    </xf>
    <xf numFmtId="168" fontId="1" fillId="0" borderId="0" xfId="3" applyNumberFormat="1" applyFont="1" applyBorder="1"/>
    <xf numFmtId="168" fontId="0" fillId="0" borderId="0" xfId="3" applyNumberFormat="1" applyFont="1" applyBorder="1"/>
    <xf numFmtId="168" fontId="0" fillId="2" borderId="0" xfId="3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5" fontId="2" fillId="0" borderId="44" xfId="0" applyNumberFormat="1" applyFont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 wrapText="1"/>
    </xf>
    <xf numFmtId="44" fontId="17" fillId="0" borderId="0" xfId="0" applyNumberFormat="1" applyFont="1"/>
    <xf numFmtId="10" fontId="0" fillId="2" borderId="7" xfId="0" applyNumberFormat="1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37" fontId="0" fillId="2" borderId="22" xfId="0" applyNumberFormat="1" applyFill="1" applyBorder="1"/>
    <xf numFmtId="164" fontId="0" fillId="2" borderId="0" xfId="1" applyNumberFormat="1" applyFont="1" applyFill="1" applyBorder="1"/>
    <xf numFmtId="164" fontId="0" fillId="2" borderId="23" xfId="1" applyNumberFormat="1" applyFont="1" applyFill="1" applyBorder="1"/>
    <xf numFmtId="0" fontId="2" fillId="2" borderId="0" xfId="0" applyFont="1" applyFill="1" applyAlignment="1">
      <alignment horizontal="center"/>
    </xf>
    <xf numFmtId="167" fontId="2" fillId="2" borderId="0" xfId="2" applyNumberFormat="1" applyFont="1" applyFill="1" applyAlignment="1">
      <alignment horizontal="center"/>
    </xf>
    <xf numFmtId="3" fontId="2" fillId="0" borderId="0" xfId="0" applyNumberFormat="1" applyFont="1"/>
    <xf numFmtId="43" fontId="0" fillId="3" borderId="0" xfId="0" applyNumberFormat="1" applyFill="1"/>
    <xf numFmtId="3" fontId="0" fillId="0" borderId="0" xfId="0" applyNumberFormat="1"/>
    <xf numFmtId="44" fontId="0" fillId="2" borderId="0" xfId="3" applyFont="1" applyFill="1" applyBorder="1"/>
    <xf numFmtId="168" fontId="0" fillId="0" borderId="0" xfId="3" applyNumberFormat="1" applyFont="1" applyFill="1" applyBorder="1"/>
    <xf numFmtId="168" fontId="0" fillId="0" borderId="0" xfId="3" applyNumberFormat="1" applyFont="1"/>
    <xf numFmtId="168" fontId="2" fillId="0" borderId="0" xfId="3" applyNumberFormat="1" applyFont="1" applyFill="1" applyBorder="1"/>
    <xf numFmtId="0" fontId="2" fillId="0" borderId="45" xfId="0" applyFont="1" applyBorder="1" applyAlignment="1">
      <alignment horizontal="center"/>
    </xf>
    <xf numFmtId="164" fontId="2" fillId="0" borderId="46" xfId="1" applyNumberFormat="1" applyFont="1" applyBorder="1"/>
    <xf numFmtId="164" fontId="2" fillId="0" borderId="0" xfId="1" applyNumberFormat="1" applyFont="1"/>
    <xf numFmtId="0" fontId="2" fillId="2" borderId="7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5" fontId="4" fillId="2" borderId="7" xfId="0" applyNumberFormat="1" applyFont="1" applyFill="1" applyBorder="1" applyAlignment="1">
      <alignment horizontal="center"/>
    </xf>
    <xf numFmtId="44" fontId="4" fillId="2" borderId="7" xfId="3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15" fontId="0" fillId="2" borderId="7" xfId="0" applyNumberFormat="1" applyFill="1" applyBorder="1" applyAlignment="1">
      <alignment horizontal="center"/>
    </xf>
    <xf numFmtId="44" fontId="0" fillId="2" borderId="7" xfId="3" applyFont="1" applyFill="1" applyBorder="1" applyAlignment="1">
      <alignment horizontal="center"/>
    </xf>
    <xf numFmtId="9" fontId="2" fillId="0" borderId="44" xfId="2" applyFont="1" applyBorder="1" applyAlignment="1">
      <alignment horizontal="center" vertical="center" wrapText="1"/>
    </xf>
    <xf numFmtId="0" fontId="4" fillId="36" borderId="7" xfId="0" applyFont="1" applyFill="1" applyBorder="1"/>
    <xf numFmtId="9" fontId="4" fillId="36" borderId="7" xfId="0" applyNumberFormat="1" applyFont="1" applyFill="1" applyBorder="1"/>
    <xf numFmtId="166" fontId="4" fillId="36" borderId="7" xfId="0" applyNumberFormat="1" applyFont="1" applyFill="1" applyBorder="1"/>
    <xf numFmtId="10" fontId="0" fillId="2" borderId="0" xfId="0" applyNumberFormat="1" applyFill="1"/>
    <xf numFmtId="9" fontId="0" fillId="2" borderId="0" xfId="2" applyFont="1" applyFill="1"/>
    <xf numFmtId="43" fontId="0" fillId="0" borderId="0" xfId="0" applyNumberFormat="1"/>
    <xf numFmtId="0" fontId="2" fillId="0" borderId="22" xfId="0" applyFont="1" applyBorder="1"/>
    <xf numFmtId="168" fontId="2" fillId="0" borderId="0" xfId="3" applyNumberFormat="1" applyFont="1" applyBorder="1"/>
    <xf numFmtId="164" fontId="2" fillId="0" borderId="23" xfId="1" applyNumberFormat="1" applyFont="1" applyFill="1" applyBorder="1"/>
    <xf numFmtId="168" fontId="1" fillId="0" borderId="0" xfId="3" applyNumberFormat="1" applyFont="1" applyFill="1" applyBorder="1"/>
    <xf numFmtId="164" fontId="1" fillId="0" borderId="23" xfId="1" applyNumberFormat="1" applyFont="1" applyFill="1" applyBorder="1"/>
    <xf numFmtId="0" fontId="4" fillId="0" borderId="7" xfId="0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center"/>
    </xf>
    <xf numFmtId="0" fontId="0" fillId="0" borderId="3" xfId="0" applyBorder="1"/>
    <xf numFmtId="0" fontId="0" fillId="37" borderId="7" xfId="0" applyFill="1" applyBorder="1" applyAlignment="1">
      <alignment horizontal="center"/>
    </xf>
    <xf numFmtId="0" fontId="4" fillId="37" borderId="7" xfId="0" applyFont="1" applyFill="1" applyBorder="1"/>
    <xf numFmtId="15" fontId="0" fillId="37" borderId="7" xfId="0" applyNumberFormat="1" applyFill="1" applyBorder="1" applyAlignment="1">
      <alignment horizontal="center"/>
    </xf>
    <xf numFmtId="0" fontId="4" fillId="37" borderId="7" xfId="0" applyFont="1" applyFill="1" applyBorder="1" applyAlignment="1">
      <alignment horizontal="center"/>
    </xf>
    <xf numFmtId="166" fontId="4" fillId="37" borderId="7" xfId="0" applyNumberFormat="1" applyFont="1" applyFill="1" applyBorder="1"/>
    <xf numFmtId="9" fontId="0" fillId="37" borderId="0" xfId="2" applyFont="1" applyFill="1"/>
    <xf numFmtId="0" fontId="0" fillId="37" borderId="0" xfId="0" applyFill="1"/>
    <xf numFmtId="0" fontId="2" fillId="2" borderId="1" xfId="0" applyFont="1" applyFill="1" applyBorder="1" applyAlignment="1">
      <alignment horizontal="centerContinuous"/>
    </xf>
    <xf numFmtId="37" fontId="2" fillId="2" borderId="2" xfId="0" applyNumberFormat="1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37" fontId="2" fillId="2" borderId="4" xfId="0" applyNumberFormat="1" applyFont="1" applyFill="1" applyBorder="1" applyAlignment="1">
      <alignment horizontal="centerContinuous"/>
    </xf>
    <xf numFmtId="0" fontId="2" fillId="2" borderId="47" xfId="0" applyFont="1" applyFill="1" applyBorder="1" applyAlignment="1">
      <alignment horizontal="center"/>
    </xf>
    <xf numFmtId="37" fontId="2" fillId="2" borderId="47" xfId="0" applyNumberFormat="1" applyFont="1" applyFill="1" applyBorder="1" applyAlignment="1">
      <alignment horizontal="center" vertical="center" wrapText="1"/>
    </xf>
    <xf numFmtId="0" fontId="0" fillId="35" borderId="48" xfId="0" applyFill="1" applyBorder="1" applyAlignment="1">
      <alignment horizontal="left"/>
    </xf>
    <xf numFmtId="44" fontId="0" fillId="35" borderId="18" xfId="0" applyNumberFormat="1" applyFill="1" applyBorder="1"/>
    <xf numFmtId="0" fontId="0" fillId="35" borderId="3" xfId="0" applyFill="1" applyBorder="1" applyAlignment="1">
      <alignment horizontal="left"/>
    </xf>
    <xf numFmtId="44" fontId="0" fillId="35" borderId="4" xfId="0" applyNumberFormat="1" applyFill="1" applyBorder="1"/>
    <xf numFmtId="44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49" xfId="0" applyBorder="1" applyAlignment="1">
      <alignment horizontal="left"/>
    </xf>
    <xf numFmtId="44" fontId="0" fillId="0" borderId="50" xfId="0" applyNumberFormat="1" applyBorder="1"/>
    <xf numFmtId="0" fontId="2" fillId="2" borderId="5" xfId="0" applyFont="1" applyFill="1" applyBorder="1" applyAlignment="1">
      <alignment horizontal="center"/>
    </xf>
    <xf numFmtId="37" fontId="2" fillId="2" borderId="6" xfId="0" applyNumberFormat="1" applyFont="1" applyFill="1" applyBorder="1"/>
    <xf numFmtId="0" fontId="2" fillId="37" borderId="6" xfId="0" applyFont="1" applyFill="1" applyBorder="1" applyAlignment="1">
      <alignment horizontal="center" vertical="center"/>
    </xf>
    <xf numFmtId="0" fontId="2" fillId="37" borderId="44" xfId="0" applyFont="1" applyFill="1" applyBorder="1" applyAlignment="1">
      <alignment horizontal="center" vertical="center"/>
    </xf>
    <xf numFmtId="15" fontId="2" fillId="37" borderId="44" xfId="0" applyNumberFormat="1" applyFont="1" applyFill="1" applyBorder="1" applyAlignment="1">
      <alignment horizontal="center" vertical="center"/>
    </xf>
    <xf numFmtId="166" fontId="2" fillId="37" borderId="44" xfId="0" applyNumberFormat="1" applyFont="1" applyFill="1" applyBorder="1" applyAlignment="1">
      <alignment horizontal="center" vertical="center" wrapText="1"/>
    </xf>
    <xf numFmtId="9" fontId="2" fillId="37" borderId="44" xfId="2" applyFont="1" applyFill="1" applyBorder="1" applyAlignment="1">
      <alignment horizontal="center" vertical="center" wrapText="1"/>
    </xf>
    <xf numFmtId="166" fontId="2" fillId="37" borderId="5" xfId="0" applyNumberFormat="1" applyFont="1" applyFill="1" applyBorder="1" applyAlignment="1">
      <alignment horizontal="center" vertical="center" wrapText="1"/>
    </xf>
    <xf numFmtId="168" fontId="0" fillId="36" borderId="0" xfId="3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5" fontId="2" fillId="0" borderId="15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 wrapText="1"/>
    </xf>
    <xf numFmtId="9" fontId="2" fillId="0" borderId="15" xfId="2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43" fontId="2" fillId="0" borderId="0" xfId="1" applyFont="1" applyAlignment="1">
      <alignment horizontal="center"/>
    </xf>
    <xf numFmtId="168" fontId="0" fillId="38" borderId="0" xfId="3" applyNumberFormat="1" applyFont="1" applyFill="1" applyBorder="1"/>
    <xf numFmtId="9" fontId="2" fillId="0" borderId="15" xfId="0" applyNumberFormat="1" applyFont="1" applyBorder="1" applyAlignment="1">
      <alignment horizontal="center" vertical="center" wrapText="1"/>
    </xf>
    <xf numFmtId="9" fontId="2" fillId="37" borderId="15" xfId="2" applyFont="1" applyFill="1" applyBorder="1" applyAlignment="1">
      <alignment horizontal="center" vertical="center" wrapText="1"/>
    </xf>
    <xf numFmtId="166" fontId="2" fillId="37" borderId="3" xfId="0" applyNumberFormat="1" applyFont="1" applyFill="1" applyBorder="1" applyAlignment="1">
      <alignment horizontal="center" vertical="center" wrapText="1"/>
    </xf>
    <xf numFmtId="166" fontId="2" fillId="37" borderId="0" xfId="0" applyNumberFormat="1" applyFont="1" applyFill="1" applyAlignment="1">
      <alignment horizontal="center" vertical="center" wrapText="1"/>
    </xf>
  </cellXfs>
  <cellStyles count="52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4" xr:uid="{A714879D-06D9-4C02-A183-C97A5E15D492}"/>
    <cellStyle name="Millares 3" xfId="47" xr:uid="{5A146BD9-609B-4DCB-B966-D18B0EE6B132}"/>
    <cellStyle name="Millares 4" xfId="50" xr:uid="{7C6DA6CC-46C0-4F8E-B537-AA1C473816F0}"/>
    <cellStyle name="Moneda" xfId="3" builtinId="4"/>
    <cellStyle name="Moneda 2" xfId="5" xr:uid="{AE5433E4-5AC8-40F0-8CCC-7EC5FD64E6CC}"/>
    <cellStyle name="Moneda 3" xfId="49" xr:uid="{902BBE1A-BE3E-4F37-888C-75D2214E07AA}"/>
    <cellStyle name="Moneda 4" xfId="51" xr:uid="{2F81369E-0FFB-4779-9518-9692F635EA07}"/>
    <cellStyle name="Neutral" xfId="13" builtinId="28" customBuiltin="1"/>
    <cellStyle name="Normal" xfId="0" builtinId="0"/>
    <cellStyle name="Normal 2" xfId="48" xr:uid="{96C64A8D-C689-4BEA-9DE1-184728BE863F}"/>
    <cellStyle name="Notas" xfId="20" builtinId="10" customBuiltin="1"/>
    <cellStyle name="Porcentaje" xfId="2" builtinId="5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;[Red]\(#,##0.00\)"/>
      <alignment horizontal="center" vertical="center" textRotation="0" wrapText="1" indent="0" justifyLastLine="0" shrinkToFit="0" readingOrder="0"/>
    </dxf>
    <dxf>
      <font>
        <b/>
      </font>
      <numFmt numFmtId="166" formatCode="#,##0.00;[Red]\(#,##0.00\)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;[Red]\(#,##0.0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</font>
      <numFmt numFmtId="166" formatCode="#,##0.00;[Red]\(#,##0.00\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;[Red]\(#,##0.0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.00;[Red]\(#,##0.00\)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0" formatCode="dd\-mmm\-yy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;[Red]\(#,##0.0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 2023 2024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'Acumulado 2025'!$H$22:$H$34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 </c:v>
                </c:pt>
                <c:pt idx="12">
                  <c:v>Diciembre</c:v>
                </c:pt>
              </c:strCache>
            </c:strRef>
          </c:cat>
          <c:val>
            <c:numRef>
              <c:f>'Acumulado 2025'!$I$22:$I$34</c:f>
              <c:numCache>
                <c:formatCode>_-* #,##0_-;\-* #,##0_-;_-* "-"??_-;_-@_-</c:formatCode>
                <c:ptCount val="13"/>
                <c:pt idx="0" formatCode="General">
                  <c:v>2023</c:v>
                </c:pt>
                <c:pt idx="1">
                  <c:v>1590863</c:v>
                </c:pt>
                <c:pt idx="2">
                  <c:v>504927</c:v>
                </c:pt>
                <c:pt idx="3">
                  <c:v>1884224</c:v>
                </c:pt>
                <c:pt idx="4">
                  <c:v>1597046</c:v>
                </c:pt>
                <c:pt idx="5">
                  <c:v>2073393</c:v>
                </c:pt>
                <c:pt idx="6">
                  <c:v>2585991</c:v>
                </c:pt>
                <c:pt idx="7">
                  <c:v>908206</c:v>
                </c:pt>
                <c:pt idx="8">
                  <c:v>2331158</c:v>
                </c:pt>
                <c:pt idx="9">
                  <c:v>2241784</c:v>
                </c:pt>
                <c:pt idx="10" formatCode="#,##0">
                  <c:v>2820176</c:v>
                </c:pt>
                <c:pt idx="11" formatCode="#,##0">
                  <c:v>2264772</c:v>
                </c:pt>
                <c:pt idx="12" formatCode="#,##0">
                  <c:v>2533610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8-4A20-B88E-932260070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2912703"/>
        <c:axId val="9293910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'Acumulado 2025'!$H$22:$H$34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 </c:v>
                </c:pt>
                <c:pt idx="12">
                  <c:v>Diciembre</c:v>
                </c:pt>
              </c:strCache>
            </c:strRef>
          </c:cat>
          <c:val>
            <c:numRef>
              <c:f>'Acumulado 2025'!$J$22:$J$34</c:f>
              <c:numCache>
                <c:formatCode>_-* #,##0_-;\-* #,##0_-;_-* "-"??_-;_-@_-</c:formatCode>
                <c:ptCount val="13"/>
                <c:pt idx="0" formatCode="General">
                  <c:v>2024</c:v>
                </c:pt>
                <c:pt idx="1">
                  <c:v>2042669.0483189996</c:v>
                </c:pt>
                <c:pt idx="2">
                  <c:v>3177087.6890920005</c:v>
                </c:pt>
                <c:pt idx="3">
                  <c:v>3214387.73</c:v>
                </c:pt>
                <c:pt idx="4">
                  <c:v>2864927</c:v>
                </c:pt>
                <c:pt idx="5">
                  <c:v>5851088.9557480002</c:v>
                </c:pt>
                <c:pt idx="6">
                  <c:v>5529411.3300000001</c:v>
                </c:pt>
                <c:pt idx="7">
                  <c:v>4235739</c:v>
                </c:pt>
                <c:pt idx="8">
                  <c:v>4006539.8344650008</c:v>
                </c:pt>
                <c:pt idx="9">
                  <c:v>3083967.9337399998</c:v>
                </c:pt>
                <c:pt idx="10">
                  <c:v>1800526.9199999997</c:v>
                </c:pt>
                <c:pt idx="11">
                  <c:v>4477784.1579450006</c:v>
                </c:pt>
                <c:pt idx="12">
                  <c:v>3838396.6524219993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8-4A20-B88E-932260070AD2}"/>
            </c:ext>
          </c:extLst>
        </c:ser>
        <c:ser>
          <c:idx val="2"/>
          <c:order val="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'Acumulado 2025'!$H$22:$H$34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 </c:v>
                </c:pt>
                <c:pt idx="12">
                  <c:v>Diciembre</c:v>
                </c:pt>
              </c:strCache>
            </c:strRef>
          </c:cat>
          <c:val>
            <c:numRef>
              <c:f>'Acumulado 2025'!$K$22:$K$34</c:f>
              <c:numCache>
                <c:formatCode>#,##0_);\(#,##0\)</c:formatCode>
                <c:ptCount val="13"/>
                <c:pt idx="0" formatCode="General">
                  <c:v>2025</c:v>
                </c:pt>
                <c:pt idx="1">
                  <c:v>3784231.6592049999</c:v>
                </c:pt>
                <c:pt idx="2">
                  <c:v>2164730.1634999998</c:v>
                </c:pt>
                <c:pt idx="3">
                  <c:v>3047553.1235989998</c:v>
                </c:pt>
                <c:pt idx="4">
                  <c:v>2048128.9333200001</c:v>
                </c:pt>
                <c:pt idx="5">
                  <c:v>4644481.3411800014</c:v>
                </c:pt>
                <c:pt idx="6">
                  <c:v>2520651.6736999997</c:v>
                </c:pt>
                <c:pt idx="7">
                  <c:v>6323157.8068000004</c:v>
                </c:pt>
                <c:pt idx="8">
                  <c:v>3813293.04</c:v>
                </c:pt>
                <c:pt idx="9">
                  <c:v>1777591.59</c:v>
                </c:pt>
                <c:pt idx="10">
                  <c:v>2916241.6379999993</c:v>
                </c:pt>
                <c:pt idx="11">
                  <c:v>3993126.1790550011</c:v>
                </c:pt>
                <c:pt idx="12">
                  <c:v>3809839.07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2-415F-9003-8440187EA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12703"/>
        <c:axId val="92939103"/>
      </c:lineChart>
      <c:catAx>
        <c:axId val="929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39103"/>
        <c:crosses val="autoZero"/>
        <c:auto val="1"/>
        <c:lblAlgn val="ctr"/>
        <c:lblOffset val="100"/>
        <c:noMultiLvlLbl val="0"/>
      </c:catAx>
      <c:valAx>
        <c:axId val="929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1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Ventas</a:t>
            </a:r>
            <a:r>
              <a:rPr lang="es-MX" b="1" baseline="0"/>
              <a:t> por oficinas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 Oficina'!$C$11</c:f>
              <c:strCache>
                <c:ptCount val="1"/>
                <c:pt idx="0">
                  <c:v>Nuevo Laredo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 Oficina'!$B$12:$B$22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Sepiembre</c:v>
                </c:pt>
                <c:pt idx="9">
                  <c:v>Octubre</c:v>
                </c:pt>
                <c:pt idx="10">
                  <c:v>Noviembre</c:v>
                </c:pt>
              </c:strCache>
            </c:strRef>
          </c:cat>
          <c:val>
            <c:numRef>
              <c:f>'Por Oficina'!$C$12:$C$22</c:f>
              <c:numCache>
                <c:formatCode>#,##0;[Red]\(#,##0\)</c:formatCode>
                <c:ptCount val="11"/>
                <c:pt idx="0">
                  <c:v>815577.36</c:v>
                </c:pt>
                <c:pt idx="1">
                  <c:v>982121.86</c:v>
                </c:pt>
                <c:pt idx="2">
                  <c:v>1133086.7600000005</c:v>
                </c:pt>
                <c:pt idx="3">
                  <c:v>842176.50000000023</c:v>
                </c:pt>
                <c:pt idx="4">
                  <c:v>1017639.3200000001</c:v>
                </c:pt>
                <c:pt idx="5">
                  <c:v>642516</c:v>
                </c:pt>
                <c:pt idx="6">
                  <c:v>1344354.95</c:v>
                </c:pt>
                <c:pt idx="7">
                  <c:v>1026230.07</c:v>
                </c:pt>
                <c:pt idx="8">
                  <c:v>455362.33</c:v>
                </c:pt>
                <c:pt idx="9">
                  <c:v>597699.56000000006</c:v>
                </c:pt>
                <c:pt idx="10">
                  <c:v>717989.16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6-4476-B647-F5A84395CF98}"/>
            </c:ext>
          </c:extLst>
        </c:ser>
        <c:ser>
          <c:idx val="1"/>
          <c:order val="1"/>
          <c:tx>
            <c:strRef>
              <c:f>'Por Oficina'!$D$11</c:f>
              <c:strCache>
                <c:ptCount val="1"/>
                <c:pt idx="0">
                  <c:v>Veracruz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 Oficina'!$B$12:$B$22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Sepiembre</c:v>
                </c:pt>
                <c:pt idx="9">
                  <c:v>Octubre</c:v>
                </c:pt>
                <c:pt idx="10">
                  <c:v>Noviembre</c:v>
                </c:pt>
              </c:strCache>
            </c:strRef>
          </c:cat>
          <c:val>
            <c:numRef>
              <c:f>'Por Oficina'!$D$12:$D$22</c:f>
              <c:numCache>
                <c:formatCode>#,##0;[Red]\(#,##0\)</c:formatCode>
                <c:ptCount val="11"/>
                <c:pt idx="0">
                  <c:v>2968654.299205</c:v>
                </c:pt>
                <c:pt idx="1">
                  <c:v>1182608.31</c:v>
                </c:pt>
                <c:pt idx="2">
                  <c:v>1914466.3635989996</c:v>
                </c:pt>
                <c:pt idx="3">
                  <c:v>1205952.4333200001</c:v>
                </c:pt>
                <c:pt idx="4">
                  <c:v>3626842.0211800002</c:v>
                </c:pt>
                <c:pt idx="5">
                  <c:v>1878135.6736999997</c:v>
                </c:pt>
                <c:pt idx="6">
                  <c:v>4978802.8600000003</c:v>
                </c:pt>
                <c:pt idx="7">
                  <c:v>2787062.9697279995</c:v>
                </c:pt>
                <c:pt idx="8">
                  <c:v>1322229.26</c:v>
                </c:pt>
                <c:pt idx="9">
                  <c:v>2318542.08</c:v>
                </c:pt>
                <c:pt idx="10">
                  <c:v>3275137.02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6-4476-B647-F5A84395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61375"/>
        <c:axId val="775526175"/>
      </c:barChart>
      <c:catAx>
        <c:axId val="3041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526175"/>
        <c:crosses val="autoZero"/>
        <c:auto val="1"/>
        <c:lblAlgn val="ctr"/>
        <c:lblOffset val="100"/>
        <c:noMultiLvlLbl val="0"/>
      </c:catAx>
      <c:valAx>
        <c:axId val="7755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416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01E-4CDA-9719-F67FC6DEF9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E-4CDA-9719-F67FC6DEF9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04-4602-A18F-5145B63E7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ED-4564-BF73-994FFFD071A8}"/>
              </c:ext>
            </c:extLst>
          </c:dPt>
          <c:dLbls>
            <c:dLbl>
              <c:idx val="0"/>
              <c:layout>
                <c:manualLayout>
                  <c:x val="-0.20277777777777778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6308D7CB-FA05-4E90-80A8-C828F7C01BA7}" type="CATEGORYNAME">
                      <a:rPr lang="en-US"/>
                      <a:pPr/>
                      <a:t>[NOMBRE DE CATEGORÍA]</a:t>
                    </a:fld>
                    <a:r>
                      <a:rPr lang="en-US"/>
                      <a:t>
</a:t>
                    </a:r>
                    <a:fld id="{BE3AE26E-3E91-4749-A8D8-1D80B814FE7B}" type="PERCENTAGE">
                      <a:rPr lang="en-US"/>
                      <a:pPr/>
                      <a:t>[PORCENTAJE]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01E-4CDA-9719-F67FC6DEF9FC}"/>
                </c:ext>
              </c:extLst>
            </c:dLbl>
            <c:dLbl>
              <c:idx val="1"/>
              <c:layout>
                <c:manualLayout>
                  <c:x val="0.20555555555555555"/>
                  <c:y val="0"/>
                </c:manualLayout>
              </c:layout>
              <c:tx>
                <c:rich>
                  <a:bodyPr/>
                  <a:lstStyle/>
                  <a:p>
                    <a:fld id="{76015BE0-E0C3-4E35-970C-87D504D3C308}" type="CATEGORYNAME">
                      <a:rPr lang="en-US"/>
                      <a:pPr/>
                      <a:t>[NOMBRE DE CATEGORÍA]</a:t>
                    </a:fld>
                    <a:r>
                      <a:rPr lang="en-US"/>
                      <a:t>
</a:t>
                    </a:r>
                    <a:fld id="{1AE23671-6AEC-4E5C-9519-9597372E69C1}" type="PERCENTAGE">
                      <a:rPr lang="en-US"/>
                      <a:pPr/>
                      <a:t>[PORCENTAJE]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01E-4CDA-9719-F67FC6DEF9FC}"/>
                </c:ext>
              </c:extLst>
            </c:dLbl>
            <c:dLbl>
              <c:idx val="2"/>
              <c:layout>
                <c:manualLayout>
                  <c:x val="3.2951942705133949E-2"/>
                  <c:y val="5.0925925925925923E-2"/>
                </c:manualLayout>
              </c:layout>
              <c:tx>
                <c:rich>
                  <a:bodyPr/>
                  <a:lstStyle/>
                  <a:p>
                    <a:fld id="{5ACA1783-DE40-4984-8EF6-AF3E3F278879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[NOMBRE DE CATEGORÍA]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
</a:t>
                    </a:r>
                    <a:fld id="{867B0741-5F56-4411-83DB-87C81769A5B6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[PORCENTAJE]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104-4602-A18F-5145B63E7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 Trimestre 2024'!$I$22:$I$25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'Por Trimestre 2024'!$J$22:$J$25</c:f>
              <c:numCache>
                <c:formatCode>_-* #,##0_-;\-* #,##0_-;_-* "-"??_-;_-@_-</c:formatCode>
                <c:ptCount val="4"/>
                <c:pt idx="0">
                  <c:v>8996514.9463040009</c:v>
                </c:pt>
                <c:pt idx="1">
                  <c:v>9213261.9381999988</c:v>
                </c:pt>
                <c:pt idx="2">
                  <c:v>11914043.016527999</c:v>
                </c:pt>
                <c:pt idx="3">
                  <c:v>10719207.609999999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CDA-9719-F67FC6DEF9F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09-4210-A4D2-7598A287693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09-4210-A4D2-7598A287693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308D7CB-FA05-4E90-80A8-C828F7C01BA7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[NOMBRE DE CATEGORÍA]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
</a:t>
                    </a:r>
                    <a:fld id="{BE3AE26E-3E91-4749-A8D8-1D80B814FE7B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[PORCENTAJE]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E09-4210-A4D2-7598A28769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015BE0-E0C3-4E35-970C-87D504D3C308}" type="CATEGORYNAME">
                      <a:rPr lang="en-US" b="1">
                        <a:solidFill>
                          <a:schemeClr val="bg1"/>
                        </a:solidFill>
                      </a:rPr>
                      <a:pPr/>
                      <a:t>[NOMBRE DE CATEGORÍA]</a:t>
                    </a:fld>
                    <a:r>
                      <a:rPr lang="en-US" b="1">
                        <a:solidFill>
                          <a:schemeClr val="bg1"/>
                        </a:solidFill>
                      </a:rPr>
                      <a:t>
</a:t>
                    </a:r>
                    <a:fld id="{1AE23671-6AEC-4E5C-9519-9597372E69C1}" type="PERCENTAGE">
                      <a:rPr lang="en-US" b="1">
                        <a:solidFill>
                          <a:schemeClr val="bg1"/>
                        </a:solidFill>
                      </a:rPr>
                      <a:pPr/>
                      <a:t>[PORCENTAJE]</a:t>
                    </a:fld>
                    <a:endParaRPr lang="en-US" b="1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E09-4210-A4D2-7598A2876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 Tipo'!$G$23:$G$24</c:f>
              <c:strCache>
                <c:ptCount val="2"/>
                <c:pt idx="0">
                  <c:v>Nuevas</c:v>
                </c:pt>
                <c:pt idx="1">
                  <c:v>Ordinarias</c:v>
                </c:pt>
              </c:strCache>
            </c:strRef>
          </c:cat>
          <c:val>
            <c:numRef>
              <c:f>'Por Tipo'!$H$23:$H$24</c:f>
              <c:numCache>
                <c:formatCode>_-* #,##0_-;\-* #,##0_-;_-* "-"??_-;_-@_-</c:formatCode>
                <c:ptCount val="2"/>
                <c:pt idx="0">
                  <c:v>3350733.1661319998</c:v>
                </c:pt>
                <c:pt idx="1">
                  <c:v>37492294.344899997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09-4210-A4D2-7598A287693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1</xdr:row>
      <xdr:rowOff>0</xdr:rowOff>
    </xdr:from>
    <xdr:to>
      <xdr:col>4</xdr:col>
      <xdr:colOff>1522647</xdr:colOff>
      <xdr:row>4</xdr:row>
      <xdr:rowOff>99858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6CE892-110C-4A86-B130-6401B9BDB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190500"/>
          <a:ext cx="1930977" cy="671358"/>
        </a:xfrm>
        <a:prstGeom prst="rect">
          <a:avLst/>
        </a:prstGeom>
      </xdr:spPr>
    </xdr:pic>
    <xdr:clientData/>
  </xdr:twoCellAnchor>
  <xdr:twoCellAnchor>
    <xdr:from>
      <xdr:col>7</xdr:col>
      <xdr:colOff>109322</xdr:colOff>
      <xdr:row>3</xdr:row>
      <xdr:rowOff>133351</xdr:rowOff>
    </xdr:from>
    <xdr:to>
      <xdr:col>13</xdr:col>
      <xdr:colOff>67105</xdr:colOff>
      <xdr:row>18</xdr:row>
      <xdr:rowOff>114301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B350FE-E491-FBB8-7F4F-C9CB2F979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166687</xdr:rowOff>
    </xdr:from>
    <xdr:to>
      <xdr:col>12</xdr:col>
      <xdr:colOff>9525</xdr:colOff>
      <xdr:row>24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72132D-9A4C-D176-2DC3-3448640FF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771525</xdr:colOff>
      <xdr:row>0</xdr:row>
      <xdr:rowOff>114300</xdr:rowOff>
    </xdr:from>
    <xdr:to>
      <xdr:col>5</xdr:col>
      <xdr:colOff>759044</xdr:colOff>
      <xdr:row>4</xdr:row>
      <xdr:rowOff>23658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39799B-479D-422D-B572-9793A70B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14300"/>
          <a:ext cx="1930977" cy="671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430076</xdr:colOff>
      <xdr:row>1</xdr:row>
      <xdr:rowOff>31528</xdr:rowOff>
    </xdr:from>
    <xdr:to>
      <xdr:col>1</xdr:col>
      <xdr:colOff>1535035</xdr:colOff>
      <xdr:row>3</xdr:row>
      <xdr:rowOff>33717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FF3746-BB12-43D2-9D04-9EF3E13E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191" y="220342"/>
          <a:ext cx="1104959" cy="3663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52916</xdr:colOff>
      <xdr:row>5</xdr:row>
      <xdr:rowOff>4234</xdr:rowOff>
    </xdr:from>
    <xdr:to>
      <xdr:col>14</xdr:col>
      <xdr:colOff>251999</xdr:colOff>
      <xdr:row>20</xdr:row>
      <xdr:rowOff>98734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883805-C5DB-10C5-0753-7307ABA80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518583</xdr:colOff>
      <xdr:row>0</xdr:row>
      <xdr:rowOff>52917</xdr:rowOff>
    </xdr:from>
    <xdr:to>
      <xdr:col>1</xdr:col>
      <xdr:colOff>1687560</xdr:colOff>
      <xdr:row>3</xdr:row>
      <xdr:rowOff>152775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F352C2-DCE9-4D17-9472-19A99BAB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583" y="52917"/>
          <a:ext cx="1930977" cy="6713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52916</xdr:colOff>
      <xdr:row>1</xdr:row>
      <xdr:rowOff>4234</xdr:rowOff>
    </xdr:from>
    <xdr:to>
      <xdr:col>12</xdr:col>
      <xdr:colOff>323999</xdr:colOff>
      <xdr:row>21</xdr:row>
      <xdr:rowOff>109234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5F7241-C213-4215-9557-5F48BE800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52917</xdr:colOff>
      <xdr:row>1</xdr:row>
      <xdr:rowOff>42333</xdr:rowOff>
    </xdr:from>
    <xdr:to>
      <xdr:col>1</xdr:col>
      <xdr:colOff>1270518</xdr:colOff>
      <xdr:row>3</xdr:row>
      <xdr:rowOff>84666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07BD6-4D6C-4260-9A30-515AF4008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232833"/>
          <a:ext cx="1217601" cy="423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423333</xdr:colOff>
      <xdr:row>1</xdr:row>
      <xdr:rowOff>31528</xdr:rowOff>
    </xdr:from>
    <xdr:to>
      <xdr:col>1</xdr:col>
      <xdr:colOff>1989666</xdr:colOff>
      <xdr:row>4</xdr:row>
      <xdr:rowOff>4607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BD78C7-96C4-4B01-AA45-241D134A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33" y="231553"/>
          <a:ext cx="1566333" cy="54457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5AD873-9329-4967-BEF2-9B5C3EB4180E}" name="Tabla2" displayName="Tabla2" ref="A1:K1253" totalsRowCount="1" headerRowDxfId="26" dataDxfId="24" headerRowBorderDxfId="25" tableBorderDxfId="23" totalsRowBorderDxfId="22">
  <autoFilter ref="A1:K1252" xr:uid="{1F5AD873-9329-4967-BEF2-9B5C3EB4180E}">
    <filterColumn colId="0">
      <filters>
        <filter val="VER"/>
      </filters>
    </filterColumn>
    <filterColumn colId="1">
      <filters>
        <filter val="Diciembre"/>
      </filters>
    </filterColumn>
  </autoFilter>
  <tableColumns count="11">
    <tableColumn id="1" xr3:uid="{7F127F0D-9E8A-4775-BC54-1A6A0B1A4012}" name="OFICINA" totalsRowLabel="Total" dataDxfId="21" totalsRowDxfId="20"/>
    <tableColumn id="2" xr3:uid="{09E2329E-4FFA-4FC7-B42F-8B7BFAD66E5F}" name="MES" dataDxfId="19" totalsRowDxfId="18"/>
    <tableColumn id="3" xr3:uid="{7967AC02-529C-480E-A5ED-4ABBD9BFEDC9}" name="FACTURA" dataDxfId="17" totalsRowDxfId="16"/>
    <tableColumn id="4" xr3:uid="{EB1E647E-C4FE-4EE2-9948-9E35D196F9A5}" name="TRAFICO" dataDxfId="15" totalsRowDxfId="14"/>
    <tableColumn id="5" xr3:uid="{D33AE6EA-143E-4D9E-AB0C-9EDE712BA088}" name="FECHA" dataDxfId="13" totalsRowDxfId="12"/>
    <tableColumn id="6" xr3:uid="{96914EA6-B2A5-4536-A9CE-C529F9283640}" name="CLIENTE" dataDxfId="11" totalsRowDxfId="10"/>
    <tableColumn id="7" xr3:uid="{AAA2C939-E30E-430E-B953-2FA89DFCB466}" name="CLIENTE NOMBRE" dataDxfId="9" totalsRowDxfId="8"/>
    <tableColumn id="8" xr3:uid="{DCA81086-6AC5-4ACE-9350-E7577543E32B}" name="IMPORTE" totalsRowFunction="sum" dataDxfId="7" totalsRowDxfId="6"/>
    <tableColumn id="9" xr3:uid="{0502F049-8D70-46CC-BD77-0A4894767DD0}" name="PROFIT" totalsRowFunction="average" dataDxfId="5" totalsRowDxfId="4" dataCellStyle="Porcentaje"/>
    <tableColumn id="10" xr3:uid="{4CE9D2D8-DFE9-4DB7-816C-DEF7C517E634}" name="EJECUTIVO" totalsRowFunction="count" dataDxfId="3" totalsRowDxfId="2"/>
    <tableColumn id="11" xr3:uid="{B5D7EE94-BF43-4F4E-B483-F60844CA2FA1}" name="T OPERACIÓ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7852-CADA-4CBD-9430-60D74C87E8CA}">
  <dimension ref="A1:N358"/>
  <sheetViews>
    <sheetView topLeftCell="A358" workbookViewId="0">
      <selection activeCell="D12" sqref="D12"/>
    </sheetView>
  </sheetViews>
  <sheetFormatPr baseColWidth="10" defaultRowHeight="14.4" x14ac:dyDescent="0.3"/>
  <cols>
    <col min="4" max="4" width="21" bestFit="1" customWidth="1"/>
    <col min="7" max="7" width="35.109375" bestFit="1" customWidth="1"/>
    <col min="8" max="8" width="11.6640625" bestFit="1" customWidth="1"/>
    <col min="12" max="12" width="35.109375" bestFit="1" customWidth="1"/>
    <col min="14" max="14" width="14.109375" bestFit="1" customWidth="1"/>
  </cols>
  <sheetData>
    <row r="1" spans="1:14" x14ac:dyDescent="0.3">
      <c r="A1" s="49" t="s">
        <v>70</v>
      </c>
      <c r="B1" s="49" t="s">
        <v>61</v>
      </c>
      <c r="C1" s="49" t="s">
        <v>71</v>
      </c>
      <c r="D1" s="49" t="s">
        <v>72</v>
      </c>
      <c r="E1" s="50" t="s">
        <v>73</v>
      </c>
      <c r="F1" s="49" t="s">
        <v>74</v>
      </c>
      <c r="G1" s="49" t="s">
        <v>75</v>
      </c>
      <c r="H1" s="51" t="s">
        <v>76</v>
      </c>
      <c r="K1" s="52" t="s">
        <v>77</v>
      </c>
      <c r="L1" s="7"/>
    </row>
    <row r="2" spans="1:14" x14ac:dyDescent="0.3">
      <c r="A2" s="56" t="s">
        <v>392</v>
      </c>
      <c r="B2" s="56" t="s">
        <v>379</v>
      </c>
      <c r="C2" s="53" t="s">
        <v>78</v>
      </c>
      <c r="D2" s="53" t="s">
        <v>223</v>
      </c>
      <c r="E2" s="55">
        <v>45357</v>
      </c>
      <c r="F2" s="53" t="s">
        <v>368</v>
      </c>
      <c r="G2" s="53" t="s">
        <v>588</v>
      </c>
      <c r="H2" s="54">
        <v>3432.66</v>
      </c>
      <c r="L2" s="7"/>
      <c r="M2" s="57"/>
    </row>
    <row r="3" spans="1:14" x14ac:dyDescent="0.3">
      <c r="A3" s="56" t="s">
        <v>392</v>
      </c>
      <c r="B3" s="56" t="s">
        <v>379</v>
      </c>
      <c r="C3" s="53" t="s">
        <v>79</v>
      </c>
      <c r="D3" s="53" t="s">
        <v>224</v>
      </c>
      <c r="E3" s="55">
        <v>45357</v>
      </c>
      <c r="F3" s="53" t="s">
        <v>369</v>
      </c>
      <c r="G3" s="53" t="s">
        <v>68</v>
      </c>
      <c r="H3" s="54">
        <v>3235</v>
      </c>
      <c r="L3" s="7"/>
      <c r="M3" s="57"/>
    </row>
    <row r="4" spans="1:14" x14ac:dyDescent="0.3">
      <c r="A4" s="56" t="s">
        <v>392</v>
      </c>
      <c r="B4" s="56" t="s">
        <v>379</v>
      </c>
      <c r="C4" s="53" t="s">
        <v>80</v>
      </c>
      <c r="D4" s="53" t="s">
        <v>225</v>
      </c>
      <c r="E4" s="55">
        <v>45357</v>
      </c>
      <c r="F4" s="53" t="s">
        <v>369</v>
      </c>
      <c r="G4" s="53" t="s">
        <v>68</v>
      </c>
      <c r="H4" s="54">
        <v>3235</v>
      </c>
      <c r="L4" s="7"/>
      <c r="M4" s="57"/>
    </row>
    <row r="5" spans="1:14" x14ac:dyDescent="0.3">
      <c r="A5" s="56" t="s">
        <v>392</v>
      </c>
      <c r="B5" s="56" t="s">
        <v>379</v>
      </c>
      <c r="C5" s="53" t="s">
        <v>81</v>
      </c>
      <c r="D5" s="53" t="s">
        <v>226</v>
      </c>
      <c r="E5" s="55">
        <v>45357</v>
      </c>
      <c r="F5" s="53" t="s">
        <v>370</v>
      </c>
      <c r="G5" s="53" t="s">
        <v>63</v>
      </c>
      <c r="H5" s="54">
        <v>11471.1</v>
      </c>
      <c r="L5" s="7"/>
      <c r="M5" s="57"/>
    </row>
    <row r="6" spans="1:14" x14ac:dyDescent="0.3">
      <c r="A6" s="56" t="s">
        <v>392</v>
      </c>
      <c r="B6" s="56" t="s">
        <v>379</v>
      </c>
      <c r="C6" s="53" t="s">
        <v>82</v>
      </c>
      <c r="D6" s="53" t="s">
        <v>227</v>
      </c>
      <c r="E6" s="55">
        <v>45357</v>
      </c>
      <c r="F6" s="53" t="s">
        <v>369</v>
      </c>
      <c r="G6" s="53" t="s">
        <v>68</v>
      </c>
      <c r="H6" s="54">
        <v>11705</v>
      </c>
      <c r="L6" s="7"/>
      <c r="M6" s="57"/>
    </row>
    <row r="7" spans="1:14" x14ac:dyDescent="0.3">
      <c r="A7" s="56" t="s">
        <v>392</v>
      </c>
      <c r="B7" s="56" t="s">
        <v>379</v>
      </c>
      <c r="C7" s="53" t="s">
        <v>83</v>
      </c>
      <c r="D7" s="53" t="s">
        <v>228</v>
      </c>
      <c r="E7" s="55">
        <v>45357</v>
      </c>
      <c r="F7" s="53" t="s">
        <v>370</v>
      </c>
      <c r="G7" s="53" t="s">
        <v>63</v>
      </c>
      <c r="H7" s="54">
        <v>1500</v>
      </c>
      <c r="L7" s="7"/>
      <c r="M7" s="57"/>
    </row>
    <row r="8" spans="1:14" x14ac:dyDescent="0.3">
      <c r="A8" s="56" t="s">
        <v>390</v>
      </c>
      <c r="B8" s="56" t="s">
        <v>379</v>
      </c>
      <c r="C8" s="53" t="s">
        <v>84</v>
      </c>
      <c r="D8" s="53" t="s">
        <v>229</v>
      </c>
      <c r="E8" s="55">
        <v>45357</v>
      </c>
      <c r="F8" s="53" t="s">
        <v>369</v>
      </c>
      <c r="G8" s="53" t="s">
        <v>68</v>
      </c>
      <c r="H8" s="54">
        <v>2040</v>
      </c>
      <c r="L8" s="7"/>
      <c r="M8" s="57"/>
    </row>
    <row r="9" spans="1:14" x14ac:dyDescent="0.3">
      <c r="A9" s="56" t="s">
        <v>392</v>
      </c>
      <c r="B9" s="56" t="s">
        <v>379</v>
      </c>
      <c r="C9" s="53" t="s">
        <v>85</v>
      </c>
      <c r="D9" s="53" t="s">
        <v>230</v>
      </c>
      <c r="E9" s="55">
        <v>45357</v>
      </c>
      <c r="F9" s="53" t="s">
        <v>368</v>
      </c>
      <c r="G9" s="53" t="s">
        <v>588</v>
      </c>
      <c r="H9" s="54">
        <v>3412.04</v>
      </c>
      <c r="K9" t="s">
        <v>35</v>
      </c>
      <c r="L9" s="7">
        <f>SUM(H155:H264)</f>
        <v>2905974.9422209999</v>
      </c>
      <c r="M9" s="57">
        <f>+H253</f>
        <v>41047.587944999999</v>
      </c>
      <c r="N9" s="46">
        <f>+L9-M9</f>
        <v>2864927.3542760001</v>
      </c>
    </row>
    <row r="10" spans="1:14" x14ac:dyDescent="0.3">
      <c r="A10" s="56" t="s">
        <v>392</v>
      </c>
      <c r="B10" s="56" t="s">
        <v>379</v>
      </c>
      <c r="C10" s="53" t="s">
        <v>86</v>
      </c>
      <c r="D10" s="53" t="s">
        <v>231</v>
      </c>
      <c r="E10" s="55">
        <v>45357</v>
      </c>
      <c r="F10" s="53" t="s">
        <v>369</v>
      </c>
      <c r="G10" s="53" t="s">
        <v>68</v>
      </c>
      <c r="H10" s="54">
        <v>3235</v>
      </c>
      <c r="L10" s="7"/>
      <c r="M10" s="57"/>
    </row>
    <row r="11" spans="1:14" x14ac:dyDescent="0.3">
      <c r="A11" s="56" t="s">
        <v>392</v>
      </c>
      <c r="B11" s="56" t="s">
        <v>379</v>
      </c>
      <c r="C11" s="53" t="s">
        <v>87</v>
      </c>
      <c r="D11" s="53" t="s">
        <v>232</v>
      </c>
      <c r="E11" s="55">
        <v>45358</v>
      </c>
      <c r="F11" s="53" t="s">
        <v>369</v>
      </c>
      <c r="G11" s="53" t="s">
        <v>68</v>
      </c>
      <c r="H11" s="54">
        <v>3235</v>
      </c>
      <c r="L11" s="7"/>
    </row>
    <row r="12" spans="1:14" x14ac:dyDescent="0.3">
      <c r="A12" s="56" t="s">
        <v>390</v>
      </c>
      <c r="B12" s="56" t="s">
        <v>379</v>
      </c>
      <c r="C12" s="53" t="s">
        <v>88</v>
      </c>
      <c r="D12" s="53" t="s">
        <v>233</v>
      </c>
      <c r="E12" s="55">
        <v>45358</v>
      </c>
      <c r="F12" s="53" t="s">
        <v>369</v>
      </c>
      <c r="G12" s="53" t="s">
        <v>68</v>
      </c>
      <c r="H12" s="54">
        <v>58886</v>
      </c>
      <c r="L12" s="7"/>
    </row>
    <row r="13" spans="1:14" x14ac:dyDescent="0.3">
      <c r="A13" s="56" t="s">
        <v>392</v>
      </c>
      <c r="B13" s="56" t="s">
        <v>379</v>
      </c>
      <c r="C13" s="53" t="s">
        <v>89</v>
      </c>
      <c r="D13" s="53" t="s">
        <v>234</v>
      </c>
      <c r="E13" s="55">
        <v>45358</v>
      </c>
      <c r="F13" s="53" t="s">
        <v>369</v>
      </c>
      <c r="G13" s="53" t="s">
        <v>68</v>
      </c>
      <c r="H13" s="54">
        <v>3235</v>
      </c>
      <c r="L13" s="7"/>
    </row>
    <row r="14" spans="1:14" x14ac:dyDescent="0.3">
      <c r="A14" s="56" t="s">
        <v>392</v>
      </c>
      <c r="B14" s="56" t="s">
        <v>379</v>
      </c>
      <c r="C14" s="53" t="s">
        <v>90</v>
      </c>
      <c r="D14" s="53" t="s">
        <v>235</v>
      </c>
      <c r="E14" s="55">
        <v>45358</v>
      </c>
      <c r="F14" s="53" t="s">
        <v>369</v>
      </c>
      <c r="G14" s="53" t="s">
        <v>68</v>
      </c>
      <c r="H14" s="54">
        <v>3235</v>
      </c>
      <c r="L14" s="7"/>
      <c r="M14" s="57"/>
    </row>
    <row r="15" spans="1:14" x14ac:dyDescent="0.3">
      <c r="A15" s="56" t="s">
        <v>390</v>
      </c>
      <c r="B15" s="56" t="s">
        <v>379</v>
      </c>
      <c r="C15" s="53" t="s">
        <v>91</v>
      </c>
      <c r="D15" s="53" t="s">
        <v>233</v>
      </c>
      <c r="E15" s="55">
        <v>45358</v>
      </c>
      <c r="F15" s="53" t="s">
        <v>369</v>
      </c>
      <c r="G15" s="53" t="s">
        <v>68</v>
      </c>
      <c r="H15" s="54">
        <v>1285.19</v>
      </c>
    </row>
    <row r="16" spans="1:14" x14ac:dyDescent="0.3">
      <c r="A16" s="56" t="s">
        <v>390</v>
      </c>
      <c r="B16" s="56" t="s">
        <v>379</v>
      </c>
      <c r="C16" s="53" t="s">
        <v>92</v>
      </c>
      <c r="D16" s="53" t="s">
        <v>236</v>
      </c>
      <c r="E16" s="55">
        <v>45358</v>
      </c>
      <c r="F16" s="53" t="s">
        <v>369</v>
      </c>
      <c r="G16" s="53" t="s">
        <v>68</v>
      </c>
      <c r="H16" s="54">
        <v>126298.53</v>
      </c>
      <c r="M16" s="46"/>
    </row>
    <row r="17" spans="1:8" x14ac:dyDescent="0.3">
      <c r="A17" s="56" t="s">
        <v>390</v>
      </c>
      <c r="B17" s="56" t="s">
        <v>379</v>
      </c>
      <c r="C17" s="53" t="s">
        <v>92</v>
      </c>
      <c r="D17" s="53" t="s">
        <v>236</v>
      </c>
      <c r="E17" s="55">
        <v>45358</v>
      </c>
      <c r="F17" s="53" t="s">
        <v>369</v>
      </c>
      <c r="G17" s="53" t="s">
        <v>68</v>
      </c>
      <c r="H17" s="54">
        <v>3553.67</v>
      </c>
    </row>
    <row r="18" spans="1:8" x14ac:dyDescent="0.3">
      <c r="A18" s="56" t="s">
        <v>392</v>
      </c>
      <c r="B18" s="56" t="s">
        <v>379</v>
      </c>
      <c r="C18" s="53" t="s">
        <v>93</v>
      </c>
      <c r="D18" s="53" t="s">
        <v>237</v>
      </c>
      <c r="E18" s="55">
        <v>45358</v>
      </c>
      <c r="F18" s="53" t="s">
        <v>369</v>
      </c>
      <c r="G18" s="53" t="s">
        <v>68</v>
      </c>
      <c r="H18" s="54">
        <v>2035</v>
      </c>
    </row>
    <row r="19" spans="1:8" x14ac:dyDescent="0.3">
      <c r="A19" s="56" t="s">
        <v>390</v>
      </c>
      <c r="B19" s="56" t="s">
        <v>379</v>
      </c>
      <c r="C19" s="53" t="s">
        <v>94</v>
      </c>
      <c r="D19" s="53" t="s">
        <v>238</v>
      </c>
      <c r="E19" s="55">
        <v>45358</v>
      </c>
      <c r="F19" s="53" t="s">
        <v>369</v>
      </c>
      <c r="G19" s="53" t="s">
        <v>68</v>
      </c>
      <c r="H19" s="54">
        <v>94969</v>
      </c>
    </row>
    <row r="20" spans="1:8" x14ac:dyDescent="0.3">
      <c r="A20" s="56" t="s">
        <v>390</v>
      </c>
      <c r="B20" s="56" t="s">
        <v>379</v>
      </c>
      <c r="C20" s="53" t="s">
        <v>94</v>
      </c>
      <c r="D20" s="53" t="s">
        <v>238</v>
      </c>
      <c r="E20" s="55">
        <v>45358</v>
      </c>
      <c r="F20" s="53" t="s">
        <v>369</v>
      </c>
      <c r="G20" s="53" t="s">
        <v>68</v>
      </c>
      <c r="H20" s="54">
        <v>3553.67</v>
      </c>
    </row>
    <row r="21" spans="1:8" x14ac:dyDescent="0.3">
      <c r="A21" s="56" t="s">
        <v>390</v>
      </c>
      <c r="B21" s="56" t="s">
        <v>379</v>
      </c>
      <c r="C21" s="53" t="s">
        <v>95</v>
      </c>
      <c r="D21" s="53" t="s">
        <v>239</v>
      </c>
      <c r="E21" s="55">
        <v>45358</v>
      </c>
      <c r="F21" s="53" t="s">
        <v>369</v>
      </c>
      <c r="G21" s="53" t="s">
        <v>68</v>
      </c>
      <c r="H21" s="54">
        <v>49040.94</v>
      </c>
    </row>
    <row r="22" spans="1:8" x14ac:dyDescent="0.3">
      <c r="A22" s="56" t="s">
        <v>392</v>
      </c>
      <c r="B22" s="56" t="s">
        <v>379</v>
      </c>
      <c r="C22" s="53" t="s">
        <v>96</v>
      </c>
      <c r="D22" s="53" t="s">
        <v>240</v>
      </c>
      <c r="E22" s="55">
        <v>45358</v>
      </c>
      <c r="F22" s="53" t="s">
        <v>369</v>
      </c>
      <c r="G22" s="53" t="s">
        <v>68</v>
      </c>
      <c r="H22" s="54">
        <v>2035</v>
      </c>
    </row>
    <row r="23" spans="1:8" x14ac:dyDescent="0.3">
      <c r="A23" s="56" t="s">
        <v>392</v>
      </c>
      <c r="B23" s="56" t="s">
        <v>379</v>
      </c>
      <c r="C23" s="53" t="s">
        <v>97</v>
      </c>
      <c r="D23" s="53" t="s">
        <v>241</v>
      </c>
      <c r="E23" s="55">
        <v>45358</v>
      </c>
      <c r="F23" s="53" t="s">
        <v>369</v>
      </c>
      <c r="G23" s="53" t="s">
        <v>68</v>
      </c>
      <c r="H23" s="54">
        <v>3235</v>
      </c>
    </row>
    <row r="24" spans="1:8" x14ac:dyDescent="0.3">
      <c r="A24" s="56" t="s">
        <v>392</v>
      </c>
      <c r="B24" s="56" t="s">
        <v>379</v>
      </c>
      <c r="C24" s="53" t="s">
        <v>98</v>
      </c>
      <c r="D24" s="53" t="s">
        <v>242</v>
      </c>
      <c r="E24" s="55">
        <v>45358</v>
      </c>
      <c r="F24" s="53" t="s">
        <v>369</v>
      </c>
      <c r="G24" s="53" t="s">
        <v>68</v>
      </c>
      <c r="H24" s="54">
        <v>5235</v>
      </c>
    </row>
    <row r="25" spans="1:8" x14ac:dyDescent="0.3">
      <c r="A25" s="56" t="s">
        <v>390</v>
      </c>
      <c r="B25" s="56" t="s">
        <v>379</v>
      </c>
      <c r="C25" s="53" t="s">
        <v>99</v>
      </c>
      <c r="D25" s="53" t="s">
        <v>243</v>
      </c>
      <c r="E25" s="55">
        <v>45358</v>
      </c>
      <c r="F25" s="53" t="s">
        <v>369</v>
      </c>
      <c r="G25" s="53" t="s">
        <v>68</v>
      </c>
      <c r="H25" s="54">
        <v>12419.05</v>
      </c>
    </row>
    <row r="26" spans="1:8" x14ac:dyDescent="0.3">
      <c r="A26" s="56" t="s">
        <v>392</v>
      </c>
      <c r="B26" s="56" t="s">
        <v>379</v>
      </c>
      <c r="C26" s="53" t="s">
        <v>100</v>
      </c>
      <c r="D26" s="53" t="s">
        <v>244</v>
      </c>
      <c r="E26" s="55">
        <v>45358</v>
      </c>
      <c r="F26" s="53" t="s">
        <v>369</v>
      </c>
      <c r="G26" s="53" t="s">
        <v>68</v>
      </c>
      <c r="H26" s="54">
        <v>3235</v>
      </c>
    </row>
    <row r="27" spans="1:8" x14ac:dyDescent="0.3">
      <c r="A27" s="56" t="s">
        <v>392</v>
      </c>
      <c r="B27" s="56" t="s">
        <v>379</v>
      </c>
      <c r="C27" s="53" t="s">
        <v>101</v>
      </c>
      <c r="D27" s="53" t="s">
        <v>245</v>
      </c>
      <c r="E27" s="55">
        <v>45358</v>
      </c>
      <c r="F27" s="53" t="s">
        <v>369</v>
      </c>
      <c r="G27" s="53" t="s">
        <v>68</v>
      </c>
      <c r="H27" s="54">
        <v>3235</v>
      </c>
    </row>
    <row r="28" spans="1:8" x14ac:dyDescent="0.3">
      <c r="A28" s="56" t="s">
        <v>390</v>
      </c>
      <c r="B28" s="56" t="s">
        <v>379</v>
      </c>
      <c r="C28" s="53" t="s">
        <v>102</v>
      </c>
      <c r="D28" s="53" t="s">
        <v>246</v>
      </c>
      <c r="E28" s="55">
        <v>45358</v>
      </c>
      <c r="F28" s="53" t="s">
        <v>369</v>
      </c>
      <c r="G28" s="53" t="s">
        <v>68</v>
      </c>
      <c r="H28" s="54">
        <v>30999.86</v>
      </c>
    </row>
    <row r="29" spans="1:8" x14ac:dyDescent="0.3">
      <c r="A29" s="56" t="s">
        <v>392</v>
      </c>
      <c r="B29" s="56" t="s">
        <v>379</v>
      </c>
      <c r="C29" s="53" t="s">
        <v>103</v>
      </c>
      <c r="D29" s="53" t="s">
        <v>247</v>
      </c>
      <c r="E29" s="55">
        <v>45358</v>
      </c>
      <c r="F29" s="53" t="s">
        <v>369</v>
      </c>
      <c r="G29" s="53" t="s">
        <v>68</v>
      </c>
      <c r="H29" s="54">
        <v>3435.31</v>
      </c>
    </row>
    <row r="30" spans="1:8" x14ac:dyDescent="0.3">
      <c r="A30" s="56" t="s">
        <v>392</v>
      </c>
      <c r="B30" s="56" t="s">
        <v>379</v>
      </c>
      <c r="C30" s="53" t="s">
        <v>104</v>
      </c>
      <c r="D30" s="53" t="s">
        <v>248</v>
      </c>
      <c r="E30" s="55">
        <v>45358</v>
      </c>
      <c r="F30" s="53" t="s">
        <v>369</v>
      </c>
      <c r="G30" s="53" t="s">
        <v>68</v>
      </c>
      <c r="H30" s="54">
        <v>3735</v>
      </c>
    </row>
    <row r="31" spans="1:8" x14ac:dyDescent="0.3">
      <c r="A31" s="56" t="s">
        <v>392</v>
      </c>
      <c r="B31" s="56" t="s">
        <v>379</v>
      </c>
      <c r="C31" s="53" t="s">
        <v>105</v>
      </c>
      <c r="D31" s="53" t="s">
        <v>249</v>
      </c>
      <c r="E31" s="55">
        <v>45358</v>
      </c>
      <c r="F31" s="53" t="s">
        <v>369</v>
      </c>
      <c r="G31" s="53" t="s">
        <v>68</v>
      </c>
      <c r="H31" s="54">
        <v>3235</v>
      </c>
    </row>
    <row r="32" spans="1:8" x14ac:dyDescent="0.3">
      <c r="A32" s="56" t="s">
        <v>392</v>
      </c>
      <c r="B32" s="56" t="s">
        <v>379</v>
      </c>
      <c r="C32" s="53" t="s">
        <v>106</v>
      </c>
      <c r="D32" s="53" t="s">
        <v>250</v>
      </c>
      <c r="E32" s="55">
        <v>45358</v>
      </c>
      <c r="F32" s="53" t="s">
        <v>369</v>
      </c>
      <c r="G32" s="53" t="s">
        <v>68</v>
      </c>
      <c r="H32" s="54">
        <v>3235</v>
      </c>
    </row>
    <row r="33" spans="1:8" x14ac:dyDescent="0.3">
      <c r="A33" s="56" t="s">
        <v>392</v>
      </c>
      <c r="B33" s="56" t="s">
        <v>379</v>
      </c>
      <c r="C33" s="53" t="s">
        <v>107</v>
      </c>
      <c r="D33" s="53" t="s">
        <v>251</v>
      </c>
      <c r="E33" s="55">
        <v>45358</v>
      </c>
      <c r="F33" s="53" t="s">
        <v>369</v>
      </c>
      <c r="G33" s="53" t="s">
        <v>68</v>
      </c>
      <c r="H33" s="54">
        <v>3235</v>
      </c>
    </row>
    <row r="34" spans="1:8" x14ac:dyDescent="0.3">
      <c r="A34" s="56" t="s">
        <v>390</v>
      </c>
      <c r="B34" s="56" t="s">
        <v>379</v>
      </c>
      <c r="C34" s="53" t="s">
        <v>108</v>
      </c>
      <c r="D34" s="53" t="s">
        <v>252</v>
      </c>
      <c r="E34" s="55">
        <v>45358</v>
      </c>
      <c r="F34" s="53" t="s">
        <v>369</v>
      </c>
      <c r="G34" s="53" t="s">
        <v>68</v>
      </c>
      <c r="H34" s="54">
        <v>3357.04</v>
      </c>
    </row>
    <row r="35" spans="1:8" x14ac:dyDescent="0.3">
      <c r="A35" s="56" t="s">
        <v>392</v>
      </c>
      <c r="B35" s="56" t="s">
        <v>379</v>
      </c>
      <c r="C35" s="53" t="s">
        <v>109</v>
      </c>
      <c r="D35" s="53" t="s">
        <v>253</v>
      </c>
      <c r="E35" s="55">
        <v>45358</v>
      </c>
      <c r="F35" s="53" t="s">
        <v>369</v>
      </c>
      <c r="G35" s="53" t="s">
        <v>68</v>
      </c>
      <c r="H35" s="54">
        <v>8942.5300000000007</v>
      </c>
    </row>
    <row r="36" spans="1:8" x14ac:dyDescent="0.3">
      <c r="A36" s="56" t="s">
        <v>392</v>
      </c>
      <c r="B36" s="56" t="s">
        <v>379</v>
      </c>
      <c r="C36" s="53" t="s">
        <v>110</v>
      </c>
      <c r="D36" s="53" t="s">
        <v>254</v>
      </c>
      <c r="E36" s="55">
        <v>45358</v>
      </c>
      <c r="F36" s="53" t="s">
        <v>369</v>
      </c>
      <c r="G36" s="53" t="s">
        <v>68</v>
      </c>
      <c r="H36" s="54">
        <v>3235</v>
      </c>
    </row>
    <row r="37" spans="1:8" x14ac:dyDescent="0.3">
      <c r="A37" s="56" t="s">
        <v>392</v>
      </c>
      <c r="B37" s="56" t="s">
        <v>379</v>
      </c>
      <c r="C37" s="53" t="s">
        <v>111</v>
      </c>
      <c r="D37" s="53" t="s">
        <v>255</v>
      </c>
      <c r="E37" s="55">
        <v>45358</v>
      </c>
      <c r="F37" s="53" t="s">
        <v>369</v>
      </c>
      <c r="G37" s="53" t="s">
        <v>68</v>
      </c>
      <c r="H37" s="54">
        <v>3235</v>
      </c>
    </row>
    <row r="38" spans="1:8" x14ac:dyDescent="0.3">
      <c r="A38" s="56" t="s">
        <v>392</v>
      </c>
      <c r="B38" s="56" t="s">
        <v>379</v>
      </c>
      <c r="C38" s="53" t="s">
        <v>112</v>
      </c>
      <c r="D38" s="53" t="s">
        <v>256</v>
      </c>
      <c r="E38" s="55">
        <v>45358</v>
      </c>
      <c r="F38" s="53" t="s">
        <v>369</v>
      </c>
      <c r="G38" s="53" t="s">
        <v>68</v>
      </c>
      <c r="H38" s="54">
        <v>3235</v>
      </c>
    </row>
    <row r="39" spans="1:8" x14ac:dyDescent="0.3">
      <c r="A39" s="56" t="s">
        <v>390</v>
      </c>
      <c r="B39" s="56" t="s">
        <v>379</v>
      </c>
      <c r="C39" s="53" t="s">
        <v>113</v>
      </c>
      <c r="D39" s="53" t="s">
        <v>236</v>
      </c>
      <c r="E39" s="55">
        <v>45358</v>
      </c>
      <c r="F39" s="53" t="s">
        <v>369</v>
      </c>
      <c r="G39" s="53" t="s">
        <v>68</v>
      </c>
      <c r="H39" s="54">
        <v>24730.799999999999</v>
      </c>
    </row>
    <row r="40" spans="1:8" x14ac:dyDescent="0.3">
      <c r="A40" s="56" t="s">
        <v>392</v>
      </c>
      <c r="B40" s="56" t="s">
        <v>379</v>
      </c>
      <c r="C40" s="53" t="s">
        <v>114</v>
      </c>
      <c r="D40" s="53" t="s">
        <v>257</v>
      </c>
      <c r="E40" s="55">
        <v>45358</v>
      </c>
      <c r="F40" s="53" t="s">
        <v>369</v>
      </c>
      <c r="G40" s="53" t="s">
        <v>68</v>
      </c>
      <c r="H40" s="54">
        <v>3235</v>
      </c>
    </row>
    <row r="41" spans="1:8" x14ac:dyDescent="0.3">
      <c r="A41" s="56" t="s">
        <v>390</v>
      </c>
      <c r="B41" s="56" t="s">
        <v>379</v>
      </c>
      <c r="C41" s="53" t="s">
        <v>115</v>
      </c>
      <c r="D41" s="53" t="s">
        <v>258</v>
      </c>
      <c r="E41" s="55">
        <v>45358</v>
      </c>
      <c r="F41" s="53" t="s">
        <v>369</v>
      </c>
      <c r="G41" s="53" t="s">
        <v>68</v>
      </c>
      <c r="H41" s="54">
        <v>1705</v>
      </c>
    </row>
    <row r="42" spans="1:8" x14ac:dyDescent="0.3">
      <c r="A42" s="56" t="s">
        <v>392</v>
      </c>
      <c r="B42" s="56" t="s">
        <v>379</v>
      </c>
      <c r="C42" s="53" t="s">
        <v>116</v>
      </c>
      <c r="D42" s="53" t="s">
        <v>259</v>
      </c>
      <c r="E42" s="55">
        <v>45358</v>
      </c>
      <c r="F42" s="53" t="s">
        <v>369</v>
      </c>
      <c r="G42" s="53" t="s">
        <v>68</v>
      </c>
      <c r="H42" s="54">
        <v>3235</v>
      </c>
    </row>
    <row r="43" spans="1:8" x14ac:dyDescent="0.3">
      <c r="A43" s="56" t="s">
        <v>392</v>
      </c>
      <c r="B43" s="56" t="s">
        <v>379</v>
      </c>
      <c r="C43" s="53" t="s">
        <v>117</v>
      </c>
      <c r="D43" s="53" t="s">
        <v>260</v>
      </c>
      <c r="E43" s="55">
        <v>45358</v>
      </c>
      <c r="F43" s="53" t="s">
        <v>369</v>
      </c>
      <c r="G43" s="53" t="s">
        <v>68</v>
      </c>
      <c r="H43" s="54">
        <v>4964.43</v>
      </c>
    </row>
    <row r="44" spans="1:8" x14ac:dyDescent="0.3">
      <c r="A44" s="56" t="s">
        <v>392</v>
      </c>
      <c r="B44" s="56" t="s">
        <v>379</v>
      </c>
      <c r="C44" s="53" t="s">
        <v>118</v>
      </c>
      <c r="D44" s="53" t="s">
        <v>261</v>
      </c>
      <c r="E44" s="55">
        <v>45358</v>
      </c>
      <c r="F44" s="53" t="s">
        <v>369</v>
      </c>
      <c r="G44" s="53" t="s">
        <v>68</v>
      </c>
      <c r="H44" s="54">
        <v>3235</v>
      </c>
    </row>
    <row r="45" spans="1:8" x14ac:dyDescent="0.3">
      <c r="A45" s="56" t="s">
        <v>392</v>
      </c>
      <c r="B45" s="56" t="s">
        <v>379</v>
      </c>
      <c r="C45" s="53" t="s">
        <v>119</v>
      </c>
      <c r="D45" s="53" t="s">
        <v>262</v>
      </c>
      <c r="E45" s="55">
        <v>45358</v>
      </c>
      <c r="F45" s="53" t="s">
        <v>369</v>
      </c>
      <c r="G45" s="53" t="s">
        <v>68</v>
      </c>
      <c r="H45" s="54">
        <v>6470</v>
      </c>
    </row>
    <row r="46" spans="1:8" x14ac:dyDescent="0.3">
      <c r="A46" s="56" t="s">
        <v>392</v>
      </c>
      <c r="B46" s="56" t="s">
        <v>379</v>
      </c>
      <c r="C46" s="53" t="s">
        <v>120</v>
      </c>
      <c r="D46" s="53" t="s">
        <v>263</v>
      </c>
      <c r="E46" s="55">
        <v>45358</v>
      </c>
      <c r="F46" s="53" t="s">
        <v>369</v>
      </c>
      <c r="G46" s="53" t="s">
        <v>68</v>
      </c>
      <c r="H46" s="54">
        <v>3235</v>
      </c>
    </row>
    <row r="47" spans="1:8" x14ac:dyDescent="0.3">
      <c r="A47" s="56" t="s">
        <v>392</v>
      </c>
      <c r="B47" s="56" t="s">
        <v>379</v>
      </c>
      <c r="C47" s="53" t="s">
        <v>121</v>
      </c>
      <c r="D47" s="53" t="s">
        <v>264</v>
      </c>
      <c r="E47" s="55">
        <v>45358</v>
      </c>
      <c r="F47" s="53" t="s">
        <v>369</v>
      </c>
      <c r="G47" s="53" t="s">
        <v>68</v>
      </c>
      <c r="H47" s="54">
        <v>3291.34</v>
      </c>
    </row>
    <row r="48" spans="1:8" x14ac:dyDescent="0.3">
      <c r="A48" s="56" t="s">
        <v>392</v>
      </c>
      <c r="B48" s="56" t="s">
        <v>379</v>
      </c>
      <c r="C48" s="53" t="s">
        <v>122</v>
      </c>
      <c r="D48" s="53" t="s">
        <v>265</v>
      </c>
      <c r="E48" s="55">
        <v>45358</v>
      </c>
      <c r="F48" s="53" t="s">
        <v>369</v>
      </c>
      <c r="G48" s="53" t="s">
        <v>68</v>
      </c>
      <c r="H48" s="54">
        <v>51846.38</v>
      </c>
    </row>
    <row r="49" spans="1:8" x14ac:dyDescent="0.3">
      <c r="A49" s="56" t="s">
        <v>392</v>
      </c>
      <c r="B49" s="56" t="s">
        <v>379</v>
      </c>
      <c r="C49" s="53" t="s">
        <v>123</v>
      </c>
      <c r="D49" s="53" t="s">
        <v>266</v>
      </c>
      <c r="E49" s="55">
        <v>45358</v>
      </c>
      <c r="F49" s="53" t="s">
        <v>369</v>
      </c>
      <c r="G49" s="53" t="s">
        <v>68</v>
      </c>
      <c r="H49" s="54">
        <v>3235</v>
      </c>
    </row>
    <row r="50" spans="1:8" x14ac:dyDescent="0.3">
      <c r="A50" s="56" t="s">
        <v>390</v>
      </c>
      <c r="B50" s="56" t="s">
        <v>379</v>
      </c>
      <c r="C50" s="53" t="s">
        <v>124</v>
      </c>
      <c r="D50" s="53" t="s">
        <v>267</v>
      </c>
      <c r="E50" s="55">
        <v>45358</v>
      </c>
      <c r="F50" s="53" t="s">
        <v>369</v>
      </c>
      <c r="G50" s="53" t="s">
        <v>68</v>
      </c>
      <c r="H50" s="54">
        <v>46183.5</v>
      </c>
    </row>
    <row r="51" spans="1:8" x14ac:dyDescent="0.3">
      <c r="A51" s="56" t="s">
        <v>390</v>
      </c>
      <c r="B51" s="56" t="s">
        <v>379</v>
      </c>
      <c r="C51" s="53" t="s">
        <v>124</v>
      </c>
      <c r="D51" s="53" t="s">
        <v>267</v>
      </c>
      <c r="E51" s="55">
        <v>45358</v>
      </c>
      <c r="F51" s="53" t="s">
        <v>369</v>
      </c>
      <c r="G51" s="53" t="s">
        <v>68</v>
      </c>
      <c r="H51" s="54">
        <v>2325</v>
      </c>
    </row>
    <row r="52" spans="1:8" x14ac:dyDescent="0.3">
      <c r="A52" s="56" t="s">
        <v>392</v>
      </c>
      <c r="B52" s="56" t="s">
        <v>379</v>
      </c>
      <c r="C52" s="53" t="s">
        <v>125</v>
      </c>
      <c r="D52" s="53" t="s">
        <v>268</v>
      </c>
      <c r="E52" s="55">
        <v>45358</v>
      </c>
      <c r="F52" s="53" t="s">
        <v>369</v>
      </c>
      <c r="G52" s="53" t="s">
        <v>68</v>
      </c>
      <c r="H52" s="54">
        <v>4219.43</v>
      </c>
    </row>
    <row r="53" spans="1:8" x14ac:dyDescent="0.3">
      <c r="A53" s="56" t="s">
        <v>392</v>
      </c>
      <c r="B53" s="56" t="s">
        <v>379</v>
      </c>
      <c r="C53" s="53" t="s">
        <v>126</v>
      </c>
      <c r="D53" s="53" t="s">
        <v>269</v>
      </c>
      <c r="E53" s="55">
        <v>45358</v>
      </c>
      <c r="F53" s="53" t="s">
        <v>369</v>
      </c>
      <c r="G53" s="53" t="s">
        <v>68</v>
      </c>
      <c r="H53" s="54">
        <v>6470</v>
      </c>
    </row>
    <row r="54" spans="1:8" x14ac:dyDescent="0.3">
      <c r="A54" s="56" t="s">
        <v>390</v>
      </c>
      <c r="B54" s="56" t="s">
        <v>379</v>
      </c>
      <c r="C54" s="53" t="s">
        <v>127</v>
      </c>
      <c r="D54" s="53" t="s">
        <v>270</v>
      </c>
      <c r="E54" s="55">
        <v>45358</v>
      </c>
      <c r="F54" s="53" t="s">
        <v>369</v>
      </c>
      <c r="G54" s="53" t="s">
        <v>68</v>
      </c>
      <c r="H54" s="54">
        <v>7293</v>
      </c>
    </row>
    <row r="55" spans="1:8" x14ac:dyDescent="0.3">
      <c r="A55" s="56" t="s">
        <v>392</v>
      </c>
      <c r="B55" s="56" t="s">
        <v>379</v>
      </c>
      <c r="C55" s="53" t="s">
        <v>128</v>
      </c>
      <c r="D55" s="53" t="s">
        <v>271</v>
      </c>
      <c r="E55" s="55">
        <v>45358</v>
      </c>
      <c r="F55" s="53" t="s">
        <v>369</v>
      </c>
      <c r="G55" s="53" t="s">
        <v>68</v>
      </c>
      <c r="H55" s="54">
        <v>8070</v>
      </c>
    </row>
    <row r="56" spans="1:8" x14ac:dyDescent="0.3">
      <c r="A56" s="56" t="s">
        <v>390</v>
      </c>
      <c r="B56" s="56" t="s">
        <v>379</v>
      </c>
      <c r="C56" s="53" t="s">
        <v>129</v>
      </c>
      <c r="D56" s="53" t="s">
        <v>272</v>
      </c>
      <c r="E56" s="55">
        <v>45358</v>
      </c>
      <c r="F56" s="53" t="s">
        <v>369</v>
      </c>
      <c r="G56" s="53" t="s">
        <v>68</v>
      </c>
      <c r="H56" s="54">
        <v>72272.600000000006</v>
      </c>
    </row>
    <row r="57" spans="1:8" x14ac:dyDescent="0.3">
      <c r="A57" s="56" t="s">
        <v>390</v>
      </c>
      <c r="B57" s="56" t="s">
        <v>379</v>
      </c>
      <c r="C57" s="53" t="s">
        <v>129</v>
      </c>
      <c r="D57" s="53" t="s">
        <v>272</v>
      </c>
      <c r="E57" s="55">
        <v>45358</v>
      </c>
      <c r="F57" s="53" t="s">
        <v>369</v>
      </c>
      <c r="G57" s="53" t="s">
        <v>68</v>
      </c>
      <c r="H57" s="54">
        <v>25396.06</v>
      </c>
    </row>
    <row r="58" spans="1:8" x14ac:dyDescent="0.3">
      <c r="A58" s="56" t="s">
        <v>390</v>
      </c>
      <c r="B58" s="56" t="s">
        <v>379</v>
      </c>
      <c r="C58" s="53" t="s">
        <v>130</v>
      </c>
      <c r="D58" s="53" t="s">
        <v>273</v>
      </c>
      <c r="E58" s="55">
        <v>45358</v>
      </c>
      <c r="F58" s="53" t="s">
        <v>369</v>
      </c>
      <c r="G58" s="53" t="s">
        <v>68</v>
      </c>
      <c r="H58" s="54">
        <v>2098.25</v>
      </c>
    </row>
    <row r="59" spans="1:8" x14ac:dyDescent="0.3">
      <c r="A59" s="56" t="s">
        <v>392</v>
      </c>
      <c r="B59" s="56" t="s">
        <v>379</v>
      </c>
      <c r="C59" s="53" t="s">
        <v>131</v>
      </c>
      <c r="D59" s="53" t="s">
        <v>274</v>
      </c>
      <c r="E59" s="55">
        <v>45358</v>
      </c>
      <c r="F59" s="53" t="s">
        <v>369</v>
      </c>
      <c r="G59" s="53" t="s">
        <v>68</v>
      </c>
      <c r="H59" s="54">
        <v>3235</v>
      </c>
    </row>
    <row r="60" spans="1:8" x14ac:dyDescent="0.3">
      <c r="A60" s="56" t="s">
        <v>390</v>
      </c>
      <c r="B60" s="56" t="s">
        <v>379</v>
      </c>
      <c r="C60" s="53" t="s">
        <v>132</v>
      </c>
      <c r="D60" s="53" t="s">
        <v>275</v>
      </c>
      <c r="E60" s="55">
        <v>45358</v>
      </c>
      <c r="F60" s="53" t="s">
        <v>369</v>
      </c>
      <c r="G60" s="53" t="s">
        <v>68</v>
      </c>
      <c r="H60" s="54">
        <v>37087.75</v>
      </c>
    </row>
    <row r="61" spans="1:8" x14ac:dyDescent="0.3">
      <c r="A61" s="56" t="s">
        <v>390</v>
      </c>
      <c r="B61" s="56" t="s">
        <v>379</v>
      </c>
      <c r="C61" s="53" t="s">
        <v>133</v>
      </c>
      <c r="D61" s="53" t="s">
        <v>276</v>
      </c>
      <c r="E61" s="55">
        <v>45358</v>
      </c>
      <c r="F61" s="53" t="s">
        <v>371</v>
      </c>
      <c r="G61" s="53" t="s">
        <v>365</v>
      </c>
      <c r="H61" s="54">
        <v>68165.36</v>
      </c>
    </row>
    <row r="62" spans="1:8" x14ac:dyDescent="0.3">
      <c r="A62" s="56" t="s">
        <v>392</v>
      </c>
      <c r="B62" s="56" t="s">
        <v>379</v>
      </c>
      <c r="C62" s="53" t="s">
        <v>134</v>
      </c>
      <c r="D62" s="53" t="s">
        <v>277</v>
      </c>
      <c r="E62" s="55">
        <v>45358</v>
      </c>
      <c r="F62" s="53" t="s">
        <v>369</v>
      </c>
      <c r="G62" s="53" t="s">
        <v>68</v>
      </c>
      <c r="H62" s="54">
        <v>2035</v>
      </c>
    </row>
    <row r="63" spans="1:8" x14ac:dyDescent="0.3">
      <c r="A63" s="56" t="s">
        <v>392</v>
      </c>
      <c r="B63" s="56" t="s">
        <v>379</v>
      </c>
      <c r="C63" s="53" t="s">
        <v>135</v>
      </c>
      <c r="D63" s="53" t="s">
        <v>278</v>
      </c>
      <c r="E63" s="55">
        <v>45358</v>
      </c>
      <c r="F63" s="53" t="s">
        <v>369</v>
      </c>
      <c r="G63" s="53" t="s">
        <v>68</v>
      </c>
      <c r="H63" s="54">
        <v>8663</v>
      </c>
    </row>
    <row r="64" spans="1:8" x14ac:dyDescent="0.3">
      <c r="A64" s="56" t="s">
        <v>392</v>
      </c>
      <c r="B64" s="56" t="s">
        <v>379</v>
      </c>
      <c r="C64" s="53" t="s">
        <v>136</v>
      </c>
      <c r="D64" s="53" t="s">
        <v>279</v>
      </c>
      <c r="E64" s="55">
        <v>45358</v>
      </c>
      <c r="F64" s="53" t="s">
        <v>369</v>
      </c>
      <c r="G64" s="53" t="s">
        <v>68</v>
      </c>
      <c r="H64" s="54">
        <v>6902.29</v>
      </c>
    </row>
    <row r="65" spans="1:8" x14ac:dyDescent="0.3">
      <c r="A65" s="56" t="s">
        <v>392</v>
      </c>
      <c r="B65" s="56" t="s">
        <v>379</v>
      </c>
      <c r="C65" s="53" t="s">
        <v>137</v>
      </c>
      <c r="D65" s="53" t="s">
        <v>280</v>
      </c>
      <c r="E65" s="55">
        <v>45358</v>
      </c>
      <c r="F65" s="53" t="s">
        <v>369</v>
      </c>
      <c r="G65" s="53" t="s">
        <v>68</v>
      </c>
      <c r="H65" s="54">
        <v>3235</v>
      </c>
    </row>
    <row r="66" spans="1:8" x14ac:dyDescent="0.3">
      <c r="A66" s="56" t="s">
        <v>392</v>
      </c>
      <c r="B66" s="56" t="s">
        <v>379</v>
      </c>
      <c r="C66" s="53" t="s">
        <v>138</v>
      </c>
      <c r="D66" s="53" t="s">
        <v>281</v>
      </c>
      <c r="E66" s="55">
        <v>45358</v>
      </c>
      <c r="F66" s="53" t="s">
        <v>369</v>
      </c>
      <c r="G66" s="53" t="s">
        <v>68</v>
      </c>
      <c r="H66" s="54">
        <v>3235</v>
      </c>
    </row>
    <row r="67" spans="1:8" x14ac:dyDescent="0.3">
      <c r="A67" s="56" t="s">
        <v>390</v>
      </c>
      <c r="B67" s="56" t="s">
        <v>379</v>
      </c>
      <c r="C67" s="53" t="s">
        <v>139</v>
      </c>
      <c r="D67" s="53" t="s">
        <v>282</v>
      </c>
      <c r="E67" s="55">
        <v>45358</v>
      </c>
      <c r="F67" s="53" t="s">
        <v>369</v>
      </c>
      <c r="G67" s="53" t="s">
        <v>68</v>
      </c>
      <c r="H67" s="54">
        <v>90750</v>
      </c>
    </row>
    <row r="68" spans="1:8" x14ac:dyDescent="0.3">
      <c r="A68" s="56" t="s">
        <v>390</v>
      </c>
      <c r="B68" s="56" t="s">
        <v>379</v>
      </c>
      <c r="C68" s="53" t="s">
        <v>140</v>
      </c>
      <c r="D68" s="53" t="s">
        <v>283</v>
      </c>
      <c r="E68" s="55">
        <v>45358</v>
      </c>
      <c r="F68" s="53" t="s">
        <v>369</v>
      </c>
      <c r="G68" s="53" t="s">
        <v>68</v>
      </c>
      <c r="H68" s="54">
        <v>103619.45</v>
      </c>
    </row>
    <row r="69" spans="1:8" x14ac:dyDescent="0.3">
      <c r="A69" s="56" t="s">
        <v>390</v>
      </c>
      <c r="B69" s="56" t="s">
        <v>379</v>
      </c>
      <c r="C69" s="53" t="s">
        <v>140</v>
      </c>
      <c r="D69" s="53" t="s">
        <v>283</v>
      </c>
      <c r="E69" s="55">
        <v>45358</v>
      </c>
      <c r="F69" s="53" t="s">
        <v>369</v>
      </c>
      <c r="G69" s="53" t="s">
        <v>68</v>
      </c>
      <c r="H69" s="54">
        <v>2338.21</v>
      </c>
    </row>
    <row r="70" spans="1:8" x14ac:dyDescent="0.3">
      <c r="A70" s="56" t="s">
        <v>392</v>
      </c>
      <c r="B70" s="56" t="s">
        <v>379</v>
      </c>
      <c r="C70" s="53" t="s">
        <v>141</v>
      </c>
      <c r="D70" s="53" t="s">
        <v>284</v>
      </c>
      <c r="E70" s="55">
        <v>45358</v>
      </c>
      <c r="F70" s="53" t="s">
        <v>369</v>
      </c>
      <c r="G70" s="53" t="s">
        <v>68</v>
      </c>
      <c r="H70" s="54">
        <v>3235</v>
      </c>
    </row>
    <row r="71" spans="1:8" x14ac:dyDescent="0.3">
      <c r="A71" s="56" t="s">
        <v>392</v>
      </c>
      <c r="B71" s="56" t="s">
        <v>379</v>
      </c>
      <c r="C71" s="53" t="s">
        <v>142</v>
      </c>
      <c r="D71" s="53" t="s">
        <v>285</v>
      </c>
      <c r="E71" s="55">
        <v>45358</v>
      </c>
      <c r="F71" s="53" t="s">
        <v>369</v>
      </c>
      <c r="G71" s="53" t="s">
        <v>68</v>
      </c>
      <c r="H71" s="54">
        <v>33249.160000000003</v>
      </c>
    </row>
    <row r="72" spans="1:8" x14ac:dyDescent="0.3">
      <c r="A72" s="56" t="s">
        <v>390</v>
      </c>
      <c r="B72" s="56" t="s">
        <v>379</v>
      </c>
      <c r="C72" s="53" t="s">
        <v>143</v>
      </c>
      <c r="D72" s="53" t="s">
        <v>286</v>
      </c>
      <c r="E72" s="55">
        <v>45358</v>
      </c>
      <c r="F72" s="53" t="s">
        <v>369</v>
      </c>
      <c r="G72" s="53" t="s">
        <v>68</v>
      </c>
      <c r="H72" s="54">
        <v>1652</v>
      </c>
    </row>
    <row r="73" spans="1:8" x14ac:dyDescent="0.3">
      <c r="A73" s="56" t="s">
        <v>392</v>
      </c>
      <c r="B73" s="56" t="s">
        <v>379</v>
      </c>
      <c r="C73" s="53" t="s">
        <v>144</v>
      </c>
      <c r="D73" s="53" t="s">
        <v>287</v>
      </c>
      <c r="E73" s="55">
        <v>45358</v>
      </c>
      <c r="F73" s="53" t="s">
        <v>369</v>
      </c>
      <c r="G73" s="53" t="s">
        <v>68</v>
      </c>
      <c r="H73" s="54">
        <v>3235</v>
      </c>
    </row>
    <row r="74" spans="1:8" x14ac:dyDescent="0.3">
      <c r="A74" s="56" t="s">
        <v>392</v>
      </c>
      <c r="B74" s="56" t="s">
        <v>379</v>
      </c>
      <c r="C74" s="53" t="s">
        <v>145</v>
      </c>
      <c r="D74" s="53" t="s">
        <v>288</v>
      </c>
      <c r="E74" s="55">
        <v>45358</v>
      </c>
      <c r="F74" s="53" t="s">
        <v>369</v>
      </c>
      <c r="G74" s="53" t="s">
        <v>68</v>
      </c>
      <c r="H74" s="54">
        <v>12940</v>
      </c>
    </row>
    <row r="75" spans="1:8" x14ac:dyDescent="0.3">
      <c r="A75" s="56" t="s">
        <v>390</v>
      </c>
      <c r="B75" s="56" t="s">
        <v>379</v>
      </c>
      <c r="C75" s="53" t="s">
        <v>146</v>
      </c>
      <c r="D75" s="53" t="s">
        <v>289</v>
      </c>
      <c r="E75" s="55">
        <v>45358</v>
      </c>
      <c r="F75" s="53" t="s">
        <v>369</v>
      </c>
      <c r="G75" s="53" t="s">
        <v>68</v>
      </c>
      <c r="H75" s="54">
        <v>32495.94</v>
      </c>
    </row>
    <row r="76" spans="1:8" x14ac:dyDescent="0.3">
      <c r="A76" s="56" t="s">
        <v>390</v>
      </c>
      <c r="B76" s="56" t="s">
        <v>379</v>
      </c>
      <c r="C76" s="53" t="s">
        <v>147</v>
      </c>
      <c r="D76" s="53" t="s">
        <v>290</v>
      </c>
      <c r="E76" s="55">
        <v>45358</v>
      </c>
      <c r="F76" s="53" t="s">
        <v>369</v>
      </c>
      <c r="G76" s="53" t="s">
        <v>68</v>
      </c>
      <c r="H76" s="54">
        <v>48357</v>
      </c>
    </row>
    <row r="77" spans="1:8" x14ac:dyDescent="0.3">
      <c r="A77" s="56" t="s">
        <v>390</v>
      </c>
      <c r="B77" s="56" t="s">
        <v>379</v>
      </c>
      <c r="C77" s="53" t="s">
        <v>148</v>
      </c>
      <c r="D77" s="53" t="s">
        <v>291</v>
      </c>
      <c r="E77" s="55">
        <v>45358</v>
      </c>
      <c r="F77" s="53" t="s">
        <v>369</v>
      </c>
      <c r="G77" s="53" t="s">
        <v>68</v>
      </c>
      <c r="H77" s="54">
        <v>10301.709999999999</v>
      </c>
    </row>
    <row r="78" spans="1:8" x14ac:dyDescent="0.3">
      <c r="A78" s="56" t="s">
        <v>390</v>
      </c>
      <c r="B78" s="56" t="s">
        <v>379</v>
      </c>
      <c r="C78" s="53" t="s">
        <v>149</v>
      </c>
      <c r="D78" s="53" t="s">
        <v>292</v>
      </c>
      <c r="E78" s="55">
        <v>45358</v>
      </c>
      <c r="F78" s="53" t="s">
        <v>369</v>
      </c>
      <c r="G78" s="53" t="s">
        <v>68</v>
      </c>
      <c r="H78" s="54">
        <v>8573.98</v>
      </c>
    </row>
    <row r="79" spans="1:8" x14ac:dyDescent="0.3">
      <c r="A79" s="56" t="s">
        <v>392</v>
      </c>
      <c r="B79" s="56" t="s">
        <v>379</v>
      </c>
      <c r="C79" s="53" t="s">
        <v>150</v>
      </c>
      <c r="D79" s="53" t="s">
        <v>293</v>
      </c>
      <c r="E79" s="55">
        <v>45359</v>
      </c>
      <c r="F79" s="53" t="s">
        <v>369</v>
      </c>
      <c r="G79" s="53" t="s">
        <v>68</v>
      </c>
      <c r="H79" s="54">
        <v>18152.560000000001</v>
      </c>
    </row>
    <row r="80" spans="1:8" x14ac:dyDescent="0.3">
      <c r="A80" s="56" t="s">
        <v>392</v>
      </c>
      <c r="B80" s="56" t="s">
        <v>379</v>
      </c>
      <c r="C80" s="53" t="s">
        <v>151</v>
      </c>
      <c r="D80" s="53" t="s">
        <v>294</v>
      </c>
      <c r="E80" s="55">
        <v>45362</v>
      </c>
      <c r="F80" s="53" t="s">
        <v>368</v>
      </c>
      <c r="G80" s="53" t="s">
        <v>588</v>
      </c>
      <c r="H80" s="54">
        <v>3427</v>
      </c>
    </row>
    <row r="81" spans="1:8" x14ac:dyDescent="0.3">
      <c r="A81" s="56" t="s">
        <v>392</v>
      </c>
      <c r="B81" s="56" t="s">
        <v>379</v>
      </c>
      <c r="C81" s="53" t="s">
        <v>152</v>
      </c>
      <c r="D81" s="53" t="s">
        <v>295</v>
      </c>
      <c r="E81" s="55">
        <v>45362</v>
      </c>
      <c r="F81" s="53" t="s">
        <v>368</v>
      </c>
      <c r="G81" s="53" t="s">
        <v>588</v>
      </c>
      <c r="H81" s="54">
        <v>3424</v>
      </c>
    </row>
    <row r="82" spans="1:8" x14ac:dyDescent="0.3">
      <c r="A82" s="56" t="s">
        <v>392</v>
      </c>
      <c r="B82" s="56" t="s">
        <v>379</v>
      </c>
      <c r="C82" s="53" t="s">
        <v>153</v>
      </c>
      <c r="D82" s="53" t="s">
        <v>296</v>
      </c>
      <c r="E82" s="55">
        <v>45362</v>
      </c>
      <c r="F82" s="53" t="s">
        <v>372</v>
      </c>
      <c r="G82" s="53" t="s">
        <v>10</v>
      </c>
      <c r="H82" s="54">
        <v>6367.27</v>
      </c>
    </row>
    <row r="83" spans="1:8" x14ac:dyDescent="0.3">
      <c r="A83" s="56" t="s">
        <v>392</v>
      </c>
      <c r="B83" s="56" t="s">
        <v>379</v>
      </c>
      <c r="C83" s="53" t="s">
        <v>154</v>
      </c>
      <c r="D83" s="53" t="s">
        <v>297</v>
      </c>
      <c r="E83" s="55">
        <v>45362</v>
      </c>
      <c r="F83" s="53" t="s">
        <v>370</v>
      </c>
      <c r="G83" s="53" t="s">
        <v>63</v>
      </c>
      <c r="H83" s="54">
        <v>4150</v>
      </c>
    </row>
    <row r="84" spans="1:8" x14ac:dyDescent="0.3">
      <c r="A84" s="56" t="s">
        <v>392</v>
      </c>
      <c r="B84" s="56" t="s">
        <v>379</v>
      </c>
      <c r="C84" s="53" t="s">
        <v>155</v>
      </c>
      <c r="D84" s="53" t="s">
        <v>298</v>
      </c>
      <c r="E84" s="55">
        <v>45363</v>
      </c>
      <c r="F84" s="53" t="s">
        <v>370</v>
      </c>
      <c r="G84" s="53" t="s">
        <v>63</v>
      </c>
      <c r="H84" s="54">
        <v>8889.64</v>
      </c>
    </row>
    <row r="85" spans="1:8" x14ac:dyDescent="0.3">
      <c r="A85" s="56" t="s">
        <v>392</v>
      </c>
      <c r="B85" s="56" t="s">
        <v>379</v>
      </c>
      <c r="C85" s="53" t="s">
        <v>156</v>
      </c>
      <c r="D85" s="53" t="s">
        <v>299</v>
      </c>
      <c r="E85" s="55">
        <v>45363</v>
      </c>
      <c r="F85" s="53" t="s">
        <v>370</v>
      </c>
      <c r="G85" s="53" t="s">
        <v>63</v>
      </c>
      <c r="H85" s="54">
        <v>15511.3</v>
      </c>
    </row>
    <row r="86" spans="1:8" x14ac:dyDescent="0.3">
      <c r="A86" s="56" t="s">
        <v>392</v>
      </c>
      <c r="B86" s="56" t="s">
        <v>379</v>
      </c>
      <c r="C86" s="53" t="s">
        <v>157</v>
      </c>
      <c r="D86" s="53" t="s">
        <v>300</v>
      </c>
      <c r="E86" s="55">
        <v>45363</v>
      </c>
      <c r="F86" s="53" t="s">
        <v>368</v>
      </c>
      <c r="G86" s="53" t="s">
        <v>588</v>
      </c>
      <c r="H86" s="54">
        <v>3424</v>
      </c>
    </row>
    <row r="87" spans="1:8" x14ac:dyDescent="0.3">
      <c r="A87" s="56" t="s">
        <v>392</v>
      </c>
      <c r="B87" s="56" t="s">
        <v>379</v>
      </c>
      <c r="C87" s="53" t="s">
        <v>158</v>
      </c>
      <c r="D87" s="53" t="s">
        <v>301</v>
      </c>
      <c r="E87" s="55">
        <v>45364</v>
      </c>
      <c r="F87" s="53" t="s">
        <v>368</v>
      </c>
      <c r="G87" s="53" t="s">
        <v>588</v>
      </c>
      <c r="H87" s="54">
        <v>3425.2</v>
      </c>
    </row>
    <row r="88" spans="1:8" x14ac:dyDescent="0.3">
      <c r="A88" s="56" t="s">
        <v>392</v>
      </c>
      <c r="B88" s="56" t="s">
        <v>379</v>
      </c>
      <c r="C88" s="53" t="s">
        <v>159</v>
      </c>
      <c r="D88" s="53" t="s">
        <v>302</v>
      </c>
      <c r="E88" s="55">
        <v>45364</v>
      </c>
      <c r="F88" s="53" t="s">
        <v>370</v>
      </c>
      <c r="G88" s="53" t="s">
        <v>63</v>
      </c>
      <c r="H88" s="54">
        <v>3375.4</v>
      </c>
    </row>
    <row r="89" spans="1:8" x14ac:dyDescent="0.3">
      <c r="A89" s="56" t="s">
        <v>392</v>
      </c>
      <c r="B89" s="56" t="s">
        <v>379</v>
      </c>
      <c r="C89" s="53" t="s">
        <v>160</v>
      </c>
      <c r="D89" s="53" t="s">
        <v>303</v>
      </c>
      <c r="E89" s="55">
        <v>45364</v>
      </c>
      <c r="F89" s="53" t="s">
        <v>368</v>
      </c>
      <c r="G89" s="53" t="s">
        <v>588</v>
      </c>
      <c r="H89" s="54">
        <v>4966</v>
      </c>
    </row>
    <row r="90" spans="1:8" x14ac:dyDescent="0.3">
      <c r="A90" s="56" t="s">
        <v>392</v>
      </c>
      <c r="B90" s="56" t="s">
        <v>379</v>
      </c>
      <c r="C90" s="53" t="s">
        <v>161</v>
      </c>
      <c r="D90" s="53" t="s">
        <v>304</v>
      </c>
      <c r="E90" s="55">
        <v>45366</v>
      </c>
      <c r="F90" s="53" t="s">
        <v>370</v>
      </c>
      <c r="G90" s="53" t="s">
        <v>63</v>
      </c>
      <c r="H90" s="54">
        <v>6574.17</v>
      </c>
    </row>
    <row r="91" spans="1:8" x14ac:dyDescent="0.3">
      <c r="A91" s="56" t="s">
        <v>392</v>
      </c>
      <c r="B91" s="56" t="s">
        <v>379</v>
      </c>
      <c r="C91" s="53" t="s">
        <v>162</v>
      </c>
      <c r="D91" s="53" t="s">
        <v>305</v>
      </c>
      <c r="E91" s="55">
        <v>45366</v>
      </c>
      <c r="F91" s="53" t="s">
        <v>370</v>
      </c>
      <c r="G91" s="53" t="s">
        <v>63</v>
      </c>
      <c r="H91" s="54">
        <v>7362.1</v>
      </c>
    </row>
    <row r="92" spans="1:8" x14ac:dyDescent="0.3">
      <c r="A92" s="56" t="s">
        <v>392</v>
      </c>
      <c r="B92" s="56" t="s">
        <v>379</v>
      </c>
      <c r="C92" s="53" t="s">
        <v>163</v>
      </c>
      <c r="D92" s="53" t="s">
        <v>306</v>
      </c>
      <c r="E92" s="55">
        <v>45366</v>
      </c>
      <c r="F92" s="53" t="s">
        <v>372</v>
      </c>
      <c r="G92" s="53" t="s">
        <v>10</v>
      </c>
      <c r="H92" s="54">
        <v>44838.47</v>
      </c>
    </row>
    <row r="93" spans="1:8" x14ac:dyDescent="0.3">
      <c r="A93" s="56" t="s">
        <v>392</v>
      </c>
      <c r="B93" s="56" t="s">
        <v>379</v>
      </c>
      <c r="C93" s="53" t="s">
        <v>164</v>
      </c>
      <c r="D93" s="53" t="s">
        <v>307</v>
      </c>
      <c r="E93" s="55">
        <v>45366</v>
      </c>
      <c r="F93" s="53" t="s">
        <v>370</v>
      </c>
      <c r="G93" s="53" t="s">
        <v>63</v>
      </c>
      <c r="H93" s="54">
        <v>13529.81</v>
      </c>
    </row>
    <row r="94" spans="1:8" x14ac:dyDescent="0.3">
      <c r="A94" s="56" t="s">
        <v>390</v>
      </c>
      <c r="B94" s="56" t="s">
        <v>379</v>
      </c>
      <c r="C94" s="53" t="s">
        <v>165</v>
      </c>
      <c r="D94" s="53" t="s">
        <v>308</v>
      </c>
      <c r="E94" s="55">
        <v>45366</v>
      </c>
      <c r="F94" s="53" t="s">
        <v>373</v>
      </c>
      <c r="G94" s="53" t="s">
        <v>366</v>
      </c>
      <c r="H94" s="54">
        <v>33101</v>
      </c>
    </row>
    <row r="95" spans="1:8" x14ac:dyDescent="0.3">
      <c r="A95" s="56" t="s">
        <v>392</v>
      </c>
      <c r="B95" s="56" t="s">
        <v>379</v>
      </c>
      <c r="C95" s="53" t="s">
        <v>166</v>
      </c>
      <c r="D95" s="53" t="s">
        <v>309</v>
      </c>
      <c r="E95" s="55">
        <v>45371</v>
      </c>
      <c r="F95" s="53" t="s">
        <v>370</v>
      </c>
      <c r="G95" s="53" t="s">
        <v>63</v>
      </c>
      <c r="H95" s="54">
        <v>7889.94</v>
      </c>
    </row>
    <row r="96" spans="1:8" x14ac:dyDescent="0.3">
      <c r="A96" s="56" t="s">
        <v>390</v>
      </c>
      <c r="B96" s="56" t="s">
        <v>379</v>
      </c>
      <c r="C96" s="53" t="s">
        <v>167</v>
      </c>
      <c r="D96" s="53" t="s">
        <v>310</v>
      </c>
      <c r="E96" s="55">
        <v>45371</v>
      </c>
      <c r="F96" s="53" t="s">
        <v>372</v>
      </c>
      <c r="G96" s="53" t="s">
        <v>10</v>
      </c>
      <c r="H96" s="54">
        <v>67977.52</v>
      </c>
    </row>
    <row r="97" spans="1:8" x14ac:dyDescent="0.3">
      <c r="A97" s="56" t="s">
        <v>392</v>
      </c>
      <c r="B97" s="56" t="s">
        <v>379</v>
      </c>
      <c r="C97" s="53" t="s">
        <v>168</v>
      </c>
      <c r="D97" s="53" t="s">
        <v>311</v>
      </c>
      <c r="E97" s="55">
        <v>45371</v>
      </c>
      <c r="F97" s="53" t="s">
        <v>370</v>
      </c>
      <c r="G97" s="53" t="s">
        <v>63</v>
      </c>
      <c r="H97" s="54">
        <v>660.04</v>
      </c>
    </row>
    <row r="98" spans="1:8" x14ac:dyDescent="0.3">
      <c r="A98" s="56" t="s">
        <v>390</v>
      </c>
      <c r="B98" s="56" t="s">
        <v>379</v>
      </c>
      <c r="C98" s="53" t="s">
        <v>169</v>
      </c>
      <c r="D98" s="53" t="s">
        <v>312</v>
      </c>
      <c r="E98" s="55">
        <v>45371</v>
      </c>
      <c r="F98" s="53" t="s">
        <v>372</v>
      </c>
      <c r="G98" s="53" t="s">
        <v>10</v>
      </c>
      <c r="H98" s="54">
        <v>68006.710000000006</v>
      </c>
    </row>
    <row r="99" spans="1:8" x14ac:dyDescent="0.3">
      <c r="A99" s="56" t="s">
        <v>392</v>
      </c>
      <c r="B99" s="56" t="s">
        <v>379</v>
      </c>
      <c r="C99" s="53" t="s">
        <v>170</v>
      </c>
      <c r="D99" s="53" t="s">
        <v>313</v>
      </c>
      <c r="E99" s="55">
        <v>45371</v>
      </c>
      <c r="F99" s="53" t="s">
        <v>372</v>
      </c>
      <c r="G99" s="53" t="s">
        <v>10</v>
      </c>
      <c r="H99" s="54">
        <v>2300</v>
      </c>
    </row>
    <row r="100" spans="1:8" x14ac:dyDescent="0.3">
      <c r="A100" s="56" t="s">
        <v>392</v>
      </c>
      <c r="B100" s="56" t="s">
        <v>379</v>
      </c>
      <c r="C100" s="53" t="s">
        <v>171</v>
      </c>
      <c r="D100" s="53" t="s">
        <v>314</v>
      </c>
      <c r="E100" s="55">
        <v>45372</v>
      </c>
      <c r="F100" s="53" t="s">
        <v>370</v>
      </c>
      <c r="G100" s="53" t="s">
        <v>63</v>
      </c>
      <c r="H100" s="54">
        <v>7561.54</v>
      </c>
    </row>
    <row r="101" spans="1:8" x14ac:dyDescent="0.3">
      <c r="A101" s="56" t="s">
        <v>392</v>
      </c>
      <c r="B101" s="56" t="s">
        <v>379</v>
      </c>
      <c r="C101" s="53" t="s">
        <v>172</v>
      </c>
      <c r="D101" s="53" t="s">
        <v>315</v>
      </c>
      <c r="E101" s="55">
        <v>45372</v>
      </c>
      <c r="F101" s="53" t="s">
        <v>374</v>
      </c>
      <c r="G101" s="53" t="s">
        <v>17</v>
      </c>
      <c r="H101" s="54">
        <v>3340</v>
      </c>
    </row>
    <row r="102" spans="1:8" x14ac:dyDescent="0.3">
      <c r="A102" s="56" t="s">
        <v>390</v>
      </c>
      <c r="B102" s="56" t="s">
        <v>379</v>
      </c>
      <c r="C102" s="53" t="s">
        <v>173</v>
      </c>
      <c r="D102" s="53" t="s">
        <v>316</v>
      </c>
      <c r="E102" s="55">
        <v>45372</v>
      </c>
      <c r="F102" s="53" t="s">
        <v>375</v>
      </c>
      <c r="G102" s="53" t="s">
        <v>62</v>
      </c>
      <c r="H102" s="54">
        <v>240447.69</v>
      </c>
    </row>
    <row r="103" spans="1:8" x14ac:dyDescent="0.3">
      <c r="A103" s="56" t="s">
        <v>390</v>
      </c>
      <c r="B103" s="56" t="s">
        <v>379</v>
      </c>
      <c r="C103" s="53" t="s">
        <v>174</v>
      </c>
      <c r="D103" s="53" t="s">
        <v>317</v>
      </c>
      <c r="E103" s="55">
        <v>45372</v>
      </c>
      <c r="F103" s="53" t="s">
        <v>372</v>
      </c>
      <c r="G103" s="53" t="s">
        <v>10</v>
      </c>
      <c r="H103" s="54">
        <v>3540</v>
      </c>
    </row>
    <row r="104" spans="1:8" x14ac:dyDescent="0.3">
      <c r="A104" s="56" t="s">
        <v>392</v>
      </c>
      <c r="B104" s="56" t="s">
        <v>379</v>
      </c>
      <c r="C104" s="53" t="s">
        <v>175</v>
      </c>
      <c r="D104" s="53" t="s">
        <v>318</v>
      </c>
      <c r="E104" s="55">
        <v>45373</v>
      </c>
      <c r="F104" s="53" t="s">
        <v>370</v>
      </c>
      <c r="G104" s="53" t="s">
        <v>63</v>
      </c>
      <c r="H104" s="54">
        <v>7324.56</v>
      </c>
    </row>
    <row r="105" spans="1:8" x14ac:dyDescent="0.3">
      <c r="A105" s="56" t="s">
        <v>392</v>
      </c>
      <c r="B105" s="56" t="s">
        <v>379</v>
      </c>
      <c r="C105" s="53" t="s">
        <v>176</v>
      </c>
      <c r="D105" s="53" t="s">
        <v>319</v>
      </c>
      <c r="E105" s="55">
        <v>45373</v>
      </c>
      <c r="F105" s="53" t="s">
        <v>370</v>
      </c>
      <c r="G105" s="53" t="s">
        <v>63</v>
      </c>
      <c r="H105" s="54">
        <v>7324.56</v>
      </c>
    </row>
    <row r="106" spans="1:8" x14ac:dyDescent="0.3">
      <c r="A106" s="56" t="s">
        <v>392</v>
      </c>
      <c r="B106" s="56" t="s">
        <v>379</v>
      </c>
      <c r="C106" s="53" t="s">
        <v>177</v>
      </c>
      <c r="D106" s="53" t="s">
        <v>320</v>
      </c>
      <c r="E106" s="55">
        <v>45373</v>
      </c>
      <c r="F106" s="53" t="s">
        <v>368</v>
      </c>
      <c r="G106" s="53" t="s">
        <v>588</v>
      </c>
      <c r="H106" s="54">
        <v>4960</v>
      </c>
    </row>
    <row r="107" spans="1:8" x14ac:dyDescent="0.3">
      <c r="A107" s="56" t="s">
        <v>390</v>
      </c>
      <c r="B107" s="56" t="s">
        <v>379</v>
      </c>
      <c r="C107" s="53" t="s">
        <v>178</v>
      </c>
      <c r="D107" s="53" t="s">
        <v>321</v>
      </c>
      <c r="E107" s="55">
        <v>45373</v>
      </c>
      <c r="F107" s="53" t="s">
        <v>376</v>
      </c>
      <c r="G107" s="53" t="s">
        <v>14</v>
      </c>
      <c r="H107" s="54">
        <v>38180</v>
      </c>
    </row>
    <row r="108" spans="1:8" x14ac:dyDescent="0.3">
      <c r="A108" s="56" t="s">
        <v>390</v>
      </c>
      <c r="B108" s="56" t="s">
        <v>379</v>
      </c>
      <c r="C108" s="53" t="s">
        <v>179</v>
      </c>
      <c r="D108" s="53" t="s">
        <v>316</v>
      </c>
      <c r="E108" s="55">
        <v>45373</v>
      </c>
      <c r="F108" s="53" t="s">
        <v>375</v>
      </c>
      <c r="G108" s="53" t="s">
        <v>62</v>
      </c>
      <c r="H108" s="54">
        <v>8811.25</v>
      </c>
    </row>
    <row r="109" spans="1:8" x14ac:dyDescent="0.3">
      <c r="A109" s="56" t="s">
        <v>392</v>
      </c>
      <c r="B109" s="56" t="s">
        <v>379</v>
      </c>
      <c r="C109" s="53" t="s">
        <v>180</v>
      </c>
      <c r="D109" s="53" t="s">
        <v>322</v>
      </c>
      <c r="E109" s="55">
        <v>45373</v>
      </c>
      <c r="F109" s="53" t="s">
        <v>370</v>
      </c>
      <c r="G109" s="53" t="s">
        <v>63</v>
      </c>
      <c r="H109" s="54">
        <v>7346.56</v>
      </c>
    </row>
    <row r="110" spans="1:8" x14ac:dyDescent="0.3">
      <c r="A110" s="56" t="s">
        <v>390</v>
      </c>
      <c r="B110" s="56" t="s">
        <v>379</v>
      </c>
      <c r="C110" s="53" t="s">
        <v>181</v>
      </c>
      <c r="D110" s="53" t="s">
        <v>323</v>
      </c>
      <c r="E110" s="55">
        <v>45373</v>
      </c>
      <c r="F110" s="53" t="s">
        <v>376</v>
      </c>
      <c r="G110" s="53" t="s">
        <v>14</v>
      </c>
      <c r="H110" s="54">
        <v>31551</v>
      </c>
    </row>
    <row r="111" spans="1:8" x14ac:dyDescent="0.3">
      <c r="A111" s="56" t="s">
        <v>392</v>
      </c>
      <c r="B111" s="56" t="s">
        <v>379</v>
      </c>
      <c r="C111" s="53" t="s">
        <v>182</v>
      </c>
      <c r="D111" s="53" t="s">
        <v>324</v>
      </c>
      <c r="E111" s="55">
        <v>45373</v>
      </c>
      <c r="F111" s="53" t="s">
        <v>370</v>
      </c>
      <c r="G111" s="53" t="s">
        <v>63</v>
      </c>
      <c r="H111" s="54">
        <v>11018.06</v>
      </c>
    </row>
    <row r="112" spans="1:8" x14ac:dyDescent="0.3">
      <c r="A112" s="56" t="s">
        <v>392</v>
      </c>
      <c r="B112" s="56" t="s">
        <v>379</v>
      </c>
      <c r="C112" s="53" t="s">
        <v>183</v>
      </c>
      <c r="D112" s="53" t="s">
        <v>325</v>
      </c>
      <c r="E112" s="55">
        <v>45373</v>
      </c>
      <c r="F112" s="53" t="s">
        <v>368</v>
      </c>
      <c r="G112" s="53" t="s">
        <v>588</v>
      </c>
      <c r="H112" s="54">
        <v>3425.2</v>
      </c>
    </row>
    <row r="113" spans="1:8" x14ac:dyDescent="0.3">
      <c r="A113" s="56" t="s">
        <v>392</v>
      </c>
      <c r="B113" s="56" t="s">
        <v>379</v>
      </c>
      <c r="C113" s="53" t="s">
        <v>184</v>
      </c>
      <c r="D113" s="53" t="s">
        <v>326</v>
      </c>
      <c r="E113" s="55">
        <v>45376</v>
      </c>
      <c r="F113" s="53" t="s">
        <v>370</v>
      </c>
      <c r="G113" s="53" t="s">
        <v>63</v>
      </c>
      <c r="H113" s="54">
        <v>2474.1799999999998</v>
      </c>
    </row>
    <row r="114" spans="1:8" x14ac:dyDescent="0.3">
      <c r="A114" s="56" t="s">
        <v>392</v>
      </c>
      <c r="B114" s="56" t="s">
        <v>379</v>
      </c>
      <c r="C114" s="53" t="s">
        <v>185</v>
      </c>
      <c r="D114" s="53" t="s">
        <v>327</v>
      </c>
      <c r="E114" s="55">
        <v>45376</v>
      </c>
      <c r="F114" s="53" t="s">
        <v>370</v>
      </c>
      <c r="G114" s="53" t="s">
        <v>63</v>
      </c>
      <c r="H114" s="54">
        <v>7362.66</v>
      </c>
    </row>
    <row r="115" spans="1:8" x14ac:dyDescent="0.3">
      <c r="A115" s="56" t="s">
        <v>392</v>
      </c>
      <c r="B115" s="56" t="s">
        <v>379</v>
      </c>
      <c r="C115" s="53" t="s">
        <v>186</v>
      </c>
      <c r="D115" s="53" t="s">
        <v>328</v>
      </c>
      <c r="E115" s="55">
        <v>45376</v>
      </c>
      <c r="F115" s="53" t="s">
        <v>370</v>
      </c>
      <c r="G115" s="53" t="s">
        <v>63</v>
      </c>
      <c r="H115" s="54">
        <v>7363.6</v>
      </c>
    </row>
    <row r="116" spans="1:8" x14ac:dyDescent="0.3">
      <c r="A116" s="56" t="s">
        <v>392</v>
      </c>
      <c r="B116" s="56" t="s">
        <v>379</v>
      </c>
      <c r="C116" s="53" t="s">
        <v>187</v>
      </c>
      <c r="D116" s="53" t="s">
        <v>329</v>
      </c>
      <c r="E116" s="55">
        <v>45376</v>
      </c>
      <c r="F116" s="53" t="s">
        <v>370</v>
      </c>
      <c r="G116" s="53" t="s">
        <v>63</v>
      </c>
      <c r="H116" s="54">
        <v>21361.759999999998</v>
      </c>
    </row>
    <row r="117" spans="1:8" x14ac:dyDescent="0.3">
      <c r="A117" s="56" t="s">
        <v>392</v>
      </c>
      <c r="B117" s="56" t="s">
        <v>379</v>
      </c>
      <c r="C117" s="53" t="s">
        <v>188</v>
      </c>
      <c r="D117" s="53" t="s">
        <v>330</v>
      </c>
      <c r="E117" s="55">
        <v>45376</v>
      </c>
      <c r="F117" s="53" t="s">
        <v>370</v>
      </c>
      <c r="G117" s="53" t="s">
        <v>63</v>
      </c>
      <c r="H117" s="54">
        <v>7875.74</v>
      </c>
    </row>
    <row r="118" spans="1:8" x14ac:dyDescent="0.3">
      <c r="A118" s="56" t="s">
        <v>392</v>
      </c>
      <c r="B118" s="56" t="s">
        <v>379</v>
      </c>
      <c r="C118" s="53" t="s">
        <v>189</v>
      </c>
      <c r="D118" s="53" t="s">
        <v>331</v>
      </c>
      <c r="E118" s="55">
        <v>45376</v>
      </c>
      <c r="F118" s="53" t="s">
        <v>377</v>
      </c>
      <c r="G118" s="53" t="s">
        <v>367</v>
      </c>
      <c r="H118" s="54">
        <v>4655</v>
      </c>
    </row>
    <row r="119" spans="1:8" x14ac:dyDescent="0.3">
      <c r="A119" s="56" t="s">
        <v>392</v>
      </c>
      <c r="B119" s="56" t="s">
        <v>379</v>
      </c>
      <c r="C119" s="53" t="s">
        <v>190</v>
      </c>
      <c r="D119" s="53" t="s">
        <v>332</v>
      </c>
      <c r="E119" s="55">
        <v>45376</v>
      </c>
      <c r="F119" s="53" t="s">
        <v>370</v>
      </c>
      <c r="G119" s="53" t="s">
        <v>63</v>
      </c>
      <c r="H119" s="54">
        <v>7324.56</v>
      </c>
    </row>
    <row r="120" spans="1:8" x14ac:dyDescent="0.3">
      <c r="A120" s="56" t="s">
        <v>390</v>
      </c>
      <c r="B120" s="56" t="s">
        <v>379</v>
      </c>
      <c r="C120" s="53" t="s">
        <v>191</v>
      </c>
      <c r="D120" s="53" t="s">
        <v>333</v>
      </c>
      <c r="E120" s="55">
        <v>45376</v>
      </c>
      <c r="F120" s="53" t="s">
        <v>375</v>
      </c>
      <c r="G120" s="53" t="s">
        <v>62</v>
      </c>
      <c r="H120" s="54">
        <v>4375</v>
      </c>
    </row>
    <row r="121" spans="1:8" x14ac:dyDescent="0.3">
      <c r="A121" s="56" t="s">
        <v>390</v>
      </c>
      <c r="B121" s="56" t="s">
        <v>379</v>
      </c>
      <c r="C121" s="53" t="s">
        <v>192</v>
      </c>
      <c r="D121" s="53" t="s">
        <v>334</v>
      </c>
      <c r="E121" s="55">
        <v>45377</v>
      </c>
      <c r="F121" s="53" t="s">
        <v>378</v>
      </c>
      <c r="G121" s="53" t="s">
        <v>67</v>
      </c>
      <c r="H121" s="54">
        <v>130940</v>
      </c>
    </row>
    <row r="122" spans="1:8" x14ac:dyDescent="0.3">
      <c r="A122" s="56" t="s">
        <v>392</v>
      </c>
      <c r="B122" s="56" t="s">
        <v>379</v>
      </c>
      <c r="C122" s="53" t="s">
        <v>193</v>
      </c>
      <c r="D122" s="53" t="s">
        <v>335</v>
      </c>
      <c r="E122" s="55">
        <v>45377</v>
      </c>
      <c r="F122" s="53" t="s">
        <v>372</v>
      </c>
      <c r="G122" s="53" t="s">
        <v>10</v>
      </c>
      <c r="H122" s="54">
        <v>31724.560000000001</v>
      </c>
    </row>
    <row r="123" spans="1:8" x14ac:dyDescent="0.3">
      <c r="A123" s="56" t="s">
        <v>392</v>
      </c>
      <c r="B123" s="56" t="s">
        <v>379</v>
      </c>
      <c r="C123" s="53" t="s">
        <v>194</v>
      </c>
      <c r="D123" s="53" t="s">
        <v>336</v>
      </c>
      <c r="E123" s="55">
        <v>45377</v>
      </c>
      <c r="F123" s="53" t="s">
        <v>372</v>
      </c>
      <c r="G123" s="53" t="s">
        <v>10</v>
      </c>
      <c r="H123" s="54">
        <v>41693.67</v>
      </c>
    </row>
    <row r="124" spans="1:8" x14ac:dyDescent="0.3">
      <c r="A124" s="56" t="s">
        <v>390</v>
      </c>
      <c r="B124" s="56" t="s">
        <v>379</v>
      </c>
      <c r="C124" s="53" t="s">
        <v>195</v>
      </c>
      <c r="D124" s="53" t="s">
        <v>337</v>
      </c>
      <c r="E124" s="55">
        <v>45377</v>
      </c>
      <c r="F124" s="53" t="s">
        <v>375</v>
      </c>
      <c r="G124" s="53" t="s">
        <v>62</v>
      </c>
      <c r="H124" s="54">
        <v>157130.91</v>
      </c>
    </row>
    <row r="125" spans="1:8" x14ac:dyDescent="0.3">
      <c r="A125" s="56" t="s">
        <v>390</v>
      </c>
      <c r="B125" s="56" t="s">
        <v>379</v>
      </c>
      <c r="C125" s="53" t="s">
        <v>196</v>
      </c>
      <c r="D125" s="53" t="s">
        <v>338</v>
      </c>
      <c r="E125" s="55">
        <v>45377</v>
      </c>
      <c r="F125" s="53" t="s">
        <v>372</v>
      </c>
      <c r="G125" s="53" t="s">
        <v>10</v>
      </c>
      <c r="H125" s="54">
        <v>68472.59</v>
      </c>
    </row>
    <row r="126" spans="1:8" x14ac:dyDescent="0.3">
      <c r="A126" s="56" t="s">
        <v>392</v>
      </c>
      <c r="B126" s="56" t="s">
        <v>379</v>
      </c>
      <c r="C126" s="53" t="s">
        <v>197</v>
      </c>
      <c r="D126" s="53" t="s">
        <v>339</v>
      </c>
      <c r="E126" s="55">
        <v>45377</v>
      </c>
      <c r="F126" s="53" t="s">
        <v>372</v>
      </c>
      <c r="G126" s="53" t="s">
        <v>10</v>
      </c>
      <c r="H126" s="54">
        <v>50489.7</v>
      </c>
    </row>
    <row r="127" spans="1:8" x14ac:dyDescent="0.3">
      <c r="A127" s="56" t="s">
        <v>390</v>
      </c>
      <c r="B127" s="56" t="s">
        <v>379</v>
      </c>
      <c r="C127" s="53" t="s">
        <v>198</v>
      </c>
      <c r="D127" s="53" t="s">
        <v>340</v>
      </c>
      <c r="E127" s="55">
        <v>45377</v>
      </c>
      <c r="F127" s="53" t="s">
        <v>375</v>
      </c>
      <c r="G127" s="53" t="s">
        <v>62</v>
      </c>
      <c r="H127" s="54">
        <v>232772.3</v>
      </c>
    </row>
    <row r="128" spans="1:8" x14ac:dyDescent="0.3">
      <c r="A128" s="56" t="s">
        <v>390</v>
      </c>
      <c r="B128" s="56" t="s">
        <v>379</v>
      </c>
      <c r="C128" s="53" t="s">
        <v>199</v>
      </c>
      <c r="D128" s="53" t="s">
        <v>341</v>
      </c>
      <c r="E128" s="55">
        <v>45377</v>
      </c>
      <c r="F128" s="53" t="s">
        <v>372</v>
      </c>
      <c r="G128" s="53" t="s">
        <v>10</v>
      </c>
      <c r="H128" s="54">
        <v>11224.96</v>
      </c>
    </row>
    <row r="129" spans="1:8" x14ac:dyDescent="0.3">
      <c r="A129" s="56" t="s">
        <v>390</v>
      </c>
      <c r="B129" s="56" t="s">
        <v>379</v>
      </c>
      <c r="C129" s="53" t="s">
        <v>200</v>
      </c>
      <c r="D129" s="53" t="s">
        <v>342</v>
      </c>
      <c r="E129" s="55">
        <v>45377</v>
      </c>
      <c r="F129" s="53" t="s">
        <v>372</v>
      </c>
      <c r="G129" s="53" t="s">
        <v>10</v>
      </c>
      <c r="H129" s="54">
        <v>98838.399999999994</v>
      </c>
    </row>
    <row r="130" spans="1:8" x14ac:dyDescent="0.3">
      <c r="A130" s="56" t="s">
        <v>392</v>
      </c>
      <c r="B130" s="56" t="s">
        <v>379</v>
      </c>
      <c r="C130" s="53" t="s">
        <v>201</v>
      </c>
      <c r="D130" s="53" t="s">
        <v>343</v>
      </c>
      <c r="E130" s="55">
        <v>45377</v>
      </c>
      <c r="F130" s="53" t="s">
        <v>372</v>
      </c>
      <c r="G130" s="53" t="s">
        <v>10</v>
      </c>
      <c r="H130" s="54">
        <v>39589.160000000003</v>
      </c>
    </row>
    <row r="131" spans="1:8" x14ac:dyDescent="0.3">
      <c r="A131" s="56" t="s">
        <v>392</v>
      </c>
      <c r="B131" s="56" t="s">
        <v>379</v>
      </c>
      <c r="C131" s="53" t="s">
        <v>202</v>
      </c>
      <c r="D131" s="53" t="s">
        <v>344</v>
      </c>
      <c r="E131" s="55">
        <v>45377</v>
      </c>
      <c r="F131" s="53" t="s">
        <v>372</v>
      </c>
      <c r="G131" s="53" t="s">
        <v>10</v>
      </c>
      <c r="H131" s="54">
        <v>7993.8</v>
      </c>
    </row>
    <row r="132" spans="1:8" x14ac:dyDescent="0.3">
      <c r="A132" s="56" t="s">
        <v>390</v>
      </c>
      <c r="B132" s="56" t="s">
        <v>379</v>
      </c>
      <c r="C132" s="53" t="s">
        <v>203</v>
      </c>
      <c r="D132" s="53" t="s">
        <v>345</v>
      </c>
      <c r="E132" s="55">
        <v>45377</v>
      </c>
      <c r="F132" s="53" t="s">
        <v>372</v>
      </c>
      <c r="G132" s="53" t="s">
        <v>10</v>
      </c>
      <c r="H132" s="54">
        <v>2354</v>
      </c>
    </row>
    <row r="133" spans="1:8" x14ac:dyDescent="0.3">
      <c r="A133" s="56" t="s">
        <v>390</v>
      </c>
      <c r="B133" s="56" t="s">
        <v>379</v>
      </c>
      <c r="C133" s="53" t="s">
        <v>204</v>
      </c>
      <c r="D133" s="53" t="s">
        <v>346</v>
      </c>
      <c r="E133" s="55">
        <v>45378</v>
      </c>
      <c r="F133" s="53" t="s">
        <v>375</v>
      </c>
      <c r="G133" s="53" t="s">
        <v>62</v>
      </c>
      <c r="H133" s="54">
        <v>97189.46</v>
      </c>
    </row>
    <row r="134" spans="1:8" x14ac:dyDescent="0.3">
      <c r="A134" s="56" t="s">
        <v>392</v>
      </c>
      <c r="B134" s="56" t="s">
        <v>379</v>
      </c>
      <c r="C134" s="53" t="s">
        <v>205</v>
      </c>
      <c r="D134" s="53" t="s">
        <v>347</v>
      </c>
      <c r="E134" s="55">
        <v>45378</v>
      </c>
      <c r="F134" s="53" t="s">
        <v>370</v>
      </c>
      <c r="G134" s="53" t="s">
        <v>63</v>
      </c>
      <c r="H134" s="54">
        <v>10728.7</v>
      </c>
    </row>
    <row r="135" spans="1:8" x14ac:dyDescent="0.3">
      <c r="A135" s="56" t="s">
        <v>392</v>
      </c>
      <c r="B135" s="56" t="s">
        <v>379</v>
      </c>
      <c r="C135" s="53" t="s">
        <v>206</v>
      </c>
      <c r="D135" s="53" t="s">
        <v>348</v>
      </c>
      <c r="E135" s="55">
        <v>45378</v>
      </c>
      <c r="F135" s="53" t="s">
        <v>370</v>
      </c>
      <c r="G135" s="53" t="s">
        <v>63</v>
      </c>
      <c r="H135" s="54">
        <v>7292</v>
      </c>
    </row>
    <row r="136" spans="1:8" x14ac:dyDescent="0.3">
      <c r="A136" s="56" t="s">
        <v>392</v>
      </c>
      <c r="B136" s="56" t="s">
        <v>379</v>
      </c>
      <c r="C136" s="53" t="s">
        <v>207</v>
      </c>
      <c r="D136" s="53" t="s">
        <v>349</v>
      </c>
      <c r="E136" s="55">
        <v>45378</v>
      </c>
      <c r="F136" s="53" t="s">
        <v>370</v>
      </c>
      <c r="G136" s="53" t="s">
        <v>63</v>
      </c>
      <c r="H136" s="54">
        <v>2422.9499999999998</v>
      </c>
    </row>
    <row r="137" spans="1:8" x14ac:dyDescent="0.3">
      <c r="A137" s="56" t="s">
        <v>392</v>
      </c>
      <c r="B137" s="56" t="s">
        <v>379</v>
      </c>
      <c r="C137" s="53" t="s">
        <v>208</v>
      </c>
      <c r="D137" s="53" t="s">
        <v>350</v>
      </c>
      <c r="E137" s="55">
        <v>45378</v>
      </c>
      <c r="F137" s="53" t="s">
        <v>368</v>
      </c>
      <c r="G137" s="53" t="s">
        <v>588</v>
      </c>
      <c r="H137" s="54">
        <v>3412.66</v>
      </c>
    </row>
    <row r="138" spans="1:8" x14ac:dyDescent="0.3">
      <c r="A138" s="56" t="s">
        <v>392</v>
      </c>
      <c r="B138" s="56" t="s">
        <v>379</v>
      </c>
      <c r="C138" s="53" t="s">
        <v>209</v>
      </c>
      <c r="D138" s="53" t="s">
        <v>351</v>
      </c>
      <c r="E138" s="55">
        <v>45381</v>
      </c>
      <c r="F138" s="53" t="s">
        <v>369</v>
      </c>
      <c r="G138" s="53" t="s">
        <v>68</v>
      </c>
      <c r="H138" s="54">
        <v>3235</v>
      </c>
    </row>
    <row r="139" spans="1:8" x14ac:dyDescent="0.3">
      <c r="A139" s="56" t="s">
        <v>392</v>
      </c>
      <c r="B139" s="56" t="s">
        <v>379</v>
      </c>
      <c r="C139" s="53" t="s">
        <v>210</v>
      </c>
      <c r="D139" s="53" t="s">
        <v>352</v>
      </c>
      <c r="E139" s="55">
        <v>45381</v>
      </c>
      <c r="F139" s="53" t="s">
        <v>370</v>
      </c>
      <c r="G139" s="53" t="s">
        <v>63</v>
      </c>
      <c r="H139" s="54">
        <v>13640.07</v>
      </c>
    </row>
    <row r="140" spans="1:8" x14ac:dyDescent="0.3">
      <c r="A140" s="56" t="s">
        <v>392</v>
      </c>
      <c r="B140" s="56" t="s">
        <v>379</v>
      </c>
      <c r="C140" s="53" t="s">
        <v>211</v>
      </c>
      <c r="D140" s="53" t="s">
        <v>353</v>
      </c>
      <c r="E140" s="55">
        <v>45381</v>
      </c>
      <c r="F140" s="53" t="s">
        <v>369</v>
      </c>
      <c r="G140" s="53" t="s">
        <v>68</v>
      </c>
      <c r="H140" s="54">
        <v>3235</v>
      </c>
    </row>
    <row r="141" spans="1:8" x14ac:dyDescent="0.3">
      <c r="A141" s="56" t="s">
        <v>392</v>
      </c>
      <c r="B141" s="56" t="s">
        <v>379</v>
      </c>
      <c r="C141" s="53" t="s">
        <v>212</v>
      </c>
      <c r="D141" s="53" t="s">
        <v>354</v>
      </c>
      <c r="E141" s="55">
        <v>45381</v>
      </c>
      <c r="F141" s="53" t="s">
        <v>370</v>
      </c>
      <c r="G141" s="53" t="s">
        <v>63</v>
      </c>
      <c r="H141" s="54">
        <v>3930.05</v>
      </c>
    </row>
    <row r="142" spans="1:8" x14ac:dyDescent="0.3">
      <c r="A142" s="56" t="s">
        <v>390</v>
      </c>
      <c r="B142" s="56" t="s">
        <v>379</v>
      </c>
      <c r="C142" s="53" t="s">
        <v>213</v>
      </c>
      <c r="D142" s="53" t="s">
        <v>355</v>
      </c>
      <c r="E142" s="55">
        <v>45381</v>
      </c>
      <c r="F142" s="53" t="s">
        <v>369</v>
      </c>
      <c r="G142" s="53" t="s">
        <v>68</v>
      </c>
      <c r="H142" s="54">
        <v>4706</v>
      </c>
    </row>
    <row r="143" spans="1:8" x14ac:dyDescent="0.3">
      <c r="A143" s="56" t="s">
        <v>392</v>
      </c>
      <c r="B143" s="56" t="s">
        <v>379</v>
      </c>
      <c r="C143" s="53" t="s">
        <v>214</v>
      </c>
      <c r="D143" s="53" t="s">
        <v>356</v>
      </c>
      <c r="E143" s="55">
        <v>45381</v>
      </c>
      <c r="F143" s="53" t="s">
        <v>369</v>
      </c>
      <c r="G143" s="53" t="s">
        <v>68</v>
      </c>
      <c r="H143" s="54">
        <v>3235</v>
      </c>
    </row>
    <row r="144" spans="1:8" x14ac:dyDescent="0.3">
      <c r="A144" s="56" t="s">
        <v>392</v>
      </c>
      <c r="B144" s="56" t="s">
        <v>379</v>
      </c>
      <c r="C144" s="53" t="s">
        <v>215</v>
      </c>
      <c r="D144" s="53" t="s">
        <v>357</v>
      </c>
      <c r="E144" s="55">
        <v>45381</v>
      </c>
      <c r="F144" s="53" t="s">
        <v>370</v>
      </c>
      <c r="G144" s="53" t="s">
        <v>63</v>
      </c>
      <c r="H144" s="54">
        <v>5751.92</v>
      </c>
    </row>
    <row r="145" spans="1:8" x14ac:dyDescent="0.3">
      <c r="A145" s="56" t="s">
        <v>392</v>
      </c>
      <c r="B145" s="56" t="s">
        <v>379</v>
      </c>
      <c r="C145" s="53" t="s">
        <v>216</v>
      </c>
      <c r="D145" s="53" t="s">
        <v>358</v>
      </c>
      <c r="E145" s="55">
        <v>45381</v>
      </c>
      <c r="F145" s="53" t="s">
        <v>369</v>
      </c>
      <c r="G145" s="53" t="s">
        <v>68</v>
      </c>
      <c r="H145" s="54">
        <v>3235</v>
      </c>
    </row>
    <row r="146" spans="1:8" x14ac:dyDescent="0.3">
      <c r="A146" s="56" t="s">
        <v>392</v>
      </c>
      <c r="B146" s="56" t="s">
        <v>379</v>
      </c>
      <c r="C146" s="53" t="s">
        <v>217</v>
      </c>
      <c r="D146" s="53" t="s">
        <v>359</v>
      </c>
      <c r="E146" s="55">
        <v>45381</v>
      </c>
      <c r="F146" s="53" t="s">
        <v>370</v>
      </c>
      <c r="G146" s="53" t="s">
        <v>63</v>
      </c>
      <c r="H146" s="54">
        <v>8558.73</v>
      </c>
    </row>
    <row r="147" spans="1:8" x14ac:dyDescent="0.3">
      <c r="A147" s="56" t="s">
        <v>392</v>
      </c>
      <c r="B147" s="56" t="s">
        <v>379</v>
      </c>
      <c r="C147" s="53" t="s">
        <v>218</v>
      </c>
      <c r="D147" s="53" t="s">
        <v>360</v>
      </c>
      <c r="E147" s="55">
        <v>45381</v>
      </c>
      <c r="F147" s="53" t="s">
        <v>369</v>
      </c>
      <c r="G147" s="53" t="s">
        <v>68</v>
      </c>
      <c r="H147" s="54">
        <v>3235</v>
      </c>
    </row>
    <row r="148" spans="1:8" x14ac:dyDescent="0.3">
      <c r="A148" s="56" t="s">
        <v>392</v>
      </c>
      <c r="B148" s="56" t="s">
        <v>379</v>
      </c>
      <c r="C148" s="53" t="s">
        <v>219</v>
      </c>
      <c r="D148" s="53" t="s">
        <v>361</v>
      </c>
      <c r="E148" s="55">
        <v>45381</v>
      </c>
      <c r="F148" s="53" t="s">
        <v>369</v>
      </c>
      <c r="G148" s="53" t="s">
        <v>68</v>
      </c>
      <c r="H148" s="54">
        <v>3235</v>
      </c>
    </row>
    <row r="149" spans="1:8" x14ac:dyDescent="0.3">
      <c r="A149" s="56" t="s">
        <v>392</v>
      </c>
      <c r="B149" s="56" t="s">
        <v>379</v>
      </c>
      <c r="C149" s="53" t="s">
        <v>220</v>
      </c>
      <c r="D149" s="53" t="s">
        <v>362</v>
      </c>
      <c r="E149" s="55">
        <v>45381</v>
      </c>
      <c r="F149" s="53" t="s">
        <v>369</v>
      </c>
      <c r="G149" s="53" t="s">
        <v>68</v>
      </c>
      <c r="H149" s="54">
        <v>3235</v>
      </c>
    </row>
    <row r="150" spans="1:8" x14ac:dyDescent="0.3">
      <c r="A150" s="56" t="s">
        <v>392</v>
      </c>
      <c r="B150" s="56" t="s">
        <v>379</v>
      </c>
      <c r="C150" s="53" t="s">
        <v>221</v>
      </c>
      <c r="D150" s="53" t="s">
        <v>363</v>
      </c>
      <c r="E150" s="55">
        <v>45381</v>
      </c>
      <c r="F150" s="53" t="s">
        <v>369</v>
      </c>
      <c r="G150" s="53" t="s">
        <v>68</v>
      </c>
      <c r="H150" s="54">
        <v>3235</v>
      </c>
    </row>
    <row r="151" spans="1:8" x14ac:dyDescent="0.3">
      <c r="A151" s="56" t="s">
        <v>390</v>
      </c>
      <c r="B151" s="56" t="s">
        <v>379</v>
      </c>
      <c r="C151" s="53" t="s">
        <v>222</v>
      </c>
      <c r="D151" s="53" t="s">
        <v>364</v>
      </c>
      <c r="E151" s="55">
        <v>45381</v>
      </c>
      <c r="F151" s="53" t="s">
        <v>375</v>
      </c>
      <c r="G151" s="53" t="s">
        <v>62</v>
      </c>
      <c r="H151" s="54">
        <v>2950</v>
      </c>
    </row>
    <row r="152" spans="1:8" x14ac:dyDescent="0.3">
      <c r="A152" s="56" t="s">
        <v>390</v>
      </c>
      <c r="B152" s="56" t="s">
        <v>379</v>
      </c>
      <c r="C152" s="53" t="s">
        <v>385</v>
      </c>
      <c r="D152" s="53" t="s">
        <v>236</v>
      </c>
      <c r="E152" s="55" t="s">
        <v>382</v>
      </c>
      <c r="F152" s="53" t="s">
        <v>369</v>
      </c>
      <c r="G152" s="53" t="s">
        <v>68</v>
      </c>
      <c r="H152" s="54">
        <v>62032.690499999997</v>
      </c>
    </row>
    <row r="153" spans="1:8" x14ac:dyDescent="0.3">
      <c r="A153" s="56" t="s">
        <v>390</v>
      </c>
      <c r="B153" s="56" t="s">
        <v>379</v>
      </c>
      <c r="C153" s="53" t="s">
        <v>386</v>
      </c>
      <c r="D153" s="53" t="s">
        <v>388</v>
      </c>
      <c r="E153" s="55" t="s">
        <v>383</v>
      </c>
      <c r="F153" s="53" t="s">
        <v>372</v>
      </c>
      <c r="G153" s="53" t="s">
        <v>10</v>
      </c>
      <c r="H153" s="54">
        <v>69010.1685</v>
      </c>
    </row>
    <row r="154" spans="1:8" x14ac:dyDescent="0.3">
      <c r="A154" s="56" t="s">
        <v>391</v>
      </c>
      <c r="B154" s="56" t="s">
        <v>379</v>
      </c>
      <c r="C154" s="53" t="s">
        <v>387</v>
      </c>
      <c r="D154" s="53" t="s">
        <v>389</v>
      </c>
      <c r="E154" s="55" t="s">
        <v>384</v>
      </c>
      <c r="F154" s="53" t="s">
        <v>380</v>
      </c>
      <c r="G154" s="53" t="s">
        <v>381</v>
      </c>
      <c r="H154" s="54">
        <v>17382.067152</v>
      </c>
    </row>
    <row r="155" spans="1:8" x14ac:dyDescent="0.3">
      <c r="A155" s="56" t="s">
        <v>392</v>
      </c>
      <c r="B155" s="56" t="s">
        <v>7</v>
      </c>
      <c r="C155" s="53" t="s">
        <v>393</v>
      </c>
      <c r="D155" s="53" t="s">
        <v>394</v>
      </c>
      <c r="E155" s="55" t="s">
        <v>566</v>
      </c>
      <c r="F155" s="53" t="s">
        <v>369</v>
      </c>
      <c r="G155" s="53" t="s">
        <v>68</v>
      </c>
      <c r="H155" s="54">
        <v>3235</v>
      </c>
    </row>
    <row r="156" spans="1:8" x14ac:dyDescent="0.3">
      <c r="A156" s="56" t="s">
        <v>390</v>
      </c>
      <c r="B156" s="56" t="s">
        <v>7</v>
      </c>
      <c r="C156" s="53" t="s">
        <v>395</v>
      </c>
      <c r="D156" s="53" t="s">
        <v>396</v>
      </c>
      <c r="E156" s="55" t="s">
        <v>567</v>
      </c>
      <c r="F156" s="53" t="s">
        <v>372</v>
      </c>
      <c r="G156" s="53" t="s">
        <v>10</v>
      </c>
      <c r="H156" s="54">
        <v>10848.2</v>
      </c>
    </row>
    <row r="157" spans="1:8" x14ac:dyDescent="0.3">
      <c r="A157" s="56" t="s">
        <v>392</v>
      </c>
      <c r="B157" s="56" t="s">
        <v>7</v>
      </c>
      <c r="C157" s="53" t="s">
        <v>397</v>
      </c>
      <c r="D157" s="53" t="s">
        <v>398</v>
      </c>
      <c r="E157" s="55" t="s">
        <v>567</v>
      </c>
      <c r="F157" s="53" t="s">
        <v>370</v>
      </c>
      <c r="G157" s="53" t="s">
        <v>63</v>
      </c>
      <c r="H157" s="54">
        <v>3450</v>
      </c>
    </row>
    <row r="158" spans="1:8" x14ac:dyDescent="0.3">
      <c r="A158" s="56" t="s">
        <v>392</v>
      </c>
      <c r="B158" s="56" t="s">
        <v>7</v>
      </c>
      <c r="C158" s="53" t="s">
        <v>399</v>
      </c>
      <c r="D158" s="53" t="s">
        <v>400</v>
      </c>
      <c r="E158" s="55" t="s">
        <v>567</v>
      </c>
      <c r="F158" s="53" t="s">
        <v>370</v>
      </c>
      <c r="G158" s="53" t="s">
        <v>63</v>
      </c>
      <c r="H158" s="54">
        <v>3822.95</v>
      </c>
    </row>
    <row r="159" spans="1:8" x14ac:dyDescent="0.3">
      <c r="A159" s="56" t="s">
        <v>392</v>
      </c>
      <c r="B159" s="56" t="s">
        <v>7</v>
      </c>
      <c r="C159" s="53" t="s">
        <v>401</v>
      </c>
      <c r="D159" s="53" t="s">
        <v>402</v>
      </c>
      <c r="E159" s="55" t="s">
        <v>567</v>
      </c>
      <c r="F159" s="53" t="s">
        <v>370</v>
      </c>
      <c r="G159" s="53" t="s">
        <v>63</v>
      </c>
      <c r="H159" s="54">
        <v>2430.4899999999998</v>
      </c>
    </row>
    <row r="160" spans="1:8" x14ac:dyDescent="0.3">
      <c r="A160" s="56" t="s">
        <v>390</v>
      </c>
      <c r="B160" s="56" t="s">
        <v>7</v>
      </c>
      <c r="C160" s="53" t="s">
        <v>403</v>
      </c>
      <c r="D160" s="53" t="s">
        <v>404</v>
      </c>
      <c r="E160" s="55" t="s">
        <v>568</v>
      </c>
      <c r="F160" s="53" t="s">
        <v>584</v>
      </c>
      <c r="G160" s="53" t="s">
        <v>18</v>
      </c>
      <c r="H160" s="54">
        <v>5626.42</v>
      </c>
    </row>
    <row r="161" spans="1:8" x14ac:dyDescent="0.3">
      <c r="A161" s="56" t="s">
        <v>392</v>
      </c>
      <c r="B161" s="56" t="s">
        <v>7</v>
      </c>
      <c r="C161" s="53" t="s">
        <v>405</v>
      </c>
      <c r="D161" s="53" t="s">
        <v>406</v>
      </c>
      <c r="E161" s="55" t="s">
        <v>568</v>
      </c>
      <c r="F161" s="53" t="s">
        <v>370</v>
      </c>
      <c r="G161" s="53" t="s">
        <v>63</v>
      </c>
      <c r="H161" s="54">
        <v>3342</v>
      </c>
    </row>
    <row r="162" spans="1:8" x14ac:dyDescent="0.3">
      <c r="A162" s="56" t="s">
        <v>392</v>
      </c>
      <c r="B162" s="56" t="s">
        <v>7</v>
      </c>
      <c r="C162" s="53" t="s">
        <v>407</v>
      </c>
      <c r="D162" s="53" t="s">
        <v>408</v>
      </c>
      <c r="E162" s="55" t="s">
        <v>568</v>
      </c>
      <c r="F162" s="53" t="s">
        <v>372</v>
      </c>
      <c r="G162" s="53" t="s">
        <v>10</v>
      </c>
      <c r="H162" s="54">
        <v>31269.24</v>
      </c>
    </row>
    <row r="163" spans="1:8" x14ac:dyDescent="0.3">
      <c r="A163" s="56" t="s">
        <v>392</v>
      </c>
      <c r="B163" s="56" t="s">
        <v>7</v>
      </c>
      <c r="C163" s="53" t="s">
        <v>409</v>
      </c>
      <c r="D163" s="53" t="s">
        <v>410</v>
      </c>
      <c r="E163" s="55" t="s">
        <v>568</v>
      </c>
      <c r="F163" s="53" t="s">
        <v>372</v>
      </c>
      <c r="G163" s="53" t="s">
        <v>10</v>
      </c>
      <c r="H163" s="54">
        <v>3385.14</v>
      </c>
    </row>
    <row r="164" spans="1:8" x14ac:dyDescent="0.3">
      <c r="A164" s="56" t="s">
        <v>392</v>
      </c>
      <c r="B164" s="56" t="s">
        <v>7</v>
      </c>
      <c r="C164" s="53" t="s">
        <v>411</v>
      </c>
      <c r="D164" s="53" t="s">
        <v>412</v>
      </c>
      <c r="E164" s="55" t="s">
        <v>568</v>
      </c>
      <c r="F164" s="53" t="s">
        <v>370</v>
      </c>
      <c r="G164" s="53" t="s">
        <v>63</v>
      </c>
      <c r="H164" s="54">
        <v>9445.4699999999993</v>
      </c>
    </row>
    <row r="165" spans="1:8" x14ac:dyDescent="0.3">
      <c r="A165" s="56" t="s">
        <v>392</v>
      </c>
      <c r="B165" s="56" t="s">
        <v>7</v>
      </c>
      <c r="C165" s="53" t="s">
        <v>413</v>
      </c>
      <c r="D165" s="53" t="s">
        <v>414</v>
      </c>
      <c r="E165" s="55" t="s">
        <v>568</v>
      </c>
      <c r="F165" s="53" t="s">
        <v>370</v>
      </c>
      <c r="G165" s="53" t="s">
        <v>63</v>
      </c>
      <c r="H165" s="54">
        <v>8527.17</v>
      </c>
    </row>
    <row r="166" spans="1:8" x14ac:dyDescent="0.3">
      <c r="A166" s="56" t="s">
        <v>390</v>
      </c>
      <c r="B166" s="56" t="s">
        <v>7</v>
      </c>
      <c r="C166" s="53" t="s">
        <v>415</v>
      </c>
      <c r="D166" s="53" t="s">
        <v>404</v>
      </c>
      <c r="E166" s="55" t="s">
        <v>568</v>
      </c>
      <c r="F166" s="53" t="s">
        <v>584</v>
      </c>
      <c r="G166" s="53" t="s">
        <v>18</v>
      </c>
      <c r="H166" s="54">
        <v>37780.29</v>
      </c>
    </row>
    <row r="167" spans="1:8" x14ac:dyDescent="0.3">
      <c r="A167" s="56" t="s">
        <v>392</v>
      </c>
      <c r="B167" s="56" t="s">
        <v>7</v>
      </c>
      <c r="C167" s="53" t="s">
        <v>416</v>
      </c>
      <c r="D167" s="53" t="s">
        <v>417</v>
      </c>
      <c r="E167" s="55" t="s">
        <v>568</v>
      </c>
      <c r="F167" s="53" t="s">
        <v>370</v>
      </c>
      <c r="G167" s="53" t="s">
        <v>63</v>
      </c>
      <c r="H167" s="54">
        <v>7281.56</v>
      </c>
    </row>
    <row r="168" spans="1:8" x14ac:dyDescent="0.3">
      <c r="A168" s="56" t="s">
        <v>392</v>
      </c>
      <c r="B168" s="56" t="s">
        <v>7</v>
      </c>
      <c r="C168" s="53" t="s">
        <v>418</v>
      </c>
      <c r="D168" s="53" t="s">
        <v>419</v>
      </c>
      <c r="E168" s="55" t="s">
        <v>569</v>
      </c>
      <c r="F168" s="53" t="s">
        <v>370</v>
      </c>
      <c r="G168" s="53" t="s">
        <v>63</v>
      </c>
      <c r="H168" s="54">
        <v>7290.64</v>
      </c>
    </row>
    <row r="169" spans="1:8" x14ac:dyDescent="0.3">
      <c r="A169" s="56" t="s">
        <v>392</v>
      </c>
      <c r="B169" s="56" t="s">
        <v>7</v>
      </c>
      <c r="C169" s="53" t="s">
        <v>420</v>
      </c>
      <c r="D169" s="53" t="s">
        <v>421</v>
      </c>
      <c r="E169" s="55" t="s">
        <v>569</v>
      </c>
      <c r="F169" s="53" t="s">
        <v>370</v>
      </c>
      <c r="G169" s="53" t="s">
        <v>63</v>
      </c>
      <c r="H169" s="54">
        <v>3335.6</v>
      </c>
    </row>
    <row r="170" spans="1:8" x14ac:dyDescent="0.3">
      <c r="A170" s="56" t="s">
        <v>390</v>
      </c>
      <c r="B170" s="56" t="s">
        <v>7</v>
      </c>
      <c r="C170" s="53" t="s">
        <v>422</v>
      </c>
      <c r="D170" s="53" t="s">
        <v>276</v>
      </c>
      <c r="E170" s="55" t="s">
        <v>569</v>
      </c>
      <c r="F170" s="53" t="s">
        <v>371</v>
      </c>
      <c r="G170" s="53" t="s">
        <v>365</v>
      </c>
      <c r="H170" s="54">
        <v>700</v>
      </c>
    </row>
    <row r="171" spans="1:8" x14ac:dyDescent="0.3">
      <c r="A171" s="56" t="s">
        <v>390</v>
      </c>
      <c r="B171" s="56" t="s">
        <v>7</v>
      </c>
      <c r="C171" s="53" t="s">
        <v>423</v>
      </c>
      <c r="D171" s="53" t="s">
        <v>424</v>
      </c>
      <c r="E171" s="55" t="s">
        <v>570</v>
      </c>
      <c r="F171" s="53" t="s">
        <v>375</v>
      </c>
      <c r="G171" s="53" t="s">
        <v>62</v>
      </c>
      <c r="H171" s="54">
        <v>29999.48</v>
      </c>
    </row>
    <row r="172" spans="1:8" x14ac:dyDescent="0.3">
      <c r="A172" s="56" t="s">
        <v>390</v>
      </c>
      <c r="B172" s="56" t="s">
        <v>7</v>
      </c>
      <c r="C172" s="53" t="s">
        <v>423</v>
      </c>
      <c r="D172" s="53" t="s">
        <v>424</v>
      </c>
      <c r="E172" s="55" t="s">
        <v>570</v>
      </c>
      <c r="F172" s="53" t="s">
        <v>375</v>
      </c>
      <c r="G172" s="53" t="s">
        <v>62</v>
      </c>
      <c r="H172" s="54">
        <v>12375</v>
      </c>
    </row>
    <row r="173" spans="1:8" x14ac:dyDescent="0.3">
      <c r="A173" s="56" t="s">
        <v>390</v>
      </c>
      <c r="B173" s="56" t="s">
        <v>7</v>
      </c>
      <c r="C173" s="53" t="s">
        <v>425</v>
      </c>
      <c r="D173" s="53" t="s">
        <v>426</v>
      </c>
      <c r="E173" s="55" t="s">
        <v>570</v>
      </c>
      <c r="F173" s="53" t="s">
        <v>371</v>
      </c>
      <c r="G173" s="53" t="s">
        <v>365</v>
      </c>
      <c r="H173" s="54">
        <v>247480.97</v>
      </c>
    </row>
    <row r="174" spans="1:8" x14ac:dyDescent="0.3">
      <c r="A174" s="56" t="s">
        <v>392</v>
      </c>
      <c r="B174" s="56" t="s">
        <v>7</v>
      </c>
      <c r="C174" s="53" t="s">
        <v>427</v>
      </c>
      <c r="D174" s="53" t="s">
        <v>428</v>
      </c>
      <c r="E174" s="55" t="s">
        <v>570</v>
      </c>
      <c r="F174" s="53" t="s">
        <v>368</v>
      </c>
      <c r="G174" s="53" t="s">
        <v>588</v>
      </c>
      <c r="H174" s="54">
        <v>3400</v>
      </c>
    </row>
    <row r="175" spans="1:8" x14ac:dyDescent="0.3">
      <c r="A175" s="56" t="s">
        <v>392</v>
      </c>
      <c r="B175" s="56" t="s">
        <v>7</v>
      </c>
      <c r="C175" s="53" t="s">
        <v>429</v>
      </c>
      <c r="D175" s="53" t="s">
        <v>430</v>
      </c>
      <c r="E175" s="55" t="s">
        <v>570</v>
      </c>
      <c r="F175" s="53" t="s">
        <v>370</v>
      </c>
      <c r="G175" s="53" t="s">
        <v>63</v>
      </c>
      <c r="H175" s="54">
        <v>7258.83</v>
      </c>
    </row>
    <row r="176" spans="1:8" x14ac:dyDescent="0.3">
      <c r="A176" s="56" t="s">
        <v>392</v>
      </c>
      <c r="B176" s="56" t="s">
        <v>7</v>
      </c>
      <c r="C176" s="53" t="s">
        <v>431</v>
      </c>
      <c r="D176" s="53" t="s">
        <v>432</v>
      </c>
      <c r="E176" s="55" t="s">
        <v>570</v>
      </c>
      <c r="F176" s="53" t="s">
        <v>369</v>
      </c>
      <c r="G176" s="53" t="s">
        <v>68</v>
      </c>
      <c r="H176" s="54">
        <v>10470</v>
      </c>
    </row>
    <row r="177" spans="1:8" x14ac:dyDescent="0.3">
      <c r="A177" s="56" t="s">
        <v>392</v>
      </c>
      <c r="B177" s="56" t="s">
        <v>7</v>
      </c>
      <c r="C177" s="53" t="s">
        <v>433</v>
      </c>
      <c r="D177" s="53" t="s">
        <v>434</v>
      </c>
      <c r="E177" s="55" t="s">
        <v>570</v>
      </c>
      <c r="F177" s="53" t="s">
        <v>370</v>
      </c>
      <c r="G177" s="53" t="s">
        <v>63</v>
      </c>
      <c r="H177" s="54">
        <v>3352.4</v>
      </c>
    </row>
    <row r="178" spans="1:8" x14ac:dyDescent="0.3">
      <c r="A178" s="56" t="s">
        <v>392</v>
      </c>
      <c r="B178" s="56" t="s">
        <v>7</v>
      </c>
      <c r="C178" s="53" t="s">
        <v>435</v>
      </c>
      <c r="D178" s="53" t="s">
        <v>436</v>
      </c>
      <c r="E178" s="55" t="s">
        <v>570</v>
      </c>
      <c r="F178" s="53" t="s">
        <v>370</v>
      </c>
      <c r="G178" s="53" t="s">
        <v>63</v>
      </c>
      <c r="H178" s="54">
        <v>8759</v>
      </c>
    </row>
    <row r="179" spans="1:8" x14ac:dyDescent="0.3">
      <c r="A179" s="56" t="s">
        <v>392</v>
      </c>
      <c r="B179" s="56" t="s">
        <v>7</v>
      </c>
      <c r="C179" s="53" t="s">
        <v>437</v>
      </c>
      <c r="D179" s="53" t="s">
        <v>438</v>
      </c>
      <c r="E179" s="55" t="s">
        <v>571</v>
      </c>
      <c r="F179" s="53" t="s">
        <v>370</v>
      </c>
      <c r="G179" s="53" t="s">
        <v>63</v>
      </c>
      <c r="H179" s="54">
        <v>7262.84</v>
      </c>
    </row>
    <row r="180" spans="1:8" x14ac:dyDescent="0.3">
      <c r="A180" s="56" t="s">
        <v>392</v>
      </c>
      <c r="B180" s="56" t="s">
        <v>7</v>
      </c>
      <c r="C180" s="53" t="s">
        <v>439</v>
      </c>
      <c r="D180" s="53" t="s">
        <v>440</v>
      </c>
      <c r="E180" s="55" t="s">
        <v>571</v>
      </c>
      <c r="F180" s="53" t="s">
        <v>370</v>
      </c>
      <c r="G180" s="53" t="s">
        <v>63</v>
      </c>
      <c r="H180" s="54">
        <v>6626.92</v>
      </c>
    </row>
    <row r="181" spans="1:8" x14ac:dyDescent="0.3">
      <c r="A181" s="56" t="s">
        <v>392</v>
      </c>
      <c r="B181" s="56" t="s">
        <v>7</v>
      </c>
      <c r="C181" s="53" t="s">
        <v>441</v>
      </c>
      <c r="D181" s="53" t="s">
        <v>442</v>
      </c>
      <c r="E181" s="55" t="s">
        <v>571</v>
      </c>
      <c r="F181" s="53" t="s">
        <v>370</v>
      </c>
      <c r="G181" s="53" t="s">
        <v>63</v>
      </c>
      <c r="H181" s="54">
        <v>11983.09</v>
      </c>
    </row>
    <row r="182" spans="1:8" x14ac:dyDescent="0.3">
      <c r="A182" s="56" t="s">
        <v>392</v>
      </c>
      <c r="B182" s="56" t="s">
        <v>7</v>
      </c>
      <c r="C182" s="53" t="s">
        <v>443</v>
      </c>
      <c r="D182" s="53" t="s">
        <v>444</v>
      </c>
      <c r="E182" s="55" t="s">
        <v>571</v>
      </c>
      <c r="F182" s="53" t="s">
        <v>370</v>
      </c>
      <c r="G182" s="53" t="s">
        <v>63</v>
      </c>
      <c r="H182" s="54">
        <v>5380.61</v>
      </c>
    </row>
    <row r="183" spans="1:8" x14ac:dyDescent="0.3">
      <c r="A183" s="56" t="s">
        <v>392</v>
      </c>
      <c r="B183" s="56" t="s">
        <v>7</v>
      </c>
      <c r="C183" s="53" t="s">
        <v>445</v>
      </c>
      <c r="D183" s="53" t="s">
        <v>446</v>
      </c>
      <c r="E183" s="55" t="s">
        <v>571</v>
      </c>
      <c r="F183" s="53" t="s">
        <v>370</v>
      </c>
      <c r="G183" s="53" t="s">
        <v>63</v>
      </c>
      <c r="H183" s="54">
        <v>4897.09</v>
      </c>
    </row>
    <row r="184" spans="1:8" x14ac:dyDescent="0.3">
      <c r="A184" s="56" t="s">
        <v>392</v>
      </c>
      <c r="B184" s="56" t="s">
        <v>7</v>
      </c>
      <c r="C184" s="53" t="s">
        <v>447</v>
      </c>
      <c r="D184" s="53" t="s">
        <v>448</v>
      </c>
      <c r="E184" s="55" t="s">
        <v>571</v>
      </c>
      <c r="F184" s="53" t="s">
        <v>370</v>
      </c>
      <c r="G184" s="53" t="s">
        <v>63</v>
      </c>
      <c r="H184" s="54">
        <v>12431.44</v>
      </c>
    </row>
    <row r="185" spans="1:8" x14ac:dyDescent="0.3">
      <c r="A185" s="56" t="s">
        <v>392</v>
      </c>
      <c r="B185" s="56" t="s">
        <v>7</v>
      </c>
      <c r="C185" s="53" t="s">
        <v>449</v>
      </c>
      <c r="D185" s="53" t="s">
        <v>450</v>
      </c>
      <c r="E185" s="55" t="s">
        <v>571</v>
      </c>
      <c r="F185" s="53" t="s">
        <v>370</v>
      </c>
      <c r="G185" s="53" t="s">
        <v>63</v>
      </c>
      <c r="H185" s="54">
        <v>4465.43</v>
      </c>
    </row>
    <row r="186" spans="1:8" x14ac:dyDescent="0.3">
      <c r="A186" s="56" t="s">
        <v>392</v>
      </c>
      <c r="B186" s="56" t="s">
        <v>7</v>
      </c>
      <c r="C186" s="53" t="s">
        <v>451</v>
      </c>
      <c r="D186" s="53" t="s">
        <v>452</v>
      </c>
      <c r="E186" s="55" t="s">
        <v>571</v>
      </c>
      <c r="F186" s="53" t="s">
        <v>370</v>
      </c>
      <c r="G186" s="53" t="s">
        <v>63</v>
      </c>
      <c r="H186" s="54">
        <v>5820.6</v>
      </c>
    </row>
    <row r="187" spans="1:8" x14ac:dyDescent="0.3">
      <c r="A187" s="56" t="s">
        <v>392</v>
      </c>
      <c r="B187" s="56" t="s">
        <v>7</v>
      </c>
      <c r="C187" s="53" t="s">
        <v>453</v>
      </c>
      <c r="D187" s="53" t="s">
        <v>454</v>
      </c>
      <c r="E187" s="55" t="s">
        <v>571</v>
      </c>
      <c r="F187" s="53" t="s">
        <v>370</v>
      </c>
      <c r="G187" s="53" t="s">
        <v>63</v>
      </c>
      <c r="H187" s="54">
        <v>8609.41</v>
      </c>
    </row>
    <row r="188" spans="1:8" x14ac:dyDescent="0.3">
      <c r="A188" s="56" t="s">
        <v>392</v>
      </c>
      <c r="B188" s="56" t="s">
        <v>7</v>
      </c>
      <c r="C188" s="53" t="s">
        <v>455</v>
      </c>
      <c r="D188" s="53" t="s">
        <v>456</v>
      </c>
      <c r="E188" s="55" t="s">
        <v>571</v>
      </c>
      <c r="F188" s="53" t="s">
        <v>370</v>
      </c>
      <c r="G188" s="53" t="s">
        <v>63</v>
      </c>
      <c r="H188" s="54">
        <v>7245.16</v>
      </c>
    </row>
    <row r="189" spans="1:8" x14ac:dyDescent="0.3">
      <c r="A189" s="56" t="s">
        <v>390</v>
      </c>
      <c r="B189" s="56" t="s">
        <v>7</v>
      </c>
      <c r="C189" s="53" t="s">
        <v>457</v>
      </c>
      <c r="D189" s="53" t="s">
        <v>458</v>
      </c>
      <c r="E189" s="55" t="s">
        <v>572</v>
      </c>
      <c r="F189" s="53" t="s">
        <v>585</v>
      </c>
      <c r="G189" s="53" t="s">
        <v>589</v>
      </c>
      <c r="H189" s="54">
        <v>8760</v>
      </c>
    </row>
    <row r="190" spans="1:8" x14ac:dyDescent="0.3">
      <c r="A190" s="56" t="s">
        <v>392</v>
      </c>
      <c r="B190" s="56" t="s">
        <v>7</v>
      </c>
      <c r="C190" s="53" t="s">
        <v>459</v>
      </c>
      <c r="D190" s="53" t="s">
        <v>460</v>
      </c>
      <c r="E190" s="55" t="s">
        <v>573</v>
      </c>
      <c r="F190" s="53" t="s">
        <v>370</v>
      </c>
      <c r="G190" s="53" t="s">
        <v>63</v>
      </c>
      <c r="H190" s="54">
        <v>3925.13</v>
      </c>
    </row>
    <row r="191" spans="1:8" x14ac:dyDescent="0.3">
      <c r="A191" s="56" t="s">
        <v>392</v>
      </c>
      <c r="B191" s="56" t="s">
        <v>7</v>
      </c>
      <c r="C191" s="53" t="s">
        <v>461</v>
      </c>
      <c r="D191" s="53" t="s">
        <v>462</v>
      </c>
      <c r="E191" s="55" t="s">
        <v>574</v>
      </c>
      <c r="F191" s="53" t="s">
        <v>372</v>
      </c>
      <c r="G191" s="53" t="s">
        <v>10</v>
      </c>
      <c r="H191" s="54">
        <v>13193.38</v>
      </c>
    </row>
    <row r="192" spans="1:8" x14ac:dyDescent="0.3">
      <c r="A192" s="56" t="s">
        <v>392</v>
      </c>
      <c r="B192" s="56" t="s">
        <v>7</v>
      </c>
      <c r="C192" s="53" t="s">
        <v>463</v>
      </c>
      <c r="D192" s="53" t="s">
        <v>464</v>
      </c>
      <c r="E192" s="55" t="s">
        <v>574</v>
      </c>
      <c r="F192" s="53" t="s">
        <v>372</v>
      </c>
      <c r="G192" s="53" t="s">
        <v>10</v>
      </c>
      <c r="H192" s="54">
        <v>39493.46</v>
      </c>
    </row>
    <row r="193" spans="1:8" x14ac:dyDescent="0.3">
      <c r="A193" s="56" t="s">
        <v>390</v>
      </c>
      <c r="B193" s="56" t="s">
        <v>7</v>
      </c>
      <c r="C193" s="53" t="s">
        <v>465</v>
      </c>
      <c r="D193" s="53" t="s">
        <v>346</v>
      </c>
      <c r="E193" s="55" t="s">
        <v>574</v>
      </c>
      <c r="F193" s="53" t="s">
        <v>375</v>
      </c>
      <c r="G193" s="53" t="s">
        <v>62</v>
      </c>
      <c r="H193" s="54">
        <v>1312.5</v>
      </c>
    </row>
    <row r="194" spans="1:8" x14ac:dyDescent="0.3">
      <c r="A194" s="56" t="s">
        <v>392</v>
      </c>
      <c r="B194" s="56" t="s">
        <v>7</v>
      </c>
      <c r="C194" s="53" t="s">
        <v>466</v>
      </c>
      <c r="D194" s="53" t="s">
        <v>467</v>
      </c>
      <c r="E194" s="55" t="s">
        <v>575</v>
      </c>
      <c r="F194" s="53" t="s">
        <v>370</v>
      </c>
      <c r="G194" s="53" t="s">
        <v>63</v>
      </c>
      <c r="H194" s="54">
        <v>7450</v>
      </c>
    </row>
    <row r="195" spans="1:8" x14ac:dyDescent="0.3">
      <c r="A195" s="56" t="s">
        <v>392</v>
      </c>
      <c r="B195" s="56" t="s">
        <v>7</v>
      </c>
      <c r="C195" s="53" t="s">
        <v>468</v>
      </c>
      <c r="D195" s="53" t="s">
        <v>469</v>
      </c>
      <c r="E195" s="55" t="s">
        <v>575</v>
      </c>
      <c r="F195" s="53" t="s">
        <v>370</v>
      </c>
      <c r="G195" s="53" t="s">
        <v>63</v>
      </c>
      <c r="H195" s="54">
        <v>7246</v>
      </c>
    </row>
    <row r="196" spans="1:8" x14ac:dyDescent="0.3">
      <c r="A196" s="56" t="s">
        <v>392</v>
      </c>
      <c r="B196" s="56" t="s">
        <v>7</v>
      </c>
      <c r="C196" s="53" t="s">
        <v>470</v>
      </c>
      <c r="D196" s="53" t="s">
        <v>471</v>
      </c>
      <c r="E196" s="55" t="s">
        <v>576</v>
      </c>
      <c r="F196" s="53" t="s">
        <v>370</v>
      </c>
      <c r="G196" s="53" t="s">
        <v>63</v>
      </c>
      <c r="H196" s="54">
        <v>8936.6200000000008</v>
      </c>
    </row>
    <row r="197" spans="1:8" x14ac:dyDescent="0.3">
      <c r="A197" s="56" t="s">
        <v>392</v>
      </c>
      <c r="B197" s="56" t="s">
        <v>7</v>
      </c>
      <c r="C197" s="53" t="s">
        <v>472</v>
      </c>
      <c r="D197" s="53" t="s">
        <v>473</v>
      </c>
      <c r="E197" s="55" t="s">
        <v>576</v>
      </c>
      <c r="F197" s="53" t="s">
        <v>372</v>
      </c>
      <c r="G197" s="53" t="s">
        <v>10</v>
      </c>
      <c r="H197" s="54">
        <v>9004.3799999999992</v>
      </c>
    </row>
    <row r="198" spans="1:8" x14ac:dyDescent="0.3">
      <c r="A198" s="56" t="s">
        <v>392</v>
      </c>
      <c r="B198" s="56" t="s">
        <v>7</v>
      </c>
      <c r="C198" s="53" t="s">
        <v>474</v>
      </c>
      <c r="D198" s="53" t="s">
        <v>475</v>
      </c>
      <c r="E198" s="55" t="s">
        <v>577</v>
      </c>
      <c r="F198" s="53" t="s">
        <v>368</v>
      </c>
      <c r="G198" s="53" t="s">
        <v>588</v>
      </c>
      <c r="H198" s="54">
        <v>4840.6400000000003</v>
      </c>
    </row>
    <row r="199" spans="1:8" x14ac:dyDescent="0.3">
      <c r="A199" s="56" t="s">
        <v>392</v>
      </c>
      <c r="B199" s="56" t="s">
        <v>7</v>
      </c>
      <c r="C199" s="53" t="s">
        <v>476</v>
      </c>
      <c r="D199" s="53" t="s">
        <v>477</v>
      </c>
      <c r="E199" s="55" t="s">
        <v>578</v>
      </c>
      <c r="F199" s="53" t="s">
        <v>374</v>
      </c>
      <c r="G199" s="53" t="s">
        <v>17</v>
      </c>
      <c r="H199" s="54">
        <v>3334</v>
      </c>
    </row>
    <row r="200" spans="1:8" x14ac:dyDescent="0.3">
      <c r="A200" s="56" t="s">
        <v>392</v>
      </c>
      <c r="B200" s="56" t="s">
        <v>7</v>
      </c>
      <c r="C200" s="53" t="s">
        <v>478</v>
      </c>
      <c r="D200" s="53" t="s">
        <v>479</v>
      </c>
      <c r="E200" s="55" t="s">
        <v>578</v>
      </c>
      <c r="F200" s="53" t="s">
        <v>370</v>
      </c>
      <c r="G200" s="53" t="s">
        <v>63</v>
      </c>
      <c r="H200" s="54">
        <v>10991.1</v>
      </c>
    </row>
    <row r="201" spans="1:8" x14ac:dyDescent="0.3">
      <c r="A201" s="56" t="s">
        <v>392</v>
      </c>
      <c r="B201" s="56" t="s">
        <v>7</v>
      </c>
      <c r="C201" s="53" t="s">
        <v>480</v>
      </c>
      <c r="D201" s="53" t="s">
        <v>481</v>
      </c>
      <c r="E201" s="55" t="s">
        <v>578</v>
      </c>
      <c r="F201" s="53" t="s">
        <v>586</v>
      </c>
      <c r="G201" s="53" t="s">
        <v>590</v>
      </c>
      <c r="H201" s="54">
        <v>2835</v>
      </c>
    </row>
    <row r="202" spans="1:8" x14ac:dyDescent="0.3">
      <c r="A202" s="56" t="s">
        <v>392</v>
      </c>
      <c r="B202" s="56" t="s">
        <v>7</v>
      </c>
      <c r="C202" s="53" t="s">
        <v>482</v>
      </c>
      <c r="D202" s="53" t="s">
        <v>483</v>
      </c>
      <c r="E202" s="55" t="s">
        <v>578</v>
      </c>
      <c r="F202" s="53" t="s">
        <v>370</v>
      </c>
      <c r="G202" s="53" t="s">
        <v>63</v>
      </c>
      <c r="H202" s="54">
        <v>8940</v>
      </c>
    </row>
    <row r="203" spans="1:8" x14ac:dyDescent="0.3">
      <c r="A203" s="56" t="s">
        <v>392</v>
      </c>
      <c r="B203" s="56" t="s">
        <v>7</v>
      </c>
      <c r="C203" s="53" t="s">
        <v>484</v>
      </c>
      <c r="D203" s="53" t="s">
        <v>485</v>
      </c>
      <c r="E203" s="55" t="s">
        <v>578</v>
      </c>
      <c r="F203" s="53" t="s">
        <v>370</v>
      </c>
      <c r="G203" s="53" t="s">
        <v>63</v>
      </c>
      <c r="H203" s="54">
        <v>7228.64</v>
      </c>
    </row>
    <row r="204" spans="1:8" x14ac:dyDescent="0.3">
      <c r="A204" s="56" t="s">
        <v>392</v>
      </c>
      <c r="B204" s="56" t="s">
        <v>7</v>
      </c>
      <c r="C204" s="53" t="s">
        <v>486</v>
      </c>
      <c r="D204" s="53" t="s">
        <v>487</v>
      </c>
      <c r="E204" s="55" t="s">
        <v>578</v>
      </c>
      <c r="F204" s="53" t="s">
        <v>370</v>
      </c>
      <c r="G204" s="53" t="s">
        <v>63</v>
      </c>
      <c r="H204" s="54">
        <v>15486</v>
      </c>
    </row>
    <row r="205" spans="1:8" x14ac:dyDescent="0.3">
      <c r="A205" s="56" t="s">
        <v>392</v>
      </c>
      <c r="B205" s="56" t="s">
        <v>7</v>
      </c>
      <c r="C205" s="53" t="s">
        <v>488</v>
      </c>
      <c r="D205" s="53" t="s">
        <v>489</v>
      </c>
      <c r="E205" s="55" t="s">
        <v>578</v>
      </c>
      <c r="F205" s="53" t="s">
        <v>368</v>
      </c>
      <c r="G205" s="53" t="s">
        <v>588</v>
      </c>
      <c r="H205" s="54">
        <v>4896.5600000000004</v>
      </c>
    </row>
    <row r="206" spans="1:8" x14ac:dyDescent="0.3">
      <c r="A206" s="56" t="s">
        <v>392</v>
      </c>
      <c r="B206" s="56" t="s">
        <v>7</v>
      </c>
      <c r="C206" s="53" t="s">
        <v>490</v>
      </c>
      <c r="D206" s="53" t="s">
        <v>491</v>
      </c>
      <c r="E206" s="55" t="s">
        <v>578</v>
      </c>
      <c r="F206" s="53" t="s">
        <v>370</v>
      </c>
      <c r="G206" s="53" t="s">
        <v>63</v>
      </c>
      <c r="H206" s="54">
        <v>3292</v>
      </c>
    </row>
    <row r="207" spans="1:8" x14ac:dyDescent="0.3">
      <c r="A207" s="56" t="s">
        <v>390</v>
      </c>
      <c r="B207" s="56" t="s">
        <v>7</v>
      </c>
      <c r="C207" s="53" t="s">
        <v>492</v>
      </c>
      <c r="D207" s="53" t="s">
        <v>493</v>
      </c>
      <c r="E207" s="55" t="s">
        <v>578</v>
      </c>
      <c r="F207" s="53" t="s">
        <v>372</v>
      </c>
      <c r="G207" s="53" t="s">
        <v>10</v>
      </c>
      <c r="H207" s="54">
        <v>3540</v>
      </c>
    </row>
    <row r="208" spans="1:8" x14ac:dyDescent="0.3">
      <c r="A208" s="56" t="s">
        <v>390</v>
      </c>
      <c r="B208" s="56" t="s">
        <v>7</v>
      </c>
      <c r="C208" s="53" t="s">
        <v>494</v>
      </c>
      <c r="D208" s="53" t="s">
        <v>495</v>
      </c>
      <c r="E208" s="55" t="s">
        <v>579</v>
      </c>
      <c r="F208" s="53" t="s">
        <v>368</v>
      </c>
      <c r="G208" s="53" t="s">
        <v>588</v>
      </c>
      <c r="H208" s="54">
        <v>27371.43</v>
      </c>
    </row>
    <row r="209" spans="1:8" x14ac:dyDescent="0.3">
      <c r="A209" s="56" t="s">
        <v>390</v>
      </c>
      <c r="B209" s="56" t="s">
        <v>7</v>
      </c>
      <c r="C209" s="53" t="s">
        <v>496</v>
      </c>
      <c r="D209" s="53" t="s">
        <v>497</v>
      </c>
      <c r="E209" s="55" t="s">
        <v>579</v>
      </c>
      <c r="F209" s="53" t="s">
        <v>372</v>
      </c>
      <c r="G209" s="53" t="s">
        <v>10</v>
      </c>
      <c r="H209" s="54">
        <v>9136.4500000000007</v>
      </c>
    </row>
    <row r="210" spans="1:8" x14ac:dyDescent="0.3">
      <c r="A210" s="56" t="s">
        <v>392</v>
      </c>
      <c r="B210" s="56" t="s">
        <v>7</v>
      </c>
      <c r="C210" s="53" t="s">
        <v>498</v>
      </c>
      <c r="D210" s="53" t="s">
        <v>499</v>
      </c>
      <c r="E210" s="55" t="s">
        <v>579</v>
      </c>
      <c r="F210" s="53" t="s">
        <v>370</v>
      </c>
      <c r="G210" s="53" t="s">
        <v>63</v>
      </c>
      <c r="H210" s="54">
        <v>12117.85</v>
      </c>
    </row>
    <row r="211" spans="1:8" x14ac:dyDescent="0.3">
      <c r="A211" s="56" t="s">
        <v>392</v>
      </c>
      <c r="B211" s="56" t="s">
        <v>7</v>
      </c>
      <c r="C211" s="53" t="s">
        <v>500</v>
      </c>
      <c r="D211" s="53" t="s">
        <v>501</v>
      </c>
      <c r="E211" s="55" t="s">
        <v>580</v>
      </c>
      <c r="F211" s="53" t="s">
        <v>372</v>
      </c>
      <c r="G211" s="53" t="s">
        <v>10</v>
      </c>
      <c r="H211" s="54">
        <v>3313.46</v>
      </c>
    </row>
    <row r="212" spans="1:8" x14ac:dyDescent="0.3">
      <c r="A212" s="56" t="s">
        <v>390</v>
      </c>
      <c r="B212" s="56" t="s">
        <v>7</v>
      </c>
      <c r="C212" s="53" t="s">
        <v>502</v>
      </c>
      <c r="D212" s="53" t="s">
        <v>503</v>
      </c>
      <c r="E212" s="55" t="s">
        <v>580</v>
      </c>
      <c r="F212" s="53" t="s">
        <v>372</v>
      </c>
      <c r="G212" s="53" t="s">
        <v>10</v>
      </c>
      <c r="H212" s="54">
        <v>76281.19</v>
      </c>
    </row>
    <row r="213" spans="1:8" x14ac:dyDescent="0.3">
      <c r="A213" s="56" t="s">
        <v>392</v>
      </c>
      <c r="B213" s="56" t="s">
        <v>7</v>
      </c>
      <c r="C213" s="53" t="s">
        <v>504</v>
      </c>
      <c r="D213" s="53" t="s">
        <v>505</v>
      </c>
      <c r="E213" s="55" t="s">
        <v>581</v>
      </c>
      <c r="F213" s="53" t="s">
        <v>370</v>
      </c>
      <c r="G213" s="53" t="s">
        <v>63</v>
      </c>
      <c r="H213" s="54">
        <v>4834.1000000000004</v>
      </c>
    </row>
    <row r="214" spans="1:8" x14ac:dyDescent="0.3">
      <c r="A214" s="56" t="s">
        <v>392</v>
      </c>
      <c r="B214" s="56" t="s">
        <v>7</v>
      </c>
      <c r="C214" s="53" t="s">
        <v>506</v>
      </c>
      <c r="D214" s="53" t="s">
        <v>507</v>
      </c>
      <c r="E214" s="55" t="s">
        <v>581</v>
      </c>
      <c r="F214" s="53" t="s">
        <v>370</v>
      </c>
      <c r="G214" s="53" t="s">
        <v>63</v>
      </c>
      <c r="H214" s="54">
        <v>7356</v>
      </c>
    </row>
    <row r="215" spans="1:8" x14ac:dyDescent="0.3">
      <c r="A215" s="56" t="s">
        <v>392</v>
      </c>
      <c r="B215" s="56" t="s">
        <v>7</v>
      </c>
      <c r="C215" s="53" t="s">
        <v>508</v>
      </c>
      <c r="D215" s="53" t="s">
        <v>509</v>
      </c>
      <c r="E215" s="55" t="s">
        <v>581</v>
      </c>
      <c r="F215" s="53" t="s">
        <v>368</v>
      </c>
      <c r="G215" s="53" t="s">
        <v>588</v>
      </c>
      <c r="H215" s="54">
        <v>8685.08</v>
      </c>
    </row>
    <row r="216" spans="1:8" x14ac:dyDescent="0.3">
      <c r="A216" s="56" t="s">
        <v>392</v>
      </c>
      <c r="B216" s="56" t="s">
        <v>7</v>
      </c>
      <c r="C216" s="53" t="s">
        <v>510</v>
      </c>
      <c r="D216" s="53" t="s">
        <v>511</v>
      </c>
      <c r="E216" s="55" t="s">
        <v>581</v>
      </c>
      <c r="F216" s="53" t="s">
        <v>368</v>
      </c>
      <c r="G216" s="53" t="s">
        <v>588</v>
      </c>
      <c r="H216" s="54">
        <v>2390.81</v>
      </c>
    </row>
    <row r="217" spans="1:8" x14ac:dyDescent="0.3">
      <c r="A217" s="56" t="s">
        <v>392</v>
      </c>
      <c r="B217" s="56" t="s">
        <v>7</v>
      </c>
      <c r="C217" s="53" t="s">
        <v>512</v>
      </c>
      <c r="D217" s="53" t="s">
        <v>513</v>
      </c>
      <c r="E217" s="55" t="s">
        <v>581</v>
      </c>
      <c r="F217" s="53" t="s">
        <v>370</v>
      </c>
      <c r="G217" s="53" t="s">
        <v>63</v>
      </c>
      <c r="H217" s="54">
        <v>4963.21</v>
      </c>
    </row>
    <row r="218" spans="1:8" x14ac:dyDescent="0.3">
      <c r="A218" s="56" t="s">
        <v>392</v>
      </c>
      <c r="B218" s="56" t="s">
        <v>7</v>
      </c>
      <c r="C218" s="53" t="s">
        <v>514</v>
      </c>
      <c r="D218" s="53" t="s">
        <v>515</v>
      </c>
      <c r="E218" s="55" t="s">
        <v>581</v>
      </c>
      <c r="F218" s="53" t="s">
        <v>368</v>
      </c>
      <c r="G218" s="53" t="s">
        <v>588</v>
      </c>
      <c r="H218" s="54">
        <v>9835.92</v>
      </c>
    </row>
    <row r="219" spans="1:8" x14ac:dyDescent="0.3">
      <c r="A219" s="56" t="s">
        <v>390</v>
      </c>
      <c r="B219" s="56" t="s">
        <v>7</v>
      </c>
      <c r="C219" s="53" t="s">
        <v>516</v>
      </c>
      <c r="D219" s="53" t="s">
        <v>517</v>
      </c>
      <c r="E219" s="55" t="s">
        <v>581</v>
      </c>
      <c r="F219" s="53" t="s">
        <v>587</v>
      </c>
      <c r="G219" s="53" t="s">
        <v>11</v>
      </c>
      <c r="H219" s="54">
        <v>25100</v>
      </c>
    </row>
    <row r="220" spans="1:8" x14ac:dyDescent="0.3">
      <c r="A220" s="56" t="s">
        <v>392</v>
      </c>
      <c r="B220" s="56" t="s">
        <v>7</v>
      </c>
      <c r="C220" s="53" t="s">
        <v>518</v>
      </c>
      <c r="D220" s="53" t="s">
        <v>519</v>
      </c>
      <c r="E220" s="55" t="s">
        <v>581</v>
      </c>
      <c r="F220" s="53" t="s">
        <v>370</v>
      </c>
      <c r="G220" s="53" t="s">
        <v>63</v>
      </c>
      <c r="H220" s="54">
        <v>6631.6</v>
      </c>
    </row>
    <row r="221" spans="1:8" x14ac:dyDescent="0.3">
      <c r="A221" s="56" t="s">
        <v>392</v>
      </c>
      <c r="B221" s="56" t="s">
        <v>7</v>
      </c>
      <c r="C221" s="53" t="s">
        <v>520</v>
      </c>
      <c r="D221" s="53" t="s">
        <v>521</v>
      </c>
      <c r="E221" s="55" t="s">
        <v>581</v>
      </c>
      <c r="F221" s="53" t="s">
        <v>368</v>
      </c>
      <c r="G221" s="53" t="s">
        <v>588</v>
      </c>
      <c r="H221" s="54">
        <v>3351.8</v>
      </c>
    </row>
    <row r="222" spans="1:8" x14ac:dyDescent="0.3">
      <c r="A222" s="56" t="s">
        <v>392</v>
      </c>
      <c r="B222" s="56" t="s">
        <v>7</v>
      </c>
      <c r="C222" s="53" t="s">
        <v>522</v>
      </c>
      <c r="D222" s="53" t="s">
        <v>523</v>
      </c>
      <c r="E222" s="55" t="s">
        <v>581</v>
      </c>
      <c r="F222" s="53" t="s">
        <v>370</v>
      </c>
      <c r="G222" s="53" t="s">
        <v>63</v>
      </c>
      <c r="H222" s="54">
        <v>12706.92</v>
      </c>
    </row>
    <row r="223" spans="1:8" x14ac:dyDescent="0.3">
      <c r="A223" s="56" t="s">
        <v>392</v>
      </c>
      <c r="B223" s="56" t="s">
        <v>7</v>
      </c>
      <c r="C223" s="53" t="s">
        <v>524</v>
      </c>
      <c r="D223" s="53" t="s">
        <v>525</v>
      </c>
      <c r="E223" s="55" t="s">
        <v>581</v>
      </c>
      <c r="F223" s="53" t="s">
        <v>370</v>
      </c>
      <c r="G223" s="53" t="s">
        <v>63</v>
      </c>
      <c r="H223" s="54">
        <v>7548</v>
      </c>
    </row>
    <row r="224" spans="1:8" x14ac:dyDescent="0.3">
      <c r="A224" s="56" t="s">
        <v>392</v>
      </c>
      <c r="B224" s="56" t="s">
        <v>7</v>
      </c>
      <c r="C224" s="53" t="s">
        <v>526</v>
      </c>
      <c r="D224" s="53" t="s">
        <v>527</v>
      </c>
      <c r="E224" s="55" t="s">
        <v>581</v>
      </c>
      <c r="F224" s="53" t="s">
        <v>368</v>
      </c>
      <c r="G224" s="53" t="s">
        <v>588</v>
      </c>
      <c r="H224" s="54">
        <v>3297.66</v>
      </c>
    </row>
    <row r="225" spans="1:8" x14ac:dyDescent="0.3">
      <c r="A225" s="56" t="s">
        <v>392</v>
      </c>
      <c r="B225" s="56" t="s">
        <v>7</v>
      </c>
      <c r="C225" s="53" t="s">
        <v>528</v>
      </c>
      <c r="D225" s="53" t="s">
        <v>529</v>
      </c>
      <c r="E225" s="55" t="s">
        <v>582</v>
      </c>
      <c r="F225" s="53" t="s">
        <v>370</v>
      </c>
      <c r="G225" s="53" t="s">
        <v>63</v>
      </c>
      <c r="H225" s="54">
        <v>7356</v>
      </c>
    </row>
    <row r="226" spans="1:8" x14ac:dyDescent="0.3">
      <c r="A226" s="56" t="s">
        <v>392</v>
      </c>
      <c r="B226" s="56" t="s">
        <v>7</v>
      </c>
      <c r="C226" s="53" t="s">
        <v>530</v>
      </c>
      <c r="D226" s="53" t="s">
        <v>531</v>
      </c>
      <c r="E226" s="55" t="s">
        <v>582</v>
      </c>
      <c r="F226" s="53" t="s">
        <v>370</v>
      </c>
      <c r="G226" s="53" t="s">
        <v>63</v>
      </c>
      <c r="H226" s="54">
        <v>3333.86</v>
      </c>
    </row>
    <row r="227" spans="1:8" x14ac:dyDescent="0.3">
      <c r="A227" s="56" t="s">
        <v>392</v>
      </c>
      <c r="B227" s="56" t="s">
        <v>7</v>
      </c>
      <c r="C227" s="53" t="s">
        <v>532</v>
      </c>
      <c r="D227" s="53" t="s">
        <v>533</v>
      </c>
      <c r="E227" s="55" t="s">
        <v>582</v>
      </c>
      <c r="F227" s="53" t="s">
        <v>368</v>
      </c>
      <c r="G227" s="53" t="s">
        <v>588</v>
      </c>
      <c r="H227" s="54">
        <v>3398.96</v>
      </c>
    </row>
    <row r="228" spans="1:8" x14ac:dyDescent="0.3">
      <c r="A228" s="56" t="s">
        <v>392</v>
      </c>
      <c r="B228" s="56" t="s">
        <v>7</v>
      </c>
      <c r="C228" s="53" t="s">
        <v>534</v>
      </c>
      <c r="D228" s="53" t="s">
        <v>535</v>
      </c>
      <c r="E228" s="55" t="s">
        <v>582</v>
      </c>
      <c r="F228" s="53" t="s">
        <v>368</v>
      </c>
      <c r="G228" s="53" t="s">
        <v>588</v>
      </c>
      <c r="H228" s="54">
        <v>3278.64</v>
      </c>
    </row>
    <row r="229" spans="1:8" x14ac:dyDescent="0.3">
      <c r="A229" s="56" t="s">
        <v>390</v>
      </c>
      <c r="B229" s="56" t="s">
        <v>7</v>
      </c>
      <c r="C229" s="53" t="s">
        <v>536</v>
      </c>
      <c r="D229" s="53" t="s">
        <v>537</v>
      </c>
      <c r="E229" s="55" t="s">
        <v>582</v>
      </c>
      <c r="F229" s="53" t="s">
        <v>378</v>
      </c>
      <c r="G229" s="53" t="s">
        <v>67</v>
      </c>
      <c r="H229" s="54">
        <v>43247.05</v>
      </c>
    </row>
    <row r="230" spans="1:8" x14ac:dyDescent="0.3">
      <c r="A230" s="56" t="s">
        <v>392</v>
      </c>
      <c r="B230" s="56" t="s">
        <v>7</v>
      </c>
      <c r="C230" s="53" t="s">
        <v>538</v>
      </c>
      <c r="D230" s="53" t="s">
        <v>539</v>
      </c>
      <c r="E230" s="55" t="s">
        <v>582</v>
      </c>
      <c r="F230" s="53" t="s">
        <v>370</v>
      </c>
      <c r="G230" s="53" t="s">
        <v>63</v>
      </c>
      <c r="H230" s="54">
        <v>12180</v>
      </c>
    </row>
    <row r="231" spans="1:8" x14ac:dyDescent="0.3">
      <c r="A231" s="56" t="s">
        <v>392</v>
      </c>
      <c r="B231" s="56" t="s">
        <v>7</v>
      </c>
      <c r="C231" s="53" t="s">
        <v>540</v>
      </c>
      <c r="D231" s="53" t="s">
        <v>541</v>
      </c>
      <c r="E231" s="55" t="s">
        <v>582</v>
      </c>
      <c r="F231" s="53" t="s">
        <v>368</v>
      </c>
      <c r="G231" s="53" t="s">
        <v>588</v>
      </c>
      <c r="H231" s="54">
        <v>3398.96</v>
      </c>
    </row>
    <row r="232" spans="1:8" x14ac:dyDescent="0.3">
      <c r="A232" s="56" t="s">
        <v>390</v>
      </c>
      <c r="B232" s="56" t="s">
        <v>7</v>
      </c>
      <c r="C232" s="53" t="s">
        <v>542</v>
      </c>
      <c r="D232" s="53" t="s">
        <v>543</v>
      </c>
      <c r="E232" s="55" t="s">
        <v>582</v>
      </c>
      <c r="F232" s="53" t="s">
        <v>378</v>
      </c>
      <c r="G232" s="53" t="s">
        <v>67</v>
      </c>
      <c r="H232" s="54">
        <v>55051.199999999997</v>
      </c>
    </row>
    <row r="233" spans="1:8" x14ac:dyDescent="0.3">
      <c r="A233" s="56" t="s">
        <v>392</v>
      </c>
      <c r="B233" s="56" t="s">
        <v>7</v>
      </c>
      <c r="C233" s="53" t="s">
        <v>544</v>
      </c>
      <c r="D233" s="53" t="s">
        <v>545</v>
      </c>
      <c r="E233" s="55" t="s">
        <v>582</v>
      </c>
      <c r="F233" s="53" t="s">
        <v>370</v>
      </c>
      <c r="G233" s="53" t="s">
        <v>63</v>
      </c>
      <c r="H233" s="54">
        <v>7392.4</v>
      </c>
    </row>
    <row r="234" spans="1:8" x14ac:dyDescent="0.3">
      <c r="A234" s="56" t="s">
        <v>392</v>
      </c>
      <c r="B234" s="56" t="s">
        <v>7</v>
      </c>
      <c r="C234" s="53" t="s">
        <v>546</v>
      </c>
      <c r="D234" s="53" t="s">
        <v>475</v>
      </c>
      <c r="E234" s="55" t="s">
        <v>583</v>
      </c>
      <c r="F234" s="53" t="s">
        <v>368</v>
      </c>
      <c r="G234" s="53" t="s">
        <v>588</v>
      </c>
      <c r="H234" s="54">
        <v>643</v>
      </c>
    </row>
    <row r="235" spans="1:8" x14ac:dyDescent="0.3">
      <c r="A235" s="56" t="s">
        <v>392</v>
      </c>
      <c r="B235" s="56" t="s">
        <v>7</v>
      </c>
      <c r="C235" s="53" t="s">
        <v>547</v>
      </c>
      <c r="D235" s="53" t="s">
        <v>402</v>
      </c>
      <c r="E235" s="55" t="s">
        <v>583</v>
      </c>
      <c r="F235" s="53" t="s">
        <v>370</v>
      </c>
      <c r="G235" s="53" t="s">
        <v>63</v>
      </c>
      <c r="H235" s="54">
        <v>2350</v>
      </c>
    </row>
    <row r="236" spans="1:8" x14ac:dyDescent="0.3">
      <c r="A236" s="56" t="s">
        <v>392</v>
      </c>
      <c r="B236" s="56" t="s">
        <v>7</v>
      </c>
      <c r="C236" s="53" t="s">
        <v>548</v>
      </c>
      <c r="D236" s="53" t="s">
        <v>489</v>
      </c>
      <c r="E236" s="55" t="s">
        <v>583</v>
      </c>
      <c r="F236" s="53" t="s">
        <v>368</v>
      </c>
      <c r="G236" s="53" t="s">
        <v>588</v>
      </c>
      <c r="H236" s="54">
        <v>1130</v>
      </c>
    </row>
    <row r="237" spans="1:8" x14ac:dyDescent="0.3">
      <c r="A237" s="56" t="s">
        <v>392</v>
      </c>
      <c r="B237" s="56" t="s">
        <v>7</v>
      </c>
      <c r="C237" s="53" t="s">
        <v>549</v>
      </c>
      <c r="D237" s="53" t="s">
        <v>400</v>
      </c>
      <c r="E237" s="55" t="s">
        <v>583</v>
      </c>
      <c r="F237" s="53" t="s">
        <v>370</v>
      </c>
      <c r="G237" s="53" t="s">
        <v>63</v>
      </c>
      <c r="H237" s="54">
        <v>1400</v>
      </c>
    </row>
    <row r="238" spans="1:8" x14ac:dyDescent="0.3">
      <c r="A238" s="56" t="s">
        <v>390</v>
      </c>
      <c r="B238" s="56" t="s">
        <v>7</v>
      </c>
      <c r="C238" s="53" t="s">
        <v>550</v>
      </c>
      <c r="D238" s="53" t="s">
        <v>551</v>
      </c>
      <c r="E238" s="55" t="s">
        <v>583</v>
      </c>
      <c r="F238" s="53" t="s">
        <v>375</v>
      </c>
      <c r="G238" s="53" t="s">
        <v>62</v>
      </c>
      <c r="H238" s="54">
        <v>102059.83</v>
      </c>
    </row>
    <row r="239" spans="1:8" x14ac:dyDescent="0.3">
      <c r="A239" s="56" t="s">
        <v>390</v>
      </c>
      <c r="B239" s="56" t="s">
        <v>7</v>
      </c>
      <c r="C239" s="53" t="s">
        <v>552</v>
      </c>
      <c r="D239" s="53" t="s">
        <v>553</v>
      </c>
      <c r="E239" s="55" t="s">
        <v>583</v>
      </c>
      <c r="F239" s="53" t="s">
        <v>375</v>
      </c>
      <c r="G239" s="53" t="s">
        <v>62</v>
      </c>
      <c r="H239" s="54">
        <v>114269.5</v>
      </c>
    </row>
    <row r="240" spans="1:8" x14ac:dyDescent="0.3">
      <c r="A240" s="56" t="s">
        <v>390</v>
      </c>
      <c r="B240" s="56" t="s">
        <v>7</v>
      </c>
      <c r="C240" s="53" t="s">
        <v>554</v>
      </c>
      <c r="D240" s="53" t="s">
        <v>555</v>
      </c>
      <c r="E240" s="55" t="s">
        <v>583</v>
      </c>
      <c r="F240" s="53" t="s">
        <v>375</v>
      </c>
      <c r="G240" s="53" t="s">
        <v>62</v>
      </c>
      <c r="H240" s="54">
        <v>86488.72</v>
      </c>
    </row>
    <row r="241" spans="1:8" x14ac:dyDescent="0.3">
      <c r="A241" s="56" t="s">
        <v>392</v>
      </c>
      <c r="B241" s="56" t="s">
        <v>7</v>
      </c>
      <c r="C241" s="53" t="s">
        <v>556</v>
      </c>
      <c r="D241" s="53" t="s">
        <v>442</v>
      </c>
      <c r="E241" s="55" t="s">
        <v>583</v>
      </c>
      <c r="F241" s="53" t="s">
        <v>370</v>
      </c>
      <c r="G241" s="53" t="s">
        <v>63</v>
      </c>
      <c r="H241" s="54">
        <v>3100</v>
      </c>
    </row>
    <row r="242" spans="1:8" x14ac:dyDescent="0.3">
      <c r="A242" s="56" t="s">
        <v>390</v>
      </c>
      <c r="B242" s="56" t="s">
        <v>7</v>
      </c>
      <c r="C242" s="53" t="s">
        <v>557</v>
      </c>
      <c r="D242" s="53" t="s">
        <v>558</v>
      </c>
      <c r="E242" s="55" t="s">
        <v>583</v>
      </c>
      <c r="F242" s="53" t="s">
        <v>375</v>
      </c>
      <c r="G242" s="53" t="s">
        <v>62</v>
      </c>
      <c r="H242" s="54">
        <v>108394.56</v>
      </c>
    </row>
    <row r="243" spans="1:8" x14ac:dyDescent="0.3">
      <c r="A243" s="56" t="s">
        <v>392</v>
      </c>
      <c r="B243" s="56" t="s">
        <v>7</v>
      </c>
      <c r="C243" s="53" t="s">
        <v>559</v>
      </c>
      <c r="D243" s="53" t="s">
        <v>361</v>
      </c>
      <c r="E243" s="55" t="s">
        <v>583</v>
      </c>
      <c r="F243" s="53" t="s">
        <v>369</v>
      </c>
      <c r="G243" s="53" t="s">
        <v>68</v>
      </c>
      <c r="H243" s="54">
        <v>3300</v>
      </c>
    </row>
    <row r="244" spans="1:8" x14ac:dyDescent="0.3">
      <c r="A244" s="56" t="s">
        <v>390</v>
      </c>
      <c r="B244" s="56" t="s">
        <v>7</v>
      </c>
      <c r="C244" s="53" t="s">
        <v>560</v>
      </c>
      <c r="D244" s="53" t="s">
        <v>561</v>
      </c>
      <c r="E244" s="55" t="s">
        <v>583</v>
      </c>
      <c r="F244" s="53" t="s">
        <v>375</v>
      </c>
      <c r="G244" s="53" t="s">
        <v>62</v>
      </c>
      <c r="H244" s="54">
        <v>97109.65</v>
      </c>
    </row>
    <row r="245" spans="1:8" x14ac:dyDescent="0.3">
      <c r="A245" s="56" t="s">
        <v>390</v>
      </c>
      <c r="B245" s="56" t="s">
        <v>7</v>
      </c>
      <c r="C245" s="53" t="s">
        <v>562</v>
      </c>
      <c r="D245" s="53" t="s">
        <v>563</v>
      </c>
      <c r="E245" s="55" t="s">
        <v>583</v>
      </c>
      <c r="F245" s="53" t="s">
        <v>371</v>
      </c>
      <c r="G245" s="53" t="s">
        <v>365</v>
      </c>
      <c r="H245" s="54">
        <v>25255.68</v>
      </c>
    </row>
    <row r="246" spans="1:8" x14ac:dyDescent="0.3">
      <c r="A246" s="56" t="s">
        <v>390</v>
      </c>
      <c r="B246" s="56" t="s">
        <v>7</v>
      </c>
      <c r="C246" s="53" t="s">
        <v>564</v>
      </c>
      <c r="D246" s="53" t="s">
        <v>565</v>
      </c>
      <c r="E246" s="55" t="s">
        <v>583</v>
      </c>
      <c r="F246" s="53" t="s">
        <v>375</v>
      </c>
      <c r="G246" s="53" t="s">
        <v>62</v>
      </c>
      <c r="H246" s="54">
        <v>106046.13</v>
      </c>
    </row>
    <row r="247" spans="1:8" x14ac:dyDescent="0.3">
      <c r="A247" s="56" t="s">
        <v>392</v>
      </c>
      <c r="B247" s="56" t="s">
        <v>7</v>
      </c>
      <c r="C247" s="53" t="s">
        <v>591</v>
      </c>
      <c r="D247" s="53" t="s">
        <v>607</v>
      </c>
      <c r="E247" s="55" t="s">
        <v>617</v>
      </c>
      <c r="F247" s="53" t="s">
        <v>378</v>
      </c>
      <c r="G247" s="53" t="s">
        <v>67</v>
      </c>
      <c r="H247" s="54">
        <v>3335.6000000000004</v>
      </c>
    </row>
    <row r="248" spans="1:8" x14ac:dyDescent="0.3">
      <c r="A248" s="56" t="s">
        <v>392</v>
      </c>
      <c r="B248" s="56" t="s">
        <v>7</v>
      </c>
      <c r="C248" s="53" t="s">
        <v>591</v>
      </c>
      <c r="D248" s="53" t="s">
        <v>607</v>
      </c>
      <c r="E248" s="55" t="s">
        <v>617</v>
      </c>
      <c r="F248" s="53" t="s">
        <v>378</v>
      </c>
      <c r="G248" s="53" t="s">
        <v>67</v>
      </c>
      <c r="H248" s="54">
        <v>142596.9</v>
      </c>
    </row>
    <row r="249" spans="1:8" x14ac:dyDescent="0.3">
      <c r="A249" s="56" t="s">
        <v>392</v>
      </c>
      <c r="B249" s="56" t="s">
        <v>7</v>
      </c>
      <c r="C249" s="53" t="s">
        <v>592</v>
      </c>
      <c r="D249" s="53" t="s">
        <v>608</v>
      </c>
      <c r="E249" s="55" t="s">
        <v>568</v>
      </c>
      <c r="F249" s="53" t="s">
        <v>371</v>
      </c>
      <c r="G249" s="53" t="s">
        <v>365</v>
      </c>
      <c r="H249" s="54">
        <v>28008.86</v>
      </c>
    </row>
    <row r="250" spans="1:8" x14ac:dyDescent="0.3">
      <c r="A250" s="56" t="s">
        <v>390</v>
      </c>
      <c r="B250" s="56" t="s">
        <v>7</v>
      </c>
      <c r="C250" s="53" t="s">
        <v>593</v>
      </c>
      <c r="D250" s="53" t="s">
        <v>426</v>
      </c>
      <c r="E250" s="55" t="s">
        <v>570</v>
      </c>
      <c r="F250" s="53" t="s">
        <v>371</v>
      </c>
      <c r="G250" s="53" t="s">
        <v>365</v>
      </c>
      <c r="H250" s="54">
        <v>4083.9249999999997</v>
      </c>
    </row>
    <row r="251" spans="1:8" x14ac:dyDescent="0.3">
      <c r="A251" s="56" t="s">
        <v>392</v>
      </c>
      <c r="B251" s="56" t="s">
        <v>7</v>
      </c>
      <c r="C251" s="53" t="s">
        <v>594</v>
      </c>
      <c r="D251" s="53" t="s">
        <v>609</v>
      </c>
      <c r="E251" s="55" t="s">
        <v>572</v>
      </c>
      <c r="F251" s="53" t="s">
        <v>378</v>
      </c>
      <c r="G251" s="53" t="s">
        <v>67</v>
      </c>
      <c r="H251" s="54">
        <v>3688.4700000000003</v>
      </c>
    </row>
    <row r="252" spans="1:8" x14ac:dyDescent="0.3">
      <c r="A252" s="56" t="s">
        <v>392</v>
      </c>
      <c r="B252" s="56" t="s">
        <v>7</v>
      </c>
      <c r="C252" s="53" t="s">
        <v>594</v>
      </c>
      <c r="D252" s="53" t="s">
        <v>609</v>
      </c>
      <c r="E252" s="55" t="s">
        <v>572</v>
      </c>
      <c r="F252" s="53" t="s">
        <v>378</v>
      </c>
      <c r="G252" s="53" t="s">
        <v>67</v>
      </c>
      <c r="H252" s="54">
        <v>195079.08000000002</v>
      </c>
    </row>
    <row r="253" spans="1:8" x14ac:dyDescent="0.3">
      <c r="A253" s="56" t="s">
        <v>391</v>
      </c>
      <c r="B253" s="56" t="s">
        <v>7</v>
      </c>
      <c r="C253" s="53" t="s">
        <v>595</v>
      </c>
      <c r="D253" s="53" t="s">
        <v>610</v>
      </c>
      <c r="E253" s="55" t="s">
        <v>618</v>
      </c>
      <c r="F253" s="53" t="s">
        <v>380</v>
      </c>
      <c r="G253" s="53" t="s">
        <v>381</v>
      </c>
      <c r="H253" s="54">
        <v>41047.587944999999</v>
      </c>
    </row>
    <row r="254" spans="1:8" x14ac:dyDescent="0.3">
      <c r="A254" s="56" t="s">
        <v>392</v>
      </c>
      <c r="B254" s="56" t="s">
        <v>7</v>
      </c>
      <c r="C254" s="53" t="s">
        <v>596</v>
      </c>
      <c r="D254" s="53" t="s">
        <v>611</v>
      </c>
      <c r="E254" s="55" t="s">
        <v>578</v>
      </c>
      <c r="F254" s="53" t="s">
        <v>378</v>
      </c>
      <c r="G254" s="53" t="s">
        <v>67</v>
      </c>
      <c r="H254" s="54">
        <v>206888.24</v>
      </c>
    </row>
    <row r="255" spans="1:8" x14ac:dyDescent="0.3">
      <c r="A255" s="56" t="s">
        <v>392</v>
      </c>
      <c r="B255" s="56" t="s">
        <v>7</v>
      </c>
      <c r="C255" s="53" t="s">
        <v>597</v>
      </c>
      <c r="D255" s="53" t="s">
        <v>612</v>
      </c>
      <c r="E255" s="55" t="s">
        <v>578</v>
      </c>
      <c r="F255" s="53" t="s">
        <v>378</v>
      </c>
      <c r="G255" s="53" t="s">
        <v>67</v>
      </c>
      <c r="H255" s="54">
        <v>4222.2496000000001</v>
      </c>
    </row>
    <row r="256" spans="1:8" x14ac:dyDescent="0.3">
      <c r="A256" s="56" t="s">
        <v>390</v>
      </c>
      <c r="B256" s="56" t="s">
        <v>7</v>
      </c>
      <c r="C256" s="53" t="s">
        <v>598</v>
      </c>
      <c r="D256" s="53" t="s">
        <v>613</v>
      </c>
      <c r="E256" s="55" t="s">
        <v>578</v>
      </c>
      <c r="F256" s="53" t="s">
        <v>619</v>
      </c>
      <c r="G256" s="53" t="s">
        <v>16</v>
      </c>
      <c r="H256" s="54">
        <v>54217.799999999996</v>
      </c>
    </row>
    <row r="257" spans="1:8" x14ac:dyDescent="0.3">
      <c r="A257" s="56" t="s">
        <v>390</v>
      </c>
      <c r="B257" s="56" t="s">
        <v>7</v>
      </c>
      <c r="C257" s="53" t="s">
        <v>599</v>
      </c>
      <c r="D257" s="53" t="s">
        <v>613</v>
      </c>
      <c r="E257" s="55" t="s">
        <v>578</v>
      </c>
      <c r="F257" s="53" t="s">
        <v>619</v>
      </c>
      <c r="G257" s="53" t="s">
        <v>16</v>
      </c>
      <c r="H257" s="54">
        <v>5208.3512000000001</v>
      </c>
    </row>
    <row r="258" spans="1:8" x14ac:dyDescent="0.3">
      <c r="A258" s="56" t="s">
        <v>390</v>
      </c>
      <c r="B258" s="56" t="s">
        <v>7</v>
      </c>
      <c r="C258" s="53" t="s">
        <v>600</v>
      </c>
      <c r="D258" s="53" t="s">
        <v>537</v>
      </c>
      <c r="E258" s="55" t="s">
        <v>578</v>
      </c>
      <c r="F258" s="53" t="s">
        <v>378</v>
      </c>
      <c r="G258" s="53" t="s">
        <v>67</v>
      </c>
      <c r="H258" s="54">
        <v>14765.14208</v>
      </c>
    </row>
    <row r="259" spans="1:8" x14ac:dyDescent="0.3">
      <c r="A259" s="56" t="s">
        <v>392</v>
      </c>
      <c r="B259" s="56" t="s">
        <v>7</v>
      </c>
      <c r="C259" s="53" t="s">
        <v>601</v>
      </c>
      <c r="D259" s="53" t="s">
        <v>611</v>
      </c>
      <c r="E259" s="55" t="s">
        <v>578</v>
      </c>
      <c r="F259" s="53" t="s">
        <v>378</v>
      </c>
      <c r="G259" s="53" t="s">
        <v>67</v>
      </c>
      <c r="H259" s="54">
        <v>3405.0400000000004</v>
      </c>
    </row>
    <row r="260" spans="1:8" x14ac:dyDescent="0.3">
      <c r="A260" s="56" t="s">
        <v>392</v>
      </c>
      <c r="B260" s="56" t="s">
        <v>7</v>
      </c>
      <c r="C260" s="53" t="s">
        <v>602</v>
      </c>
      <c r="D260" s="53" t="s">
        <v>612</v>
      </c>
      <c r="E260" s="55" t="s">
        <v>578</v>
      </c>
      <c r="F260" s="53" t="s">
        <v>378</v>
      </c>
      <c r="G260" s="53" t="s">
        <v>67</v>
      </c>
      <c r="H260" s="54">
        <v>196561.04</v>
      </c>
    </row>
    <row r="261" spans="1:8" x14ac:dyDescent="0.3">
      <c r="A261" s="56" t="s">
        <v>390</v>
      </c>
      <c r="B261" s="56" t="s">
        <v>7</v>
      </c>
      <c r="C261" s="53" t="s">
        <v>603</v>
      </c>
      <c r="D261" s="53" t="s">
        <v>614</v>
      </c>
      <c r="E261" s="55" t="s">
        <v>579</v>
      </c>
      <c r="F261" s="53" t="s">
        <v>620</v>
      </c>
      <c r="G261" s="53" t="s">
        <v>622</v>
      </c>
      <c r="H261" s="54">
        <v>53941.545000000006</v>
      </c>
    </row>
    <row r="262" spans="1:8" x14ac:dyDescent="0.3">
      <c r="A262" s="56" t="s">
        <v>390</v>
      </c>
      <c r="B262" s="56" t="s">
        <v>7</v>
      </c>
      <c r="C262" s="53" t="s">
        <v>604</v>
      </c>
      <c r="D262" s="53" t="s">
        <v>615</v>
      </c>
      <c r="E262" s="55" t="s">
        <v>580</v>
      </c>
      <c r="F262" s="53" t="s">
        <v>372</v>
      </c>
      <c r="G262" s="53" t="s">
        <v>10</v>
      </c>
      <c r="H262" s="54">
        <v>108071.45730000001</v>
      </c>
    </row>
    <row r="263" spans="1:8" x14ac:dyDescent="0.3">
      <c r="A263" s="56" t="s">
        <v>390</v>
      </c>
      <c r="B263" s="56" t="s">
        <v>7</v>
      </c>
      <c r="C263" s="53" t="s">
        <v>605</v>
      </c>
      <c r="D263" s="53" t="s">
        <v>616</v>
      </c>
      <c r="E263" s="55" t="s">
        <v>583</v>
      </c>
      <c r="F263" s="53" t="s">
        <v>621</v>
      </c>
      <c r="G263" s="53" t="s">
        <v>69</v>
      </c>
      <c r="H263" s="54">
        <v>3961.8218879999999</v>
      </c>
    </row>
    <row r="264" spans="1:8" x14ac:dyDescent="0.3">
      <c r="A264" s="56" t="s">
        <v>390</v>
      </c>
      <c r="B264" s="56" t="s">
        <v>7</v>
      </c>
      <c r="C264" s="53" t="s">
        <v>606</v>
      </c>
      <c r="D264" s="53" t="s">
        <v>616</v>
      </c>
      <c r="E264" s="55" t="s">
        <v>583</v>
      </c>
      <c r="F264" s="53" t="s">
        <v>621</v>
      </c>
      <c r="G264" s="53" t="s">
        <v>69</v>
      </c>
      <c r="H264" s="54">
        <v>117492.36220800001</v>
      </c>
    </row>
    <row r="265" spans="1:8" x14ac:dyDescent="0.3">
      <c r="A265" s="62" t="s">
        <v>390</v>
      </c>
      <c r="B265" s="62" t="s">
        <v>8</v>
      </c>
      <c r="C265" s="53" t="s">
        <v>623</v>
      </c>
      <c r="D265" s="53" t="s">
        <v>710</v>
      </c>
      <c r="E265" s="55" t="s">
        <v>792</v>
      </c>
      <c r="F265" s="53" t="s">
        <v>811</v>
      </c>
      <c r="G265" s="53" t="s">
        <v>813</v>
      </c>
      <c r="H265" s="54">
        <v>67705.490000000005</v>
      </c>
    </row>
    <row r="266" spans="1:8" x14ac:dyDescent="0.3">
      <c r="A266" s="62" t="s">
        <v>392</v>
      </c>
      <c r="B266" s="62" t="s">
        <v>8</v>
      </c>
      <c r="C266" s="53" t="s">
        <v>624</v>
      </c>
      <c r="D266" s="53" t="s">
        <v>711</v>
      </c>
      <c r="E266" s="55" t="s">
        <v>793</v>
      </c>
      <c r="F266" s="53" t="s">
        <v>370</v>
      </c>
      <c r="G266" s="53" t="s">
        <v>814</v>
      </c>
      <c r="H266" s="54">
        <v>2966.34</v>
      </c>
    </row>
    <row r="267" spans="1:8" x14ac:dyDescent="0.3">
      <c r="A267" s="62" t="s">
        <v>392</v>
      </c>
      <c r="B267" s="62" t="s">
        <v>8</v>
      </c>
      <c r="C267" s="53" t="s">
        <v>625</v>
      </c>
      <c r="D267" s="53" t="s">
        <v>339</v>
      </c>
      <c r="E267" s="55" t="s">
        <v>793</v>
      </c>
      <c r="F267" s="53" t="s">
        <v>372</v>
      </c>
      <c r="G267" s="53" t="s">
        <v>10</v>
      </c>
      <c r="H267" s="54">
        <v>2000</v>
      </c>
    </row>
    <row r="268" spans="1:8" x14ac:dyDescent="0.3">
      <c r="A268" s="62" t="s">
        <v>392</v>
      </c>
      <c r="B268" s="62" t="s">
        <v>8</v>
      </c>
      <c r="C268" s="53" t="s">
        <v>626</v>
      </c>
      <c r="D268" s="53" t="s">
        <v>473</v>
      </c>
      <c r="E268" s="55" t="s">
        <v>793</v>
      </c>
      <c r="F268" s="53" t="s">
        <v>372</v>
      </c>
      <c r="G268" s="53" t="s">
        <v>10</v>
      </c>
      <c r="H268" s="54">
        <v>750</v>
      </c>
    </row>
    <row r="269" spans="1:8" x14ac:dyDescent="0.3">
      <c r="A269" s="62" t="s">
        <v>392</v>
      </c>
      <c r="B269" s="62" t="s">
        <v>8</v>
      </c>
      <c r="C269" s="53" t="s">
        <v>627</v>
      </c>
      <c r="D269" s="53" t="s">
        <v>712</v>
      </c>
      <c r="E269" s="55" t="s">
        <v>793</v>
      </c>
      <c r="F269" s="53" t="s">
        <v>370</v>
      </c>
      <c r="G269" s="53" t="s">
        <v>814</v>
      </c>
      <c r="H269" s="54">
        <v>7546.48</v>
      </c>
    </row>
    <row r="270" spans="1:8" x14ac:dyDescent="0.3">
      <c r="A270" s="62" t="s">
        <v>392</v>
      </c>
      <c r="B270" s="62" t="s">
        <v>8</v>
      </c>
      <c r="C270" s="53" t="s">
        <v>628</v>
      </c>
      <c r="D270" s="63" t="s">
        <v>713</v>
      </c>
      <c r="E270" s="55" t="s">
        <v>793</v>
      </c>
      <c r="F270" s="53" t="s">
        <v>370</v>
      </c>
      <c r="G270" s="53" t="s">
        <v>814</v>
      </c>
      <c r="H270" s="54">
        <v>7546.28</v>
      </c>
    </row>
    <row r="271" spans="1:8" x14ac:dyDescent="0.3">
      <c r="A271" s="56" t="s">
        <v>390</v>
      </c>
      <c r="B271" s="62" t="s">
        <v>8</v>
      </c>
      <c r="C271" s="53" t="s">
        <v>629</v>
      </c>
      <c r="D271" s="53" t="s">
        <v>714</v>
      </c>
      <c r="E271" s="55" t="s">
        <v>794</v>
      </c>
      <c r="F271" s="53" t="s">
        <v>375</v>
      </c>
      <c r="G271" s="53" t="s">
        <v>814</v>
      </c>
      <c r="H271" s="54">
        <v>92757.8</v>
      </c>
    </row>
    <row r="272" spans="1:8" x14ac:dyDescent="0.3">
      <c r="A272" s="56" t="s">
        <v>390</v>
      </c>
      <c r="B272" s="62" t="s">
        <v>8</v>
      </c>
      <c r="C272" s="53" t="s">
        <v>630</v>
      </c>
      <c r="D272" s="53" t="s">
        <v>715</v>
      </c>
      <c r="E272" s="55" t="s">
        <v>794</v>
      </c>
      <c r="F272" s="53" t="s">
        <v>375</v>
      </c>
      <c r="G272" s="53" t="s">
        <v>814</v>
      </c>
      <c r="H272" s="54">
        <v>97120.85</v>
      </c>
    </row>
    <row r="273" spans="1:8" x14ac:dyDescent="0.3">
      <c r="A273" s="56" t="s">
        <v>390</v>
      </c>
      <c r="B273" s="62" t="s">
        <v>8</v>
      </c>
      <c r="C273" s="53" t="s">
        <v>631</v>
      </c>
      <c r="D273" s="53" t="s">
        <v>716</v>
      </c>
      <c r="E273" s="55" t="s">
        <v>794</v>
      </c>
      <c r="F273" s="53" t="s">
        <v>375</v>
      </c>
      <c r="G273" s="53" t="s">
        <v>814</v>
      </c>
      <c r="H273" s="54">
        <v>149731.1</v>
      </c>
    </row>
    <row r="274" spans="1:8" x14ac:dyDescent="0.3">
      <c r="A274" s="56" t="s">
        <v>390</v>
      </c>
      <c r="B274" s="62" t="s">
        <v>8</v>
      </c>
      <c r="C274" s="53" t="s">
        <v>632</v>
      </c>
      <c r="D274" s="53" t="s">
        <v>717</v>
      </c>
      <c r="E274" s="55" t="s">
        <v>794</v>
      </c>
      <c r="F274" s="53" t="s">
        <v>375</v>
      </c>
      <c r="G274" s="53" t="s">
        <v>814</v>
      </c>
      <c r="H274" s="54">
        <v>30560.55</v>
      </c>
    </row>
    <row r="275" spans="1:8" x14ac:dyDescent="0.3">
      <c r="A275" s="62" t="s">
        <v>392</v>
      </c>
      <c r="B275" s="62" t="s">
        <v>8</v>
      </c>
      <c r="C275" s="53" t="s">
        <v>633</v>
      </c>
      <c r="D275" s="53" t="s">
        <v>718</v>
      </c>
      <c r="E275" s="55" t="s">
        <v>794</v>
      </c>
      <c r="F275" s="53" t="s">
        <v>370</v>
      </c>
      <c r="G275" s="53" t="s">
        <v>814</v>
      </c>
      <c r="H275" s="54">
        <v>7354</v>
      </c>
    </row>
    <row r="276" spans="1:8" x14ac:dyDescent="0.3">
      <c r="A276" s="56" t="s">
        <v>390</v>
      </c>
      <c r="B276" s="62" t="s">
        <v>8</v>
      </c>
      <c r="C276" s="53" t="s">
        <v>634</v>
      </c>
      <c r="D276" s="53" t="s">
        <v>719</v>
      </c>
      <c r="E276" s="55" t="s">
        <v>795</v>
      </c>
      <c r="F276" s="53" t="s">
        <v>375</v>
      </c>
      <c r="G276" s="53" t="s">
        <v>814</v>
      </c>
      <c r="H276" s="54">
        <v>114468.34</v>
      </c>
    </row>
    <row r="277" spans="1:8" x14ac:dyDescent="0.3">
      <c r="A277" s="56" t="s">
        <v>390</v>
      </c>
      <c r="B277" s="62" t="s">
        <v>8</v>
      </c>
      <c r="C277" s="53" t="s">
        <v>635</v>
      </c>
      <c r="D277" s="53" t="s">
        <v>720</v>
      </c>
      <c r="E277" s="55" t="s">
        <v>795</v>
      </c>
      <c r="F277" s="53" t="s">
        <v>375</v>
      </c>
      <c r="G277" s="53" t="s">
        <v>814</v>
      </c>
      <c r="H277" s="54">
        <v>109484.38</v>
      </c>
    </row>
    <row r="278" spans="1:8" x14ac:dyDescent="0.3">
      <c r="A278" s="62" t="s">
        <v>392</v>
      </c>
      <c r="B278" s="62" t="s">
        <v>8</v>
      </c>
      <c r="C278" s="53" t="s">
        <v>636</v>
      </c>
      <c r="D278" s="63" t="s">
        <v>721</v>
      </c>
      <c r="E278" s="55" t="s">
        <v>796</v>
      </c>
      <c r="F278" s="53" t="s">
        <v>370</v>
      </c>
      <c r="G278" s="53" t="s">
        <v>814</v>
      </c>
      <c r="H278" s="54">
        <v>7369.16</v>
      </c>
    </row>
    <row r="279" spans="1:8" x14ac:dyDescent="0.3">
      <c r="A279" s="62" t="s">
        <v>392</v>
      </c>
      <c r="B279" s="62" t="s">
        <v>8</v>
      </c>
      <c r="C279" s="53" t="s">
        <v>637</v>
      </c>
      <c r="D279" s="63" t="s">
        <v>722</v>
      </c>
      <c r="E279" s="55" t="s">
        <v>796</v>
      </c>
      <c r="F279" s="53" t="s">
        <v>370</v>
      </c>
      <c r="G279" s="53" t="s">
        <v>814</v>
      </c>
      <c r="H279" s="54">
        <v>7476.91</v>
      </c>
    </row>
    <row r="280" spans="1:8" x14ac:dyDescent="0.3">
      <c r="A280" s="62" t="s">
        <v>392</v>
      </c>
      <c r="B280" s="62" t="s">
        <v>8</v>
      </c>
      <c r="C280" s="53" t="s">
        <v>638</v>
      </c>
      <c r="D280" s="63" t="s">
        <v>723</v>
      </c>
      <c r="E280" s="55" t="s">
        <v>796</v>
      </c>
      <c r="F280" s="53" t="s">
        <v>370</v>
      </c>
      <c r="G280" s="53" t="s">
        <v>814</v>
      </c>
      <c r="H280" s="54">
        <v>17284.599999999999</v>
      </c>
    </row>
    <row r="281" spans="1:8" x14ac:dyDescent="0.3">
      <c r="A281" s="62" t="s">
        <v>392</v>
      </c>
      <c r="B281" s="62" t="s">
        <v>8</v>
      </c>
      <c r="C281" s="53" t="s">
        <v>639</v>
      </c>
      <c r="D281" s="63" t="s">
        <v>724</v>
      </c>
      <c r="E281" s="55" t="s">
        <v>797</v>
      </c>
      <c r="F281" s="53" t="s">
        <v>370</v>
      </c>
      <c r="G281" s="53" t="s">
        <v>814</v>
      </c>
      <c r="H281" s="54">
        <v>11387.66</v>
      </c>
    </row>
    <row r="282" spans="1:8" x14ac:dyDescent="0.3">
      <c r="A282" s="62" t="s">
        <v>392</v>
      </c>
      <c r="B282" s="62" t="s">
        <v>8</v>
      </c>
      <c r="C282" s="53" t="s">
        <v>640</v>
      </c>
      <c r="D282" s="63" t="s">
        <v>725</v>
      </c>
      <c r="E282" s="55" t="s">
        <v>797</v>
      </c>
      <c r="F282" s="53" t="s">
        <v>370</v>
      </c>
      <c r="G282" s="53" t="s">
        <v>814</v>
      </c>
      <c r="H282" s="54">
        <v>7452.84</v>
      </c>
    </row>
    <row r="283" spans="1:8" x14ac:dyDescent="0.3">
      <c r="A283" s="56" t="s">
        <v>390</v>
      </c>
      <c r="B283" s="62" t="s">
        <v>8</v>
      </c>
      <c r="C283" s="53" t="s">
        <v>641</v>
      </c>
      <c r="D283" s="63" t="s">
        <v>613</v>
      </c>
      <c r="E283" s="55" t="s">
        <v>798</v>
      </c>
      <c r="F283" s="53" t="s">
        <v>619</v>
      </c>
      <c r="G283" s="53" t="s">
        <v>16</v>
      </c>
      <c r="H283" s="54">
        <v>99669.5</v>
      </c>
    </row>
    <row r="284" spans="1:8" x14ac:dyDescent="0.3">
      <c r="A284" s="56" t="s">
        <v>390</v>
      </c>
      <c r="B284" s="62" t="s">
        <v>8</v>
      </c>
      <c r="C284" s="53" t="s">
        <v>642</v>
      </c>
      <c r="D284" s="63" t="s">
        <v>726</v>
      </c>
      <c r="E284" s="55" t="s">
        <v>798</v>
      </c>
      <c r="F284" s="53" t="s">
        <v>372</v>
      </c>
      <c r="G284" s="53" t="s">
        <v>10</v>
      </c>
      <c r="H284" s="54">
        <v>18620</v>
      </c>
    </row>
    <row r="285" spans="1:8" x14ac:dyDescent="0.3">
      <c r="A285" s="56" t="s">
        <v>390</v>
      </c>
      <c r="B285" s="62" t="s">
        <v>8</v>
      </c>
      <c r="C285" s="53" t="s">
        <v>643</v>
      </c>
      <c r="D285" s="63" t="s">
        <v>388</v>
      </c>
      <c r="E285" s="55" t="s">
        <v>798</v>
      </c>
      <c r="F285" s="53" t="s">
        <v>372</v>
      </c>
      <c r="G285" s="53" t="s">
        <v>10</v>
      </c>
      <c r="H285" s="54">
        <v>113973.97</v>
      </c>
    </row>
    <row r="286" spans="1:8" x14ac:dyDescent="0.3">
      <c r="A286" s="62" t="s">
        <v>392</v>
      </c>
      <c r="B286" s="62" t="s">
        <v>8</v>
      </c>
      <c r="C286" s="53" t="s">
        <v>644</v>
      </c>
      <c r="D286" s="53" t="s">
        <v>727</v>
      </c>
      <c r="E286" s="55" t="s">
        <v>799</v>
      </c>
      <c r="F286" s="53" t="s">
        <v>370</v>
      </c>
      <c r="G286" s="53" t="s">
        <v>814</v>
      </c>
      <c r="H286" s="54">
        <v>2456.1999999999998</v>
      </c>
    </row>
    <row r="287" spans="1:8" x14ac:dyDescent="0.3">
      <c r="A287" s="62" t="s">
        <v>392</v>
      </c>
      <c r="B287" s="62" t="s">
        <v>8</v>
      </c>
      <c r="C287" s="53" t="s">
        <v>645</v>
      </c>
      <c r="D287" s="53" t="s">
        <v>728</v>
      </c>
      <c r="E287" s="55" t="s">
        <v>799</v>
      </c>
      <c r="F287" s="53" t="s">
        <v>370</v>
      </c>
      <c r="G287" s="53" t="s">
        <v>814</v>
      </c>
      <c r="H287" s="54">
        <v>7375.06</v>
      </c>
    </row>
    <row r="288" spans="1:8" x14ac:dyDescent="0.3">
      <c r="A288" s="56" t="s">
        <v>390</v>
      </c>
      <c r="B288" s="62" t="s">
        <v>8</v>
      </c>
      <c r="C288" s="53" t="s">
        <v>646</v>
      </c>
      <c r="D288" s="53" t="s">
        <v>729</v>
      </c>
      <c r="E288" s="55" t="s">
        <v>799</v>
      </c>
      <c r="F288" s="53" t="s">
        <v>371</v>
      </c>
      <c r="G288" s="53" t="s">
        <v>365</v>
      </c>
      <c r="H288" s="54">
        <v>85209.12</v>
      </c>
    </row>
    <row r="289" spans="1:8" x14ac:dyDescent="0.3">
      <c r="A289" s="62" t="s">
        <v>392</v>
      </c>
      <c r="B289" s="62" t="s">
        <v>8</v>
      </c>
      <c r="C289" s="53" t="s">
        <v>647</v>
      </c>
      <c r="D289" s="53" t="s">
        <v>730</v>
      </c>
      <c r="E289" s="55" t="s">
        <v>799</v>
      </c>
      <c r="F289" s="53" t="s">
        <v>370</v>
      </c>
      <c r="G289" s="53" t="s">
        <v>814</v>
      </c>
      <c r="H289" s="54">
        <v>7452.84</v>
      </c>
    </row>
    <row r="290" spans="1:8" x14ac:dyDescent="0.3">
      <c r="A290" s="56" t="s">
        <v>390</v>
      </c>
      <c r="B290" s="62" t="s">
        <v>8</v>
      </c>
      <c r="C290" s="53" t="s">
        <v>648</v>
      </c>
      <c r="D290" s="53" t="s">
        <v>731</v>
      </c>
      <c r="E290" s="55" t="s">
        <v>799</v>
      </c>
      <c r="F290" s="53" t="s">
        <v>371</v>
      </c>
      <c r="G290" s="53" t="s">
        <v>365</v>
      </c>
      <c r="H290" s="54">
        <v>396208.58</v>
      </c>
    </row>
    <row r="291" spans="1:8" x14ac:dyDescent="0.3">
      <c r="A291" s="62" t="s">
        <v>392</v>
      </c>
      <c r="B291" s="62" t="s">
        <v>8</v>
      </c>
      <c r="C291" s="53" t="s">
        <v>649</v>
      </c>
      <c r="D291" s="53" t="s">
        <v>732</v>
      </c>
      <c r="E291" s="55" t="s">
        <v>799</v>
      </c>
      <c r="F291" s="53" t="s">
        <v>370</v>
      </c>
      <c r="G291" s="53" t="s">
        <v>814</v>
      </c>
      <c r="H291" s="54">
        <v>7452.84</v>
      </c>
    </row>
    <row r="292" spans="1:8" x14ac:dyDescent="0.3">
      <c r="A292" s="62" t="s">
        <v>392</v>
      </c>
      <c r="B292" s="62" t="s">
        <v>8</v>
      </c>
      <c r="C292" s="53" t="s">
        <v>650</v>
      </c>
      <c r="D292" s="53" t="s">
        <v>733</v>
      </c>
      <c r="E292" s="55" t="s">
        <v>799</v>
      </c>
      <c r="F292" s="53" t="s">
        <v>370</v>
      </c>
      <c r="G292" s="53" t="s">
        <v>814</v>
      </c>
      <c r="H292" s="54">
        <v>15318.6</v>
      </c>
    </row>
    <row r="293" spans="1:8" x14ac:dyDescent="0.3">
      <c r="A293" s="62" t="s">
        <v>392</v>
      </c>
      <c r="B293" s="62" t="s">
        <v>8</v>
      </c>
      <c r="C293" s="53" t="s">
        <v>651</v>
      </c>
      <c r="D293" s="53" t="s">
        <v>734</v>
      </c>
      <c r="E293" s="55" t="s">
        <v>799</v>
      </c>
      <c r="F293" s="53" t="s">
        <v>370</v>
      </c>
      <c r="G293" s="53" t="s">
        <v>814</v>
      </c>
      <c r="H293" s="54">
        <v>7452.84</v>
      </c>
    </row>
    <row r="294" spans="1:8" x14ac:dyDescent="0.3">
      <c r="A294" s="56" t="s">
        <v>390</v>
      </c>
      <c r="B294" s="62" t="s">
        <v>8</v>
      </c>
      <c r="C294" s="53" t="s">
        <v>652</v>
      </c>
      <c r="D294" s="53" t="s">
        <v>735</v>
      </c>
      <c r="E294" s="55" t="s">
        <v>800</v>
      </c>
      <c r="F294" s="53" t="s">
        <v>371</v>
      </c>
      <c r="G294" s="53" t="s">
        <v>365</v>
      </c>
      <c r="H294" s="54">
        <v>70465.649999999994</v>
      </c>
    </row>
    <row r="295" spans="1:8" x14ac:dyDescent="0.3">
      <c r="A295" s="56" t="s">
        <v>390</v>
      </c>
      <c r="B295" s="62" t="s">
        <v>8</v>
      </c>
      <c r="C295" s="53" t="s">
        <v>653</v>
      </c>
      <c r="D295" s="53" t="s">
        <v>736</v>
      </c>
      <c r="E295" s="55" t="s">
        <v>800</v>
      </c>
      <c r="F295" s="53" t="s">
        <v>371</v>
      </c>
      <c r="G295" s="53" t="s">
        <v>365</v>
      </c>
      <c r="H295" s="54">
        <v>16059.53</v>
      </c>
    </row>
    <row r="296" spans="1:8" x14ac:dyDescent="0.3">
      <c r="A296" s="62" t="s">
        <v>392</v>
      </c>
      <c r="B296" s="62" t="s">
        <v>8</v>
      </c>
      <c r="C296" s="53" t="s">
        <v>654</v>
      </c>
      <c r="D296" s="53" t="s">
        <v>737</v>
      </c>
      <c r="E296" s="55" t="s">
        <v>801</v>
      </c>
      <c r="F296" s="53" t="s">
        <v>372</v>
      </c>
      <c r="G296" s="53" t="s">
        <v>10</v>
      </c>
      <c r="H296" s="54">
        <v>16384.86</v>
      </c>
    </row>
    <row r="297" spans="1:8" x14ac:dyDescent="0.3">
      <c r="A297" s="62" t="s">
        <v>392</v>
      </c>
      <c r="B297" s="62" t="s">
        <v>8</v>
      </c>
      <c r="C297" s="53" t="s">
        <v>655</v>
      </c>
      <c r="D297" s="53" t="s">
        <v>738</v>
      </c>
      <c r="E297" s="55" t="s">
        <v>802</v>
      </c>
      <c r="F297" s="53" t="s">
        <v>368</v>
      </c>
      <c r="G297" s="53" t="s">
        <v>814</v>
      </c>
      <c r="H297" s="54">
        <v>4778.6400000000003</v>
      </c>
    </row>
    <row r="298" spans="1:8" x14ac:dyDescent="0.3">
      <c r="A298" s="56" t="s">
        <v>390</v>
      </c>
      <c r="B298" s="62" t="s">
        <v>8</v>
      </c>
      <c r="C298" s="53" t="s">
        <v>656</v>
      </c>
      <c r="D298" s="53" t="s">
        <v>739</v>
      </c>
      <c r="E298" s="55" t="s">
        <v>802</v>
      </c>
      <c r="F298" s="53" t="s">
        <v>372</v>
      </c>
      <c r="G298" s="53" t="s">
        <v>10</v>
      </c>
      <c r="H298" s="54">
        <v>72099</v>
      </c>
    </row>
    <row r="299" spans="1:8" x14ac:dyDescent="0.3">
      <c r="A299" s="62" t="s">
        <v>392</v>
      </c>
      <c r="B299" s="62" t="s">
        <v>8</v>
      </c>
      <c r="C299" s="53" t="s">
        <v>657</v>
      </c>
      <c r="D299" s="53" t="s">
        <v>740</v>
      </c>
      <c r="E299" s="55" t="s">
        <v>803</v>
      </c>
      <c r="F299" s="53" t="s">
        <v>370</v>
      </c>
      <c r="G299" s="53" t="s">
        <v>814</v>
      </c>
      <c r="H299" s="54">
        <v>14000</v>
      </c>
    </row>
    <row r="300" spans="1:8" x14ac:dyDescent="0.3">
      <c r="A300" s="62" t="s">
        <v>392</v>
      </c>
      <c r="B300" s="62" t="s">
        <v>8</v>
      </c>
      <c r="C300" s="53" t="s">
        <v>658</v>
      </c>
      <c r="D300" s="53" t="s">
        <v>741</v>
      </c>
      <c r="E300" s="55" t="s">
        <v>803</v>
      </c>
      <c r="F300" s="53" t="s">
        <v>370</v>
      </c>
      <c r="G300" s="53" t="s">
        <v>814</v>
      </c>
      <c r="H300" s="54">
        <v>7336.71</v>
      </c>
    </row>
    <row r="301" spans="1:8" x14ac:dyDescent="0.3">
      <c r="A301" s="62" t="s">
        <v>392</v>
      </c>
      <c r="B301" s="62" t="s">
        <v>8</v>
      </c>
      <c r="C301" s="53" t="s">
        <v>659</v>
      </c>
      <c r="D301" s="53" t="s">
        <v>742</v>
      </c>
      <c r="E301" s="55" t="s">
        <v>803</v>
      </c>
      <c r="F301" s="53" t="s">
        <v>372</v>
      </c>
      <c r="G301" s="53" t="s">
        <v>10</v>
      </c>
      <c r="H301" s="54">
        <v>7213.3</v>
      </c>
    </row>
    <row r="302" spans="1:8" x14ac:dyDescent="0.3">
      <c r="A302" s="62" t="s">
        <v>392</v>
      </c>
      <c r="B302" s="62" t="s">
        <v>8</v>
      </c>
      <c r="C302" s="53" t="s">
        <v>660</v>
      </c>
      <c r="D302" s="63" t="s">
        <v>743</v>
      </c>
      <c r="E302" s="55" t="s">
        <v>803</v>
      </c>
      <c r="F302" s="53" t="s">
        <v>370</v>
      </c>
      <c r="G302" s="53" t="s">
        <v>814</v>
      </c>
      <c r="H302" s="54">
        <v>4891.1400000000003</v>
      </c>
    </row>
    <row r="303" spans="1:8" x14ac:dyDescent="0.3">
      <c r="A303" s="56" t="s">
        <v>390</v>
      </c>
      <c r="B303" s="62" t="s">
        <v>8</v>
      </c>
      <c r="C303" s="53" t="s">
        <v>661</v>
      </c>
      <c r="D303" s="63" t="s">
        <v>744</v>
      </c>
      <c r="E303" s="55" t="s">
        <v>803</v>
      </c>
      <c r="F303" s="53" t="s">
        <v>587</v>
      </c>
      <c r="G303" s="53" t="s">
        <v>11</v>
      </c>
      <c r="H303" s="54">
        <v>12950</v>
      </c>
    </row>
    <row r="304" spans="1:8" x14ac:dyDescent="0.3">
      <c r="A304" s="56" t="s">
        <v>390</v>
      </c>
      <c r="B304" s="62" t="s">
        <v>8</v>
      </c>
      <c r="C304" s="53" t="s">
        <v>662</v>
      </c>
      <c r="D304" s="63" t="s">
        <v>745</v>
      </c>
      <c r="E304" s="55" t="s">
        <v>804</v>
      </c>
      <c r="F304" s="53" t="s">
        <v>375</v>
      </c>
      <c r="G304" s="53" t="s">
        <v>814</v>
      </c>
      <c r="H304" s="54">
        <v>132862.6</v>
      </c>
    </row>
    <row r="305" spans="1:8" x14ac:dyDescent="0.3">
      <c r="A305" s="56" t="s">
        <v>390</v>
      </c>
      <c r="B305" s="62" t="s">
        <v>8</v>
      </c>
      <c r="C305" s="53" t="s">
        <v>663</v>
      </c>
      <c r="D305" s="53" t="s">
        <v>746</v>
      </c>
      <c r="E305" s="55" t="s">
        <v>804</v>
      </c>
      <c r="F305" s="53" t="s">
        <v>812</v>
      </c>
      <c r="G305" s="53" t="s">
        <v>20</v>
      </c>
      <c r="H305" s="54">
        <v>68043.37</v>
      </c>
    </row>
    <row r="306" spans="1:8" x14ac:dyDescent="0.3">
      <c r="A306" s="62" t="s">
        <v>392</v>
      </c>
      <c r="B306" s="62" t="s">
        <v>8</v>
      </c>
      <c r="C306" s="53" t="s">
        <v>664</v>
      </c>
      <c r="D306" s="63" t="s">
        <v>747</v>
      </c>
      <c r="E306" s="55" t="s">
        <v>804</v>
      </c>
      <c r="F306" s="53" t="s">
        <v>370</v>
      </c>
      <c r="G306" s="53" t="s">
        <v>814</v>
      </c>
      <c r="H306" s="54">
        <v>12766.5</v>
      </c>
    </row>
    <row r="307" spans="1:8" x14ac:dyDescent="0.3">
      <c r="A307" s="56" t="s">
        <v>390</v>
      </c>
      <c r="B307" s="62" t="s">
        <v>8</v>
      </c>
      <c r="C307" s="53" t="s">
        <v>665</v>
      </c>
      <c r="D307" s="53" t="s">
        <v>748</v>
      </c>
      <c r="E307" s="55" t="s">
        <v>804</v>
      </c>
      <c r="F307" s="53" t="s">
        <v>375</v>
      </c>
      <c r="G307" s="53" t="s">
        <v>814</v>
      </c>
      <c r="H307" s="54">
        <v>128666.81</v>
      </c>
    </row>
    <row r="308" spans="1:8" x14ac:dyDescent="0.3">
      <c r="A308" s="62" t="s">
        <v>392</v>
      </c>
      <c r="B308" s="62" t="s">
        <v>8</v>
      </c>
      <c r="C308" s="53" t="s">
        <v>666</v>
      </c>
      <c r="D308" s="53" t="s">
        <v>749</v>
      </c>
      <c r="E308" s="55" t="s">
        <v>805</v>
      </c>
      <c r="F308" s="53" t="s">
        <v>370</v>
      </c>
      <c r="G308" s="53" t="s">
        <v>814</v>
      </c>
      <c r="H308" s="54">
        <v>7476.6</v>
      </c>
    </row>
    <row r="309" spans="1:8" x14ac:dyDescent="0.3">
      <c r="A309" s="56" t="s">
        <v>390</v>
      </c>
      <c r="B309" s="62" t="s">
        <v>8</v>
      </c>
      <c r="C309" s="53" t="s">
        <v>667</v>
      </c>
      <c r="D309" s="53" t="s">
        <v>750</v>
      </c>
      <c r="E309" s="55" t="s">
        <v>805</v>
      </c>
      <c r="F309" s="53" t="s">
        <v>372</v>
      </c>
      <c r="G309" s="53" t="s">
        <v>10</v>
      </c>
      <c r="H309" s="54">
        <v>38966.980000000003</v>
      </c>
    </row>
    <row r="310" spans="1:8" x14ac:dyDescent="0.3">
      <c r="A310" s="62" t="s">
        <v>392</v>
      </c>
      <c r="B310" s="62" t="s">
        <v>8</v>
      </c>
      <c r="C310" s="53" t="s">
        <v>668</v>
      </c>
      <c r="D310" s="53" t="s">
        <v>751</v>
      </c>
      <c r="E310" s="55" t="s">
        <v>805</v>
      </c>
      <c r="F310" s="53" t="s">
        <v>368</v>
      </c>
      <c r="G310" s="53" t="s">
        <v>814</v>
      </c>
      <c r="H310" s="54">
        <v>3442.4</v>
      </c>
    </row>
    <row r="311" spans="1:8" x14ac:dyDescent="0.3">
      <c r="A311" s="62" t="s">
        <v>392</v>
      </c>
      <c r="B311" s="62" t="s">
        <v>8</v>
      </c>
      <c r="C311" s="53" t="s">
        <v>669</v>
      </c>
      <c r="D311" s="63" t="s">
        <v>752</v>
      </c>
      <c r="E311" s="55" t="s">
        <v>805</v>
      </c>
      <c r="F311" s="53" t="s">
        <v>370</v>
      </c>
      <c r="G311" s="53" t="s">
        <v>814</v>
      </c>
      <c r="H311" s="54">
        <v>1180</v>
      </c>
    </row>
    <row r="312" spans="1:8" x14ac:dyDescent="0.3">
      <c r="A312" s="62" t="s">
        <v>392</v>
      </c>
      <c r="B312" s="62" t="s">
        <v>8</v>
      </c>
      <c r="C312" s="53" t="s">
        <v>670</v>
      </c>
      <c r="D312" s="53" t="s">
        <v>753</v>
      </c>
      <c r="E312" s="55" t="s">
        <v>805</v>
      </c>
      <c r="F312" s="53" t="s">
        <v>368</v>
      </c>
      <c r="G312" s="53" t="s">
        <v>814</v>
      </c>
      <c r="H312" s="54">
        <v>4928.5</v>
      </c>
    </row>
    <row r="313" spans="1:8" x14ac:dyDescent="0.3">
      <c r="A313" s="62" t="s">
        <v>392</v>
      </c>
      <c r="B313" s="62" t="s">
        <v>8</v>
      </c>
      <c r="C313" s="53" t="s">
        <v>671</v>
      </c>
      <c r="D313" s="53" t="s">
        <v>754</v>
      </c>
      <c r="E313" s="55" t="s">
        <v>805</v>
      </c>
      <c r="F313" s="53" t="s">
        <v>370</v>
      </c>
      <c r="G313" s="53" t="s">
        <v>814</v>
      </c>
      <c r="H313" s="54">
        <v>14020.67</v>
      </c>
    </row>
    <row r="314" spans="1:8" x14ac:dyDescent="0.3">
      <c r="A314" s="56" t="s">
        <v>390</v>
      </c>
      <c r="B314" s="62" t="s">
        <v>8</v>
      </c>
      <c r="C314" s="53" t="s">
        <v>672</v>
      </c>
      <c r="D314" s="63" t="s">
        <v>755</v>
      </c>
      <c r="E314" s="55" t="s">
        <v>805</v>
      </c>
      <c r="F314" s="53" t="s">
        <v>372</v>
      </c>
      <c r="G314" s="53" t="s">
        <v>10</v>
      </c>
      <c r="H314" s="54">
        <v>12157.86</v>
      </c>
    </row>
    <row r="315" spans="1:8" x14ac:dyDescent="0.3">
      <c r="A315" s="56" t="s">
        <v>390</v>
      </c>
      <c r="B315" s="62" t="s">
        <v>8</v>
      </c>
      <c r="C315" s="53" t="s">
        <v>673</v>
      </c>
      <c r="D315" s="63" t="s">
        <v>756</v>
      </c>
      <c r="E315" s="55" t="s">
        <v>805</v>
      </c>
      <c r="F315" s="53" t="s">
        <v>375</v>
      </c>
      <c r="G315" s="53" t="s">
        <v>814</v>
      </c>
      <c r="H315" s="54">
        <v>103605.02</v>
      </c>
    </row>
    <row r="316" spans="1:8" x14ac:dyDescent="0.3">
      <c r="A316" s="62" t="s">
        <v>392</v>
      </c>
      <c r="B316" s="62" t="s">
        <v>8</v>
      </c>
      <c r="C316" s="53" t="s">
        <v>674</v>
      </c>
      <c r="D316" s="53" t="s">
        <v>757</v>
      </c>
      <c r="E316" s="55" t="s">
        <v>805</v>
      </c>
      <c r="F316" s="53" t="s">
        <v>368</v>
      </c>
      <c r="G316" s="53" t="s">
        <v>814</v>
      </c>
      <c r="H316" s="54">
        <v>4847.34</v>
      </c>
    </row>
    <row r="317" spans="1:8" x14ac:dyDescent="0.3">
      <c r="A317" s="62" t="s">
        <v>392</v>
      </c>
      <c r="B317" s="62" t="s">
        <v>8</v>
      </c>
      <c r="C317" s="53" t="s">
        <v>675</v>
      </c>
      <c r="D317" s="63" t="s">
        <v>758</v>
      </c>
      <c r="E317" s="55" t="s">
        <v>805</v>
      </c>
      <c r="F317" s="53" t="s">
        <v>368</v>
      </c>
      <c r="G317" s="53" t="s">
        <v>814</v>
      </c>
      <c r="H317" s="54">
        <v>2481.61</v>
      </c>
    </row>
    <row r="318" spans="1:8" x14ac:dyDescent="0.3">
      <c r="A318" s="62" t="s">
        <v>392</v>
      </c>
      <c r="B318" s="62" t="s">
        <v>8</v>
      </c>
      <c r="C318" s="53" t="s">
        <v>676</v>
      </c>
      <c r="D318" s="53" t="s">
        <v>759</v>
      </c>
      <c r="E318" s="55" t="s">
        <v>805</v>
      </c>
      <c r="F318" s="53" t="s">
        <v>370</v>
      </c>
      <c r="G318" s="53" t="s">
        <v>814</v>
      </c>
      <c r="H318" s="54">
        <v>2915</v>
      </c>
    </row>
    <row r="319" spans="1:8" x14ac:dyDescent="0.3">
      <c r="A319" s="62" t="s">
        <v>392</v>
      </c>
      <c r="B319" s="62" t="s">
        <v>8</v>
      </c>
      <c r="C319" s="53" t="s">
        <v>677</v>
      </c>
      <c r="D319" s="53" t="s">
        <v>760</v>
      </c>
      <c r="E319" s="55" t="s">
        <v>805</v>
      </c>
      <c r="F319" s="53" t="s">
        <v>370</v>
      </c>
      <c r="G319" s="53" t="s">
        <v>814</v>
      </c>
      <c r="H319" s="54">
        <v>2358</v>
      </c>
    </row>
    <row r="320" spans="1:8" x14ac:dyDescent="0.3">
      <c r="A320" s="56" t="s">
        <v>390</v>
      </c>
      <c r="B320" s="62" t="s">
        <v>8</v>
      </c>
      <c r="C320" s="53" t="s">
        <v>678</v>
      </c>
      <c r="D320" s="63" t="s">
        <v>761</v>
      </c>
      <c r="E320" s="55" t="s">
        <v>805</v>
      </c>
      <c r="F320" s="53" t="s">
        <v>372</v>
      </c>
      <c r="G320" s="53" t="s">
        <v>10</v>
      </c>
      <c r="H320" s="54">
        <v>3540</v>
      </c>
    </row>
    <row r="321" spans="1:8" x14ac:dyDescent="0.3">
      <c r="A321" s="62" t="s">
        <v>392</v>
      </c>
      <c r="B321" s="62" t="s">
        <v>8</v>
      </c>
      <c r="C321" s="53" t="s">
        <v>679</v>
      </c>
      <c r="D321" s="63" t="s">
        <v>762</v>
      </c>
      <c r="E321" s="55" t="s">
        <v>805</v>
      </c>
      <c r="F321" s="53" t="s">
        <v>370</v>
      </c>
      <c r="G321" s="53" t="s">
        <v>814</v>
      </c>
      <c r="H321" s="54">
        <v>3424.86</v>
      </c>
    </row>
    <row r="322" spans="1:8" x14ac:dyDescent="0.3">
      <c r="A322" s="62" t="s">
        <v>392</v>
      </c>
      <c r="B322" s="62" t="s">
        <v>8</v>
      </c>
      <c r="C322" s="53" t="s">
        <v>680</v>
      </c>
      <c r="D322" s="53" t="s">
        <v>763</v>
      </c>
      <c r="E322" s="55" t="s">
        <v>805</v>
      </c>
      <c r="F322" s="53" t="s">
        <v>370</v>
      </c>
      <c r="G322" s="53" t="s">
        <v>814</v>
      </c>
      <c r="H322" s="54">
        <v>7374.86</v>
      </c>
    </row>
    <row r="323" spans="1:8" x14ac:dyDescent="0.3">
      <c r="A323" s="56" t="s">
        <v>390</v>
      </c>
      <c r="B323" s="62" t="s">
        <v>8</v>
      </c>
      <c r="C323" s="53" t="s">
        <v>681</v>
      </c>
      <c r="D323" s="53" t="s">
        <v>764</v>
      </c>
      <c r="E323" s="55" t="s">
        <v>805</v>
      </c>
      <c r="F323" s="53" t="s">
        <v>372</v>
      </c>
      <c r="G323" s="53" t="s">
        <v>10</v>
      </c>
      <c r="H323" s="54">
        <v>7080</v>
      </c>
    </row>
    <row r="324" spans="1:8" x14ac:dyDescent="0.3">
      <c r="A324" s="56" t="s">
        <v>390</v>
      </c>
      <c r="B324" s="62" t="s">
        <v>8</v>
      </c>
      <c r="C324" s="53" t="s">
        <v>682</v>
      </c>
      <c r="D324" s="53" t="s">
        <v>765</v>
      </c>
      <c r="E324" s="55" t="s">
        <v>806</v>
      </c>
      <c r="F324" s="53" t="s">
        <v>619</v>
      </c>
      <c r="G324" s="53" t="s">
        <v>16</v>
      </c>
      <c r="H324" s="54">
        <v>24860.04</v>
      </c>
    </row>
    <row r="325" spans="1:8" x14ac:dyDescent="0.3">
      <c r="A325" s="56" t="s">
        <v>390</v>
      </c>
      <c r="B325" s="62" t="s">
        <v>8</v>
      </c>
      <c r="C325" s="53" t="s">
        <v>683</v>
      </c>
      <c r="D325" s="53" t="s">
        <v>766</v>
      </c>
      <c r="E325" s="55" t="s">
        <v>806</v>
      </c>
      <c r="F325" s="53" t="s">
        <v>378</v>
      </c>
      <c r="G325" s="53" t="s">
        <v>67</v>
      </c>
      <c r="H325" s="54">
        <v>56406.8</v>
      </c>
    </row>
    <row r="326" spans="1:8" x14ac:dyDescent="0.3">
      <c r="A326" s="56" t="s">
        <v>390</v>
      </c>
      <c r="B326" s="62" t="s">
        <v>8</v>
      </c>
      <c r="C326" s="53" t="s">
        <v>684</v>
      </c>
      <c r="D326" s="53" t="s">
        <v>767</v>
      </c>
      <c r="E326" s="55" t="s">
        <v>806</v>
      </c>
      <c r="F326" s="53" t="s">
        <v>375</v>
      </c>
      <c r="G326" s="53" t="s">
        <v>814</v>
      </c>
      <c r="H326" s="54">
        <v>98926.78</v>
      </c>
    </row>
    <row r="327" spans="1:8" x14ac:dyDescent="0.3">
      <c r="A327" s="56" t="s">
        <v>390</v>
      </c>
      <c r="B327" s="62" t="s">
        <v>8</v>
      </c>
      <c r="C327" s="53" t="s">
        <v>685</v>
      </c>
      <c r="D327" s="53" t="s">
        <v>768</v>
      </c>
      <c r="E327" s="55" t="s">
        <v>806</v>
      </c>
      <c r="F327" s="53" t="s">
        <v>372</v>
      </c>
      <c r="G327" s="53" t="s">
        <v>10</v>
      </c>
      <c r="H327" s="54">
        <v>115678.83</v>
      </c>
    </row>
    <row r="328" spans="1:8" x14ac:dyDescent="0.3">
      <c r="A328" s="62" t="s">
        <v>392</v>
      </c>
      <c r="B328" s="62" t="s">
        <v>8</v>
      </c>
      <c r="C328" s="53" t="s">
        <v>686</v>
      </c>
      <c r="D328" s="53" t="s">
        <v>769</v>
      </c>
      <c r="E328" s="55" t="s">
        <v>806</v>
      </c>
      <c r="F328" s="53" t="s">
        <v>368</v>
      </c>
      <c r="G328" s="53" t="s">
        <v>814</v>
      </c>
      <c r="H328" s="54">
        <v>3336.3</v>
      </c>
    </row>
    <row r="329" spans="1:8" x14ac:dyDescent="0.3">
      <c r="A329" s="56" t="s">
        <v>390</v>
      </c>
      <c r="B329" s="62" t="s">
        <v>8</v>
      </c>
      <c r="C329" s="53" t="s">
        <v>687</v>
      </c>
      <c r="D329" s="53" t="s">
        <v>770</v>
      </c>
      <c r="E329" s="55" t="s">
        <v>806</v>
      </c>
      <c r="F329" s="53" t="s">
        <v>372</v>
      </c>
      <c r="G329" s="53" t="s">
        <v>10</v>
      </c>
      <c r="H329" s="54">
        <v>19159</v>
      </c>
    </row>
    <row r="330" spans="1:8" x14ac:dyDescent="0.3">
      <c r="A330" s="56" t="s">
        <v>390</v>
      </c>
      <c r="B330" s="62" t="s">
        <v>8</v>
      </c>
      <c r="C330" s="53" t="s">
        <v>688</v>
      </c>
      <c r="D330" s="53" t="s">
        <v>771</v>
      </c>
      <c r="E330" s="55" t="s">
        <v>806</v>
      </c>
      <c r="F330" s="53" t="s">
        <v>372</v>
      </c>
      <c r="G330" s="53" t="s">
        <v>10</v>
      </c>
      <c r="H330" s="54">
        <v>74493.240000000005</v>
      </c>
    </row>
    <row r="331" spans="1:8" x14ac:dyDescent="0.3">
      <c r="A331" s="56" t="s">
        <v>390</v>
      </c>
      <c r="B331" s="62" t="s">
        <v>8</v>
      </c>
      <c r="C331" s="53" t="s">
        <v>689</v>
      </c>
      <c r="D331" s="53" t="s">
        <v>772</v>
      </c>
      <c r="E331" s="55" t="s">
        <v>806</v>
      </c>
      <c r="F331" s="53" t="s">
        <v>372</v>
      </c>
      <c r="G331" s="53" t="s">
        <v>10</v>
      </c>
      <c r="H331" s="54">
        <v>9412</v>
      </c>
    </row>
    <row r="332" spans="1:8" x14ac:dyDescent="0.3">
      <c r="A332" s="56" t="s">
        <v>390</v>
      </c>
      <c r="B332" s="62" t="s">
        <v>8</v>
      </c>
      <c r="C332" s="53" t="s">
        <v>690</v>
      </c>
      <c r="D332" s="63" t="s">
        <v>773</v>
      </c>
      <c r="E332" s="55" t="s">
        <v>807</v>
      </c>
      <c r="F332" s="53" t="s">
        <v>371</v>
      </c>
      <c r="G332" s="53" t="s">
        <v>365</v>
      </c>
      <c r="H332" s="54">
        <v>522317.95</v>
      </c>
    </row>
    <row r="333" spans="1:8" x14ac:dyDescent="0.3">
      <c r="A333" s="56" t="s">
        <v>390</v>
      </c>
      <c r="B333" s="62" t="s">
        <v>8</v>
      </c>
      <c r="C333" s="53" t="s">
        <v>691</v>
      </c>
      <c r="D333" s="63" t="s">
        <v>774</v>
      </c>
      <c r="E333" s="55" t="s">
        <v>807</v>
      </c>
      <c r="F333" s="53" t="s">
        <v>371</v>
      </c>
      <c r="G333" s="53" t="s">
        <v>365</v>
      </c>
      <c r="H333" s="54">
        <v>215466.98</v>
      </c>
    </row>
    <row r="334" spans="1:8" x14ac:dyDescent="0.3">
      <c r="A334" s="56" t="s">
        <v>390</v>
      </c>
      <c r="B334" s="62" t="s">
        <v>8</v>
      </c>
      <c r="C334" s="53" t="s">
        <v>692</v>
      </c>
      <c r="D334" s="63" t="s">
        <v>615</v>
      </c>
      <c r="E334" s="55" t="s">
        <v>807</v>
      </c>
      <c r="F334" s="53" t="s">
        <v>372</v>
      </c>
      <c r="G334" s="53" t="s">
        <v>10</v>
      </c>
      <c r="H334" s="54">
        <v>115190</v>
      </c>
    </row>
    <row r="335" spans="1:8" x14ac:dyDescent="0.3">
      <c r="A335" s="56" t="s">
        <v>390</v>
      </c>
      <c r="B335" s="62" t="s">
        <v>8</v>
      </c>
      <c r="C335" s="53" t="s">
        <v>693</v>
      </c>
      <c r="D335" s="53" t="s">
        <v>775</v>
      </c>
      <c r="E335" s="55" t="s">
        <v>807</v>
      </c>
      <c r="F335" s="53" t="s">
        <v>371</v>
      </c>
      <c r="G335" s="53" t="s">
        <v>365</v>
      </c>
      <c r="H335" s="54">
        <v>743801.05</v>
      </c>
    </row>
    <row r="336" spans="1:8" x14ac:dyDescent="0.3">
      <c r="A336" s="56" t="s">
        <v>390</v>
      </c>
      <c r="B336" s="62" t="s">
        <v>8</v>
      </c>
      <c r="C336" s="53" t="s">
        <v>694</v>
      </c>
      <c r="D336" s="53" t="s">
        <v>776</v>
      </c>
      <c r="E336" s="55" t="s">
        <v>808</v>
      </c>
      <c r="F336" s="53" t="s">
        <v>375</v>
      </c>
      <c r="G336" s="53" t="s">
        <v>814</v>
      </c>
      <c r="H336" s="54">
        <v>145486.92000000001</v>
      </c>
    </row>
    <row r="337" spans="1:8" x14ac:dyDescent="0.3">
      <c r="A337" s="56" t="s">
        <v>390</v>
      </c>
      <c r="B337" s="62" t="s">
        <v>8</v>
      </c>
      <c r="C337" s="53" t="s">
        <v>695</v>
      </c>
      <c r="D337" s="63" t="s">
        <v>777</v>
      </c>
      <c r="E337" s="55" t="s">
        <v>808</v>
      </c>
      <c r="F337" s="53" t="s">
        <v>375</v>
      </c>
      <c r="G337" s="53" t="s">
        <v>814</v>
      </c>
      <c r="H337" s="54">
        <v>39649.78</v>
      </c>
    </row>
    <row r="338" spans="1:8" x14ac:dyDescent="0.3">
      <c r="A338" s="56" t="s">
        <v>390</v>
      </c>
      <c r="B338" s="62" t="s">
        <v>8</v>
      </c>
      <c r="C338" s="53" t="s">
        <v>696</v>
      </c>
      <c r="D338" s="53" t="s">
        <v>778</v>
      </c>
      <c r="E338" s="55" t="s">
        <v>808</v>
      </c>
      <c r="F338" s="53" t="s">
        <v>375</v>
      </c>
      <c r="G338" s="53" t="s">
        <v>814</v>
      </c>
      <c r="H338" s="54">
        <v>84809.74</v>
      </c>
    </row>
    <row r="339" spans="1:8" x14ac:dyDescent="0.3">
      <c r="A339" s="56" t="s">
        <v>390</v>
      </c>
      <c r="B339" s="62" t="s">
        <v>8</v>
      </c>
      <c r="C339" s="53" t="s">
        <v>697</v>
      </c>
      <c r="D339" s="53" t="s">
        <v>779</v>
      </c>
      <c r="E339" s="55" t="s">
        <v>808</v>
      </c>
      <c r="F339" s="53" t="s">
        <v>375</v>
      </c>
      <c r="G339" s="53" t="s">
        <v>814</v>
      </c>
      <c r="H339" s="54">
        <v>113043.48</v>
      </c>
    </row>
    <row r="340" spans="1:8" x14ac:dyDescent="0.3">
      <c r="A340" s="56" t="s">
        <v>390</v>
      </c>
      <c r="B340" s="62" t="s">
        <v>8</v>
      </c>
      <c r="C340" s="53" t="s">
        <v>698</v>
      </c>
      <c r="D340" s="53" t="s">
        <v>780</v>
      </c>
      <c r="E340" s="55" t="s">
        <v>808</v>
      </c>
      <c r="F340" s="53" t="s">
        <v>371</v>
      </c>
      <c r="G340" s="53" t="s">
        <v>365</v>
      </c>
      <c r="H340" s="54">
        <v>547844.32999999996</v>
      </c>
    </row>
    <row r="341" spans="1:8" x14ac:dyDescent="0.3">
      <c r="A341" s="56" t="s">
        <v>390</v>
      </c>
      <c r="B341" s="62" t="s">
        <v>8</v>
      </c>
      <c r="C341" s="53" t="s">
        <v>699</v>
      </c>
      <c r="D341" s="63" t="s">
        <v>781</v>
      </c>
      <c r="E341" s="55" t="s">
        <v>808</v>
      </c>
      <c r="F341" s="53" t="s">
        <v>375</v>
      </c>
      <c r="G341" s="53" t="s">
        <v>814</v>
      </c>
      <c r="H341" s="54">
        <v>94248.91</v>
      </c>
    </row>
    <row r="342" spans="1:8" x14ac:dyDescent="0.3">
      <c r="A342" s="62" t="s">
        <v>392</v>
      </c>
      <c r="B342" s="62" t="s">
        <v>8</v>
      </c>
      <c r="C342" s="53" t="s">
        <v>700</v>
      </c>
      <c r="D342" s="63" t="s">
        <v>782</v>
      </c>
      <c r="E342" s="55" t="s">
        <v>808</v>
      </c>
      <c r="F342" s="53" t="s">
        <v>370</v>
      </c>
      <c r="G342" s="53" t="s">
        <v>814</v>
      </c>
      <c r="H342" s="54">
        <v>7476.6</v>
      </c>
    </row>
    <row r="343" spans="1:8" x14ac:dyDescent="0.3">
      <c r="A343" s="62" t="s">
        <v>392</v>
      </c>
      <c r="B343" s="62" t="s">
        <v>8</v>
      </c>
      <c r="C343" s="53" t="s">
        <v>701</v>
      </c>
      <c r="D343" s="63" t="s">
        <v>783</v>
      </c>
      <c r="E343" s="55" t="s">
        <v>808</v>
      </c>
      <c r="F343" s="53" t="s">
        <v>370</v>
      </c>
      <c r="G343" s="53" t="s">
        <v>814</v>
      </c>
      <c r="H343" s="54">
        <v>3361.44</v>
      </c>
    </row>
    <row r="344" spans="1:8" x14ac:dyDescent="0.3">
      <c r="A344" s="56" t="s">
        <v>390</v>
      </c>
      <c r="B344" s="62" t="s">
        <v>8</v>
      </c>
      <c r="C344" s="53" t="s">
        <v>702</v>
      </c>
      <c r="D344" s="63" t="s">
        <v>784</v>
      </c>
      <c r="E344" s="55" t="s">
        <v>809</v>
      </c>
      <c r="F344" s="53" t="s">
        <v>371</v>
      </c>
      <c r="G344" s="53" t="s">
        <v>365</v>
      </c>
      <c r="H344" s="54">
        <v>52927.85</v>
      </c>
    </row>
    <row r="345" spans="1:8" x14ac:dyDescent="0.3">
      <c r="A345" s="62" t="s">
        <v>392</v>
      </c>
      <c r="B345" s="62" t="s">
        <v>8</v>
      </c>
      <c r="C345" s="53" t="s">
        <v>703</v>
      </c>
      <c r="D345" s="63" t="s">
        <v>785</v>
      </c>
      <c r="E345" s="55" t="s">
        <v>809</v>
      </c>
      <c r="F345" s="53" t="s">
        <v>370</v>
      </c>
      <c r="G345" s="53" t="s">
        <v>814</v>
      </c>
      <c r="H345" s="54">
        <v>8956.7900000000009</v>
      </c>
    </row>
    <row r="346" spans="1:8" x14ac:dyDescent="0.3">
      <c r="A346" s="62" t="s">
        <v>392</v>
      </c>
      <c r="B346" s="62" t="s">
        <v>8</v>
      </c>
      <c r="C346" s="53" t="s">
        <v>704</v>
      </c>
      <c r="D346" s="63" t="s">
        <v>786</v>
      </c>
      <c r="E346" s="55" t="s">
        <v>809</v>
      </c>
      <c r="F346" s="53" t="s">
        <v>370</v>
      </c>
      <c r="G346" s="53" t="s">
        <v>814</v>
      </c>
      <c r="H346" s="54">
        <v>2503.4</v>
      </c>
    </row>
    <row r="347" spans="1:8" x14ac:dyDescent="0.3">
      <c r="A347" s="56" t="s">
        <v>390</v>
      </c>
      <c r="B347" s="62" t="s">
        <v>8</v>
      </c>
      <c r="C347" s="53" t="s">
        <v>705</v>
      </c>
      <c r="D347" s="63" t="s">
        <v>787</v>
      </c>
      <c r="E347" s="55" t="s">
        <v>809</v>
      </c>
      <c r="F347" s="53" t="s">
        <v>371</v>
      </c>
      <c r="G347" s="53" t="s">
        <v>365</v>
      </c>
      <c r="H347" s="54">
        <v>23471.1</v>
      </c>
    </row>
    <row r="348" spans="1:8" x14ac:dyDescent="0.3">
      <c r="A348" s="62" t="s">
        <v>392</v>
      </c>
      <c r="B348" s="62" t="s">
        <v>8</v>
      </c>
      <c r="C348" s="53" t="s">
        <v>706</v>
      </c>
      <c r="D348" s="63" t="s">
        <v>788</v>
      </c>
      <c r="E348" s="55" t="s">
        <v>809</v>
      </c>
      <c r="F348" s="53" t="s">
        <v>374</v>
      </c>
      <c r="G348" s="53" t="s">
        <v>17</v>
      </c>
      <c r="H348" s="54">
        <v>3508.62</v>
      </c>
    </row>
    <row r="349" spans="1:8" x14ac:dyDescent="0.3">
      <c r="A349" s="56" t="s">
        <v>390</v>
      </c>
      <c r="B349" s="62" t="s">
        <v>8</v>
      </c>
      <c r="C349" s="53" t="s">
        <v>707</v>
      </c>
      <c r="D349" s="63" t="s">
        <v>789</v>
      </c>
      <c r="E349" s="55" t="s">
        <v>809</v>
      </c>
      <c r="F349" s="53" t="s">
        <v>371</v>
      </c>
      <c r="G349" s="53" t="s">
        <v>365</v>
      </c>
      <c r="H349" s="54">
        <v>14318.41</v>
      </c>
    </row>
    <row r="350" spans="1:8" x14ac:dyDescent="0.3">
      <c r="A350" s="62" t="s">
        <v>392</v>
      </c>
      <c r="B350" s="62" t="s">
        <v>8</v>
      </c>
      <c r="C350" s="53" t="s">
        <v>708</v>
      </c>
      <c r="D350" s="63" t="s">
        <v>790</v>
      </c>
      <c r="E350" s="55" t="s">
        <v>810</v>
      </c>
      <c r="F350" s="53" t="s">
        <v>368</v>
      </c>
      <c r="G350" s="53" t="s">
        <v>814</v>
      </c>
      <c r="H350" s="54">
        <v>2451.7600000000002</v>
      </c>
    </row>
    <row r="351" spans="1:8" x14ac:dyDescent="0.3">
      <c r="A351" s="62" t="s">
        <v>392</v>
      </c>
      <c r="B351" s="62" t="s">
        <v>8</v>
      </c>
      <c r="C351" s="53" t="s">
        <v>709</v>
      </c>
      <c r="D351" s="63" t="s">
        <v>791</v>
      </c>
      <c r="E351" s="55" t="s">
        <v>810</v>
      </c>
      <c r="F351" s="53" t="s">
        <v>368</v>
      </c>
      <c r="G351" s="53" t="s">
        <v>814</v>
      </c>
      <c r="H351" s="54">
        <v>15496.4</v>
      </c>
    </row>
    <row r="352" spans="1:8" x14ac:dyDescent="0.3">
      <c r="A352" s="56" t="s">
        <v>390</v>
      </c>
      <c r="B352" s="62" t="s">
        <v>8</v>
      </c>
      <c r="C352" s="53" t="s">
        <v>815</v>
      </c>
      <c r="D352" s="63" t="s">
        <v>822</v>
      </c>
      <c r="E352" s="55" t="s">
        <v>802</v>
      </c>
      <c r="F352" s="53" t="s">
        <v>824</v>
      </c>
      <c r="G352" s="53" t="s">
        <v>64</v>
      </c>
      <c r="H352" s="54">
        <v>140067.67528800003</v>
      </c>
    </row>
    <row r="353" spans="1:8" x14ac:dyDescent="0.3">
      <c r="A353" s="56" t="s">
        <v>390</v>
      </c>
      <c r="B353" s="62" t="s">
        <v>8</v>
      </c>
      <c r="C353" s="53" t="s">
        <v>816</v>
      </c>
      <c r="D353" s="63" t="s">
        <v>823</v>
      </c>
      <c r="E353" s="55" t="s">
        <v>807</v>
      </c>
      <c r="F353" s="53" t="s">
        <v>372</v>
      </c>
      <c r="G353" s="53" t="s">
        <v>10</v>
      </c>
      <c r="H353" s="54">
        <v>149385.37120000002</v>
      </c>
    </row>
    <row r="354" spans="1:8" x14ac:dyDescent="0.3">
      <c r="A354" s="56" t="s">
        <v>390</v>
      </c>
      <c r="B354" s="62" t="s">
        <v>8</v>
      </c>
      <c r="C354" s="53" t="s">
        <v>817</v>
      </c>
      <c r="D354" s="63" t="s">
        <v>773</v>
      </c>
      <c r="E354" s="55" t="s">
        <v>808</v>
      </c>
      <c r="F354" s="53" t="s">
        <v>371</v>
      </c>
      <c r="G354" s="53" t="s">
        <v>365</v>
      </c>
      <c r="H354" s="54">
        <v>49137.560000000005</v>
      </c>
    </row>
    <row r="355" spans="1:8" x14ac:dyDescent="0.3">
      <c r="A355" s="56" t="s">
        <v>390</v>
      </c>
      <c r="B355" s="62" t="s">
        <v>8</v>
      </c>
      <c r="C355" s="53" t="s">
        <v>818</v>
      </c>
      <c r="D355" s="63" t="s">
        <v>773</v>
      </c>
      <c r="E355" s="55" t="s">
        <v>808</v>
      </c>
      <c r="F355" s="53" t="s">
        <v>371</v>
      </c>
      <c r="G355" s="53" t="s">
        <v>365</v>
      </c>
      <c r="H355" s="54">
        <v>11213.357760000001</v>
      </c>
    </row>
    <row r="356" spans="1:8" x14ac:dyDescent="0.3">
      <c r="A356" s="62" t="s">
        <v>391</v>
      </c>
      <c r="B356" s="62" t="s">
        <v>8</v>
      </c>
      <c r="C356" s="53" t="s">
        <v>819</v>
      </c>
      <c r="D356" s="63" t="s">
        <v>610</v>
      </c>
      <c r="E356" s="55" t="s">
        <v>808</v>
      </c>
      <c r="F356" s="53" t="s">
        <v>380</v>
      </c>
      <c r="G356" s="53" t="s">
        <v>381</v>
      </c>
      <c r="H356" s="54">
        <v>39949.835687999999</v>
      </c>
    </row>
    <row r="357" spans="1:8" x14ac:dyDescent="0.3">
      <c r="A357" s="56" t="s">
        <v>390</v>
      </c>
      <c r="B357" s="62" t="s">
        <v>8</v>
      </c>
      <c r="C357" s="53" t="s">
        <v>820</v>
      </c>
      <c r="D357" s="63" t="s">
        <v>710</v>
      </c>
      <c r="E357" s="55" t="s">
        <v>809</v>
      </c>
      <c r="F357" s="53" t="s">
        <v>811</v>
      </c>
      <c r="G357" s="53" t="s">
        <v>813</v>
      </c>
      <c r="H357" s="54">
        <v>4186.4250000000002</v>
      </c>
    </row>
    <row r="358" spans="1:8" x14ac:dyDescent="0.3">
      <c r="A358" s="56" t="s">
        <v>390</v>
      </c>
      <c r="B358" s="62" t="s">
        <v>8</v>
      </c>
      <c r="C358" s="53" t="s">
        <v>821</v>
      </c>
      <c r="D358" s="63" t="s">
        <v>822</v>
      </c>
      <c r="E358" s="55" t="s">
        <v>810</v>
      </c>
      <c r="F358" s="53" t="s">
        <v>824</v>
      </c>
      <c r="G358" s="53" t="s">
        <v>64</v>
      </c>
      <c r="H358" s="54">
        <v>48023.926499999994</v>
      </c>
    </row>
  </sheetData>
  <autoFilter ref="A1:H358" xr:uid="{AF3F7852-CADA-4CBD-9430-60D74C87E8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121B-D13D-4FCB-B8C5-EC5F0C9B8763}">
  <dimension ref="B6:L47"/>
  <sheetViews>
    <sheetView showGridLines="0" tabSelected="1" zoomScale="103" zoomScaleNormal="90" workbookViewId="0">
      <selection activeCell="B63" sqref="B63"/>
    </sheetView>
  </sheetViews>
  <sheetFormatPr baseColWidth="10" defaultRowHeight="14.4" x14ac:dyDescent="0.3"/>
  <cols>
    <col min="2" max="2" width="49.109375" bestFit="1" customWidth="1"/>
    <col min="3" max="3" width="19.6640625" style="7" customWidth="1"/>
    <col min="4" max="4" width="8.33203125" bestFit="1" customWidth="1"/>
    <col min="5" max="5" width="27" style="44" customWidth="1"/>
    <col min="6" max="6" width="2.5546875" customWidth="1"/>
    <col min="7" max="7" width="4.77734375" bestFit="1" customWidth="1"/>
    <col min="9" max="9" width="16.88671875" bestFit="1" customWidth="1"/>
    <col min="10" max="10" width="18" bestFit="1" customWidth="1"/>
    <col min="11" max="11" width="12.21875" bestFit="1" customWidth="1"/>
    <col min="12" max="12" width="13.77734375" bestFit="1" customWidth="1"/>
  </cols>
  <sheetData>
    <row r="6" spans="2:11" s="2" customFormat="1" x14ac:dyDescent="0.3">
      <c r="B6" s="156" t="s">
        <v>0</v>
      </c>
      <c r="C6" s="157"/>
      <c r="D6" s="47"/>
      <c r="E6" s="47"/>
    </row>
    <row r="7" spans="2:11" s="2" customFormat="1" x14ac:dyDescent="0.3">
      <c r="B7" s="158" t="s">
        <v>3113</v>
      </c>
      <c r="C7" s="159"/>
      <c r="D7" s="47"/>
      <c r="E7" s="47"/>
    </row>
    <row r="8" spans="2:11" s="2" customFormat="1" ht="15" thickBot="1" x14ac:dyDescent="0.35">
      <c r="B8" s="158"/>
      <c r="C8" s="159"/>
      <c r="D8" s="47"/>
      <c r="E8" s="47"/>
    </row>
    <row r="9" spans="2:11" s="5" customFormat="1" ht="30" customHeight="1" thickBot="1" x14ac:dyDescent="0.35">
      <c r="B9" s="160" t="s">
        <v>2</v>
      </c>
      <c r="C9" s="161" t="s">
        <v>3</v>
      </c>
      <c r="D9" s="111"/>
      <c r="E9"/>
      <c r="F9"/>
    </row>
    <row r="10" spans="2:11" x14ac:dyDescent="0.3">
      <c r="B10" s="162" t="s">
        <v>864</v>
      </c>
      <c r="C10" s="163">
        <v>16223901.329999998</v>
      </c>
      <c r="D10" s="112">
        <f t="shared" ref="D10:D38" si="0">+C10/$C$46</f>
        <v>0.39722572783366278</v>
      </c>
      <c r="E10"/>
      <c r="K10" s="7"/>
    </row>
    <row r="11" spans="2:11" x14ac:dyDescent="0.3">
      <c r="B11" s="164" t="s">
        <v>10</v>
      </c>
      <c r="C11" s="165">
        <v>8188306.4341150001</v>
      </c>
      <c r="D11" s="112">
        <f t="shared" si="0"/>
        <v>0.2004823572861556</v>
      </c>
      <c r="E11"/>
      <c r="K11" s="7"/>
    </row>
    <row r="12" spans="2:11" x14ac:dyDescent="0.3">
      <c r="B12" s="164" t="s">
        <v>63</v>
      </c>
      <c r="C12" s="165">
        <v>3632179.9699999997</v>
      </c>
      <c r="D12" s="112">
        <f t="shared" si="0"/>
        <v>8.8930233416681007E-2</v>
      </c>
      <c r="K12" s="7"/>
    </row>
    <row r="13" spans="2:11" x14ac:dyDescent="0.3">
      <c r="B13" s="164" t="s">
        <v>62</v>
      </c>
      <c r="C13" s="165">
        <v>2398937.6284999996</v>
      </c>
      <c r="D13" s="112">
        <f t="shared" si="0"/>
        <v>5.8735548628270247E-2</v>
      </c>
      <c r="E13"/>
      <c r="K13" s="7"/>
    </row>
    <row r="14" spans="2:11" x14ac:dyDescent="0.3">
      <c r="B14" s="164" t="s">
        <v>863</v>
      </c>
      <c r="C14" s="165">
        <v>2269734.9275000002</v>
      </c>
      <c r="D14" s="112">
        <f t="shared" si="0"/>
        <v>5.5572151865748154E-2</v>
      </c>
      <c r="E14"/>
      <c r="K14" s="7"/>
    </row>
    <row r="15" spans="2:11" x14ac:dyDescent="0.3">
      <c r="B15" s="164" t="s">
        <v>843</v>
      </c>
      <c r="C15" s="165">
        <v>2189831.0700000003</v>
      </c>
      <c r="D15" s="112">
        <f t="shared" si="0"/>
        <v>5.3615787159962881E-2</v>
      </c>
      <c r="E15"/>
      <c r="G15" s="105"/>
      <c r="K15" s="7"/>
    </row>
    <row r="16" spans="2:11" x14ac:dyDescent="0.3">
      <c r="B16" s="164" t="s">
        <v>862</v>
      </c>
      <c r="C16" s="165">
        <v>1402774.243004</v>
      </c>
      <c r="D16" s="112">
        <f t="shared" si="0"/>
        <v>3.4345501019117659E-2</v>
      </c>
      <c r="E16"/>
      <c r="K16" s="7"/>
    </row>
    <row r="17" spans="2:12" x14ac:dyDescent="0.3">
      <c r="B17" s="164" t="s">
        <v>865</v>
      </c>
      <c r="C17" s="165">
        <v>982463.85492800002</v>
      </c>
      <c r="D17" s="112">
        <f t="shared" si="0"/>
        <v>2.4054628532682337E-2</v>
      </c>
      <c r="E17"/>
      <c r="K17" s="7"/>
    </row>
    <row r="18" spans="2:12" x14ac:dyDescent="0.3">
      <c r="B18" s="164" t="s">
        <v>16</v>
      </c>
      <c r="C18" s="165">
        <v>634797.74</v>
      </c>
      <c r="D18" s="112">
        <f t="shared" si="0"/>
        <v>1.5542377210615362E-2</v>
      </c>
      <c r="E18"/>
      <c r="K18" s="7"/>
    </row>
    <row r="19" spans="2:12" x14ac:dyDescent="0.3">
      <c r="B19" s="148" t="s">
        <v>855</v>
      </c>
      <c r="C19" s="166">
        <v>526562.69200000004</v>
      </c>
      <c r="D19" s="112">
        <f t="shared" si="0"/>
        <v>1.2892352112187854E-2</v>
      </c>
      <c r="E19"/>
      <c r="K19" s="7"/>
    </row>
    <row r="20" spans="2:12" x14ac:dyDescent="0.3">
      <c r="B20" s="148" t="s">
        <v>1596</v>
      </c>
      <c r="C20" s="166">
        <v>436050.55</v>
      </c>
      <c r="D20" s="112">
        <f t="shared" si="0"/>
        <v>1.0676254346772397E-2</v>
      </c>
      <c r="E20"/>
      <c r="K20" s="7"/>
    </row>
    <row r="21" spans="2:12" x14ac:dyDescent="0.3">
      <c r="B21" s="167" t="s">
        <v>2275</v>
      </c>
      <c r="C21" s="166">
        <v>396158.42119999998</v>
      </c>
      <c r="D21" s="112">
        <f t="shared" si="0"/>
        <v>9.6995361348517738E-3</v>
      </c>
      <c r="E21"/>
      <c r="K21" s="7"/>
    </row>
    <row r="22" spans="2:12" x14ac:dyDescent="0.3">
      <c r="B22" s="167" t="s">
        <v>3114</v>
      </c>
      <c r="C22" s="166">
        <v>345585.99</v>
      </c>
      <c r="D22" s="112">
        <f t="shared" si="0"/>
        <v>8.4613215782462434E-3</v>
      </c>
      <c r="E22"/>
      <c r="H22" s="2" t="s">
        <v>61</v>
      </c>
      <c r="I22" s="13">
        <v>2023</v>
      </c>
      <c r="J22" s="13">
        <v>2024</v>
      </c>
      <c r="K22" s="13">
        <v>2025</v>
      </c>
    </row>
    <row r="23" spans="2:12" x14ac:dyDescent="0.3">
      <c r="B23" s="148" t="s">
        <v>3116</v>
      </c>
      <c r="C23" s="166">
        <v>136441.28</v>
      </c>
      <c r="D23" s="112">
        <f t="shared" si="0"/>
        <v>3.3406260092532615E-3</v>
      </c>
      <c r="E23"/>
      <c r="G23" s="8">
        <f>+I23/$I$35</f>
        <v>6.8171613569504824E-2</v>
      </c>
      <c r="H23" t="s">
        <v>4</v>
      </c>
      <c r="I23" s="9">
        <v>1590863</v>
      </c>
      <c r="J23" s="9">
        <v>2042669.0483189996</v>
      </c>
      <c r="K23" s="7">
        <v>3784231.6592049999</v>
      </c>
      <c r="L23" s="139">
        <f t="shared" ref="L23:L35" si="1">+K23-J23</f>
        <v>1741562.6108860003</v>
      </c>
    </row>
    <row r="24" spans="2:12" x14ac:dyDescent="0.3">
      <c r="B24" s="167" t="s">
        <v>2282</v>
      </c>
      <c r="C24" s="166">
        <v>106124.52399999999</v>
      </c>
      <c r="D24" s="112">
        <f t="shared" si="0"/>
        <v>2.5983510642381977E-3</v>
      </c>
      <c r="E24"/>
      <c r="G24" s="8">
        <f t="shared" ref="G24:G34" si="2">+I24/$I$35</f>
        <v>2.1637116662345759E-2</v>
      </c>
      <c r="H24" t="s">
        <v>5</v>
      </c>
      <c r="I24" s="9">
        <v>504927</v>
      </c>
      <c r="J24" s="9">
        <v>3177087.6890920005</v>
      </c>
      <c r="K24" s="7">
        <v>2164730.1634999998</v>
      </c>
      <c r="L24" s="139">
        <f t="shared" si="1"/>
        <v>-1012357.5255920007</v>
      </c>
    </row>
    <row r="25" spans="2:12" x14ac:dyDescent="0.3">
      <c r="B25" s="167" t="s">
        <v>11</v>
      </c>
      <c r="C25" s="166">
        <v>101253.11</v>
      </c>
      <c r="D25" s="112">
        <f t="shared" si="0"/>
        <v>2.4790794456324471E-3</v>
      </c>
      <c r="E25"/>
      <c r="G25" s="8">
        <f t="shared" si="2"/>
        <v>8.0742710344251303E-2</v>
      </c>
      <c r="H25" t="s">
        <v>6</v>
      </c>
      <c r="I25" s="9">
        <v>1884224</v>
      </c>
      <c r="J25" s="9">
        <v>3214387.73</v>
      </c>
      <c r="K25" s="7">
        <v>3047553.1235989998</v>
      </c>
      <c r="L25" s="139">
        <f t="shared" si="1"/>
        <v>-166834.60640100017</v>
      </c>
    </row>
    <row r="26" spans="2:12" x14ac:dyDescent="0.3">
      <c r="B26" s="148" t="s">
        <v>813</v>
      </c>
      <c r="C26" s="166">
        <v>95811.983204999997</v>
      </c>
      <c r="D26" s="112">
        <f t="shared" si="0"/>
        <v>2.3458589885169624E-3</v>
      </c>
      <c r="E26"/>
      <c r="G26" s="8">
        <f t="shared" si="2"/>
        <v>6.8436567300090206E-2</v>
      </c>
      <c r="H26" t="s">
        <v>7</v>
      </c>
      <c r="I26" s="9">
        <v>1597046</v>
      </c>
      <c r="J26" s="9">
        <v>2864927</v>
      </c>
      <c r="K26" s="7">
        <v>2048128.9333200001</v>
      </c>
      <c r="L26" s="139">
        <f t="shared" si="1"/>
        <v>-816798.06667999993</v>
      </c>
    </row>
    <row r="27" spans="2:12" x14ac:dyDescent="0.3">
      <c r="B27" s="167" t="s">
        <v>2132</v>
      </c>
      <c r="C27" s="166">
        <v>92071.640000000014</v>
      </c>
      <c r="D27" s="112">
        <f t="shared" si="0"/>
        <v>2.2542804882701409E-3</v>
      </c>
      <c r="E27"/>
      <c r="G27" s="8">
        <f t="shared" si="2"/>
        <v>8.8848974659487531E-2</v>
      </c>
      <c r="H27" t="s">
        <v>8</v>
      </c>
      <c r="I27" s="9">
        <v>2073393</v>
      </c>
      <c r="J27" s="122">
        <v>5851088.9557480002</v>
      </c>
      <c r="K27" s="7">
        <v>4644481.3411800014</v>
      </c>
      <c r="L27" s="139">
        <f t="shared" si="1"/>
        <v>-1206607.6145679988</v>
      </c>
    </row>
    <row r="28" spans="2:12" x14ac:dyDescent="0.3">
      <c r="B28" s="148" t="s">
        <v>17</v>
      </c>
      <c r="C28" s="166">
        <v>84750.13</v>
      </c>
      <c r="D28" s="112">
        <f t="shared" si="0"/>
        <v>2.0750207603270443E-3</v>
      </c>
      <c r="E28"/>
      <c r="G28" s="8">
        <f t="shared" si="2"/>
        <v>0.11081480878379682</v>
      </c>
      <c r="H28" t="s">
        <v>49</v>
      </c>
      <c r="I28" s="9">
        <v>2585991</v>
      </c>
      <c r="J28" s="9">
        <f>5573113.96-43702.63</f>
        <v>5529411.3300000001</v>
      </c>
      <c r="K28" s="7">
        <v>2520651.6736999997</v>
      </c>
      <c r="L28" s="139">
        <f t="shared" si="1"/>
        <v>-3008759.6563000004</v>
      </c>
    </row>
    <row r="29" spans="2:12" x14ac:dyDescent="0.3">
      <c r="B29" s="167" t="s">
        <v>2293</v>
      </c>
      <c r="C29" s="166">
        <v>79946.259999999995</v>
      </c>
      <c r="D29" s="112">
        <f t="shared" si="0"/>
        <v>1.9574028878835176E-3</v>
      </c>
      <c r="E29"/>
      <c r="F29" s="46"/>
      <c r="G29" s="8">
        <f t="shared" si="2"/>
        <v>3.8918416276892291E-2</v>
      </c>
      <c r="H29" t="s">
        <v>50</v>
      </c>
      <c r="I29" s="9">
        <v>908206</v>
      </c>
      <c r="J29" s="9">
        <v>4235739</v>
      </c>
      <c r="K29" s="7">
        <v>6323157.8068000004</v>
      </c>
      <c r="L29" s="139">
        <f t="shared" si="1"/>
        <v>2087418.8068000004</v>
      </c>
    </row>
    <row r="30" spans="2:12" x14ac:dyDescent="0.3">
      <c r="B30" s="148" t="s">
        <v>622</v>
      </c>
      <c r="C30" s="166">
        <v>75686.92637999999</v>
      </c>
      <c r="D30" s="112">
        <f t="shared" si="0"/>
        <v>1.8531174350274694E-3</v>
      </c>
      <c r="E30" s="41"/>
      <c r="F30" s="46"/>
      <c r="G30" s="8">
        <f t="shared" si="2"/>
        <v>9.9894712709680047E-2</v>
      </c>
      <c r="H30" t="s">
        <v>54</v>
      </c>
      <c r="I30" s="9">
        <v>2331158</v>
      </c>
      <c r="J30" s="9">
        <v>4006539.8344650008</v>
      </c>
      <c r="K30" s="7">
        <v>3813293.04</v>
      </c>
      <c r="L30" s="139">
        <f t="shared" si="1"/>
        <v>-193246.79446500074</v>
      </c>
    </row>
    <row r="31" spans="2:12" x14ac:dyDescent="0.3">
      <c r="B31" s="148" t="s">
        <v>2910</v>
      </c>
      <c r="C31" s="166">
        <v>73429.86</v>
      </c>
      <c r="D31" s="112">
        <f t="shared" si="0"/>
        <v>1.7978554596660608E-3</v>
      </c>
      <c r="E31" s="41"/>
      <c r="G31" s="8">
        <f t="shared" si="2"/>
        <v>9.6064860741810448E-2</v>
      </c>
      <c r="H31" t="s">
        <v>56</v>
      </c>
      <c r="I31" s="35">
        <v>2241784</v>
      </c>
      <c r="J31" s="9">
        <v>3083967.9337399998</v>
      </c>
      <c r="K31" s="7">
        <v>1777591.59</v>
      </c>
      <c r="L31" s="139">
        <f t="shared" si="1"/>
        <v>-1306376.3437399997</v>
      </c>
    </row>
    <row r="32" spans="2:12" x14ac:dyDescent="0.3">
      <c r="B32" s="167" t="s">
        <v>14</v>
      </c>
      <c r="C32" s="166">
        <v>71882.62</v>
      </c>
      <c r="D32" s="112">
        <f t="shared" si="0"/>
        <v>1.7599728614776163E-3</v>
      </c>
      <c r="G32" s="8">
        <f t="shared" si="2"/>
        <v>0.12085009738110185</v>
      </c>
      <c r="H32" t="s">
        <v>58</v>
      </c>
      <c r="I32" s="115">
        <v>2820176</v>
      </c>
      <c r="J32" s="9">
        <v>1800526.9199999997</v>
      </c>
      <c r="K32" s="7">
        <v>2916241.6379999993</v>
      </c>
      <c r="L32" s="139">
        <f t="shared" si="1"/>
        <v>1115714.7179999996</v>
      </c>
    </row>
    <row r="33" spans="2:12" x14ac:dyDescent="0.3">
      <c r="B33" s="167" t="s">
        <v>3115</v>
      </c>
      <c r="C33" s="166">
        <v>68579.17</v>
      </c>
      <c r="D33" s="112">
        <f t="shared" si="0"/>
        <v>1.6790912471284422E-3</v>
      </c>
      <c r="G33" s="8">
        <f t="shared" si="2"/>
        <v>9.7049941828450711E-2</v>
      </c>
      <c r="H33" t="s">
        <v>59</v>
      </c>
      <c r="I33" s="115">
        <v>2264772</v>
      </c>
      <c r="J33" s="9">
        <v>4477784.1579450006</v>
      </c>
      <c r="K33" s="7">
        <v>3993126.1790550011</v>
      </c>
      <c r="L33" s="139">
        <f t="shared" si="1"/>
        <v>-484657.97888999945</v>
      </c>
    </row>
    <row r="34" spans="2:12" x14ac:dyDescent="0.3">
      <c r="B34" s="167" t="s">
        <v>2717</v>
      </c>
      <c r="C34" s="166">
        <v>60956.42</v>
      </c>
      <c r="D34" s="112">
        <f t="shared" si="0"/>
        <v>1.4924559640818796E-3</v>
      </c>
      <c r="G34" s="8">
        <f t="shared" si="2"/>
        <v>0.10857017974258822</v>
      </c>
      <c r="H34" t="s">
        <v>60</v>
      </c>
      <c r="I34" s="113">
        <v>2533610</v>
      </c>
      <c r="J34" s="9">
        <v>3838396.6524219993</v>
      </c>
      <c r="K34" s="7">
        <v>3809839.07</v>
      </c>
      <c r="L34" s="139">
        <f t="shared" si="1"/>
        <v>-28557.582421999425</v>
      </c>
    </row>
    <row r="35" spans="2:12" ht="15" thickBot="1" x14ac:dyDescent="0.35">
      <c r="B35" s="167" t="s">
        <v>852</v>
      </c>
      <c r="C35" s="166">
        <v>43985.000700000004</v>
      </c>
      <c r="D35" s="112">
        <f t="shared" si="0"/>
        <v>1.0769280188183733E-3</v>
      </c>
      <c r="H35" t="s">
        <v>9</v>
      </c>
      <c r="I35" s="10">
        <f>+SUM(I23:I34)</f>
        <v>23336150</v>
      </c>
      <c r="J35" s="10">
        <f>+SUM(J23:J34)</f>
        <v>44122526.251731001</v>
      </c>
      <c r="K35" s="10">
        <f>+SUM(K23:K34)</f>
        <v>40843026.218359001</v>
      </c>
      <c r="L35" s="139">
        <f t="shared" si="1"/>
        <v>-3279500.0333719999</v>
      </c>
    </row>
    <row r="36" spans="2:12" ht="15" thickTop="1" x14ac:dyDescent="0.3">
      <c r="B36" s="167" t="s">
        <v>2304</v>
      </c>
      <c r="C36" s="166">
        <v>42239.67</v>
      </c>
      <c r="D36" s="112">
        <f t="shared" si="0"/>
        <v>1.0341953712562262E-3</v>
      </c>
      <c r="I36" s="11"/>
      <c r="J36" s="35"/>
      <c r="K36" s="40"/>
    </row>
    <row r="37" spans="2:12" x14ac:dyDescent="0.3">
      <c r="B37" s="167" t="s">
        <v>1326</v>
      </c>
      <c r="C37" s="166">
        <v>29254.9</v>
      </c>
      <c r="D37" s="112">
        <f t="shared" si="0"/>
        <v>7.1627648053509355E-4</v>
      </c>
      <c r="I37" s="11"/>
      <c r="J37" s="35"/>
      <c r="K37" s="40"/>
    </row>
    <row r="38" spans="2:12" x14ac:dyDescent="0.3">
      <c r="B38" s="167" t="s">
        <v>2911</v>
      </c>
      <c r="C38" s="166">
        <v>20580.62</v>
      </c>
      <c r="D38" s="112">
        <f t="shared" si="0"/>
        <v>5.0389555461923148E-4</v>
      </c>
      <c r="I38" s="11"/>
      <c r="J38" s="35"/>
      <c r="K38" s="40"/>
    </row>
    <row r="39" spans="2:12" x14ac:dyDescent="0.3">
      <c r="B39" s="167" t="s">
        <v>857</v>
      </c>
      <c r="C39" s="166">
        <v>8992.8525000000009</v>
      </c>
      <c r="D39" s="112">
        <f t="shared" ref="D39:D44" si="3">+C39/$C$46</f>
        <v>2.2018084965838943E-4</v>
      </c>
      <c r="I39" s="11"/>
      <c r="J39" s="114"/>
      <c r="K39" s="7"/>
    </row>
    <row r="40" spans="2:12" x14ac:dyDescent="0.3">
      <c r="B40" s="167" t="s">
        <v>2306</v>
      </c>
      <c r="C40" s="166">
        <v>6233.25</v>
      </c>
      <c r="D40" s="112">
        <f t="shared" si="3"/>
        <v>1.5261478837033698E-4</v>
      </c>
      <c r="I40" s="11"/>
      <c r="J40" s="114"/>
      <c r="K40" s="7"/>
    </row>
    <row r="41" spans="2:12" x14ac:dyDescent="0.3">
      <c r="B41" s="167" t="s">
        <v>2226</v>
      </c>
      <c r="C41" s="166">
        <v>5066.33</v>
      </c>
      <c r="D41" s="112">
        <f t="shared" si="3"/>
        <v>1.2404393867794319E-4</v>
      </c>
    </row>
    <row r="42" spans="2:12" x14ac:dyDescent="0.3">
      <c r="B42" s="167" t="s">
        <v>1177</v>
      </c>
      <c r="C42" s="166">
        <v>4815.5495000000001</v>
      </c>
      <c r="D42" s="112">
        <f t="shared" si="3"/>
        <v>1.1790383312547742E-4</v>
      </c>
    </row>
    <row r="43" spans="2:12" x14ac:dyDescent="0.3">
      <c r="B43" s="167" t="s">
        <v>13</v>
      </c>
      <c r="C43" s="166">
        <v>4500</v>
      </c>
      <c r="D43" s="112">
        <f t="shared" si="3"/>
        <v>1.101779244642067E-4</v>
      </c>
    </row>
    <row r="44" spans="2:12" x14ac:dyDescent="0.3">
      <c r="B44" s="167" t="s">
        <v>1179</v>
      </c>
      <c r="C44" s="166">
        <v>3140.5635000000002</v>
      </c>
      <c r="D44" s="112">
        <f t="shared" si="3"/>
        <v>7.6893504017343253E-5</v>
      </c>
    </row>
    <row r="45" spans="2:12" ht="15" thickBot="1" x14ac:dyDescent="0.35">
      <c r="B45" s="168"/>
      <c r="C45" s="169"/>
    </row>
    <row r="46" spans="2:12" x14ac:dyDescent="0.3">
      <c r="B46" s="170" t="s">
        <v>23</v>
      </c>
      <c r="C46" s="171">
        <f>SUM(C10:C45)</f>
        <v>40843027.511032</v>
      </c>
    </row>
    <row r="47" spans="2:12" x14ac:dyDescent="0.3">
      <c r="C47" s="7">
        <f>+C46-K35</f>
        <v>1.2926729992032051</v>
      </c>
    </row>
  </sheetData>
  <sortState xmlns:xlrd2="http://schemas.microsoft.com/office/spreadsheetml/2017/richdata2" ref="B10:C22">
    <sortCondition descending="1" ref="C10:C22"/>
  </sortState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8078-3DFB-46CF-82ED-230800A4886A}">
  <dimension ref="B7:G32"/>
  <sheetViews>
    <sheetView showGridLines="0" topLeftCell="A3" zoomScale="110" zoomScaleNormal="110" workbookViewId="0">
      <selection activeCell="D12" sqref="D12:D23"/>
    </sheetView>
  </sheetViews>
  <sheetFormatPr baseColWidth="10" defaultRowHeight="14.4" x14ac:dyDescent="0.3"/>
  <cols>
    <col min="3" max="3" width="12.6640625" customWidth="1"/>
    <col min="4" max="4" width="13.77734375" bestFit="1" customWidth="1"/>
    <col min="5" max="5" width="15.33203125" bestFit="1" customWidth="1"/>
    <col min="6" max="6" width="14.109375" bestFit="1" customWidth="1"/>
    <col min="7" max="7" width="15.33203125" bestFit="1" customWidth="1"/>
    <col min="10" max="10" width="17.33203125" bestFit="1" customWidth="1"/>
  </cols>
  <sheetData>
    <row r="7" spans="2:5" x14ac:dyDescent="0.3">
      <c r="B7" s="1" t="s">
        <v>26</v>
      </c>
      <c r="C7" s="24"/>
      <c r="D7" s="24"/>
      <c r="E7" s="25"/>
    </row>
    <row r="8" spans="2:5" x14ac:dyDescent="0.3">
      <c r="B8" s="3" t="s">
        <v>866</v>
      </c>
      <c r="C8" s="26"/>
      <c r="D8" s="26"/>
      <c r="E8" s="27"/>
    </row>
    <row r="9" spans="2:5" x14ac:dyDescent="0.3">
      <c r="B9" s="4" t="s">
        <v>1</v>
      </c>
      <c r="C9" s="28"/>
      <c r="D9" s="28"/>
      <c r="E9" s="29"/>
    </row>
    <row r="10" spans="2:5" x14ac:dyDescent="0.3">
      <c r="B10" s="6"/>
      <c r="C10" s="20" t="s">
        <v>25</v>
      </c>
      <c r="D10" s="21"/>
      <c r="E10" s="14"/>
    </row>
    <row r="11" spans="2:5" x14ac:dyDescent="0.3">
      <c r="B11" s="22" t="s">
        <v>24</v>
      </c>
      <c r="C11" s="18" t="s">
        <v>21</v>
      </c>
      <c r="D11" s="19" t="s">
        <v>22</v>
      </c>
      <c r="E11" s="23" t="s">
        <v>23</v>
      </c>
    </row>
    <row r="12" spans="2:5" x14ac:dyDescent="0.3">
      <c r="B12" s="56" t="s">
        <v>4</v>
      </c>
      <c r="C12" s="61">
        <v>815577.36</v>
      </c>
      <c r="D12" s="61">
        <v>2968654.299205</v>
      </c>
      <c r="E12" s="61">
        <f>+SUM(C12:D12)</f>
        <v>3784231.6592049999</v>
      </c>
    </row>
    <row r="13" spans="2:5" x14ac:dyDescent="0.3">
      <c r="B13" s="56" t="s">
        <v>5</v>
      </c>
      <c r="C13" s="61">
        <v>982121.86</v>
      </c>
      <c r="D13" s="61">
        <v>1182608.31</v>
      </c>
      <c r="E13" s="61">
        <f t="shared" ref="E13:E17" si="0">+SUM(C13:D13)</f>
        <v>2164730.17</v>
      </c>
    </row>
    <row r="14" spans="2:5" x14ac:dyDescent="0.3">
      <c r="B14" s="56" t="s">
        <v>6</v>
      </c>
      <c r="C14" s="61">
        <v>1133086.7600000005</v>
      </c>
      <c r="D14" s="61">
        <v>1914466.3635989996</v>
      </c>
      <c r="E14" s="61">
        <f t="shared" si="0"/>
        <v>3047553.1235990003</v>
      </c>
    </row>
    <row r="15" spans="2:5" x14ac:dyDescent="0.3">
      <c r="B15" s="56" t="s">
        <v>7</v>
      </c>
      <c r="C15" s="61">
        <v>842176.50000000023</v>
      </c>
      <c r="D15" s="61">
        <v>1205952.4333200001</v>
      </c>
      <c r="E15" s="61">
        <f t="shared" si="0"/>
        <v>2048128.9333200003</v>
      </c>
    </row>
    <row r="16" spans="2:5" x14ac:dyDescent="0.3">
      <c r="B16" s="56" t="s">
        <v>8</v>
      </c>
      <c r="C16" s="61">
        <v>1017639.3200000001</v>
      </c>
      <c r="D16" s="61">
        <v>3626842.0211800002</v>
      </c>
      <c r="E16" s="61">
        <f t="shared" si="0"/>
        <v>4644481.3411800005</v>
      </c>
    </row>
    <row r="17" spans="2:7" x14ac:dyDescent="0.3">
      <c r="B17" s="56" t="s">
        <v>49</v>
      </c>
      <c r="C17" s="61">
        <v>642516</v>
      </c>
      <c r="D17" s="61">
        <v>1878135.6736999997</v>
      </c>
      <c r="E17" s="61">
        <f t="shared" si="0"/>
        <v>2520651.6736999997</v>
      </c>
    </row>
    <row r="18" spans="2:7" x14ac:dyDescent="0.3">
      <c r="B18" s="56" t="s">
        <v>50</v>
      </c>
      <c r="C18" s="61">
        <v>1344354.95</v>
      </c>
      <c r="D18" s="61">
        <v>4978802.8600000003</v>
      </c>
      <c r="E18" s="61">
        <f t="shared" ref="E18:E23" si="1">+SUM(C18:D18)</f>
        <v>6323157.8100000005</v>
      </c>
    </row>
    <row r="19" spans="2:7" x14ac:dyDescent="0.3">
      <c r="B19" s="56" t="s">
        <v>54</v>
      </c>
      <c r="C19" s="61">
        <v>1026230.07</v>
      </c>
      <c r="D19" s="61">
        <v>2787062.9697279995</v>
      </c>
      <c r="E19" s="61">
        <f t="shared" si="1"/>
        <v>3813293.0397279994</v>
      </c>
    </row>
    <row r="20" spans="2:7" x14ac:dyDescent="0.3">
      <c r="B20" s="56" t="s">
        <v>57</v>
      </c>
      <c r="C20" s="61">
        <v>455362.33</v>
      </c>
      <c r="D20" s="61">
        <v>1322229.26</v>
      </c>
      <c r="E20" s="61">
        <f t="shared" si="1"/>
        <v>1777591.59</v>
      </c>
    </row>
    <row r="21" spans="2:7" x14ac:dyDescent="0.3">
      <c r="B21" s="56" t="s">
        <v>58</v>
      </c>
      <c r="C21" s="61">
        <v>597699.56000000006</v>
      </c>
      <c r="D21" s="61">
        <v>2318542.08</v>
      </c>
      <c r="E21" s="61">
        <f t="shared" si="1"/>
        <v>2916241.64</v>
      </c>
    </row>
    <row r="22" spans="2:7" x14ac:dyDescent="0.3">
      <c r="B22" s="56" t="s">
        <v>849</v>
      </c>
      <c r="C22" s="61">
        <v>717989.16</v>
      </c>
      <c r="D22" s="61">
        <v>3275137.02</v>
      </c>
      <c r="E22" s="61">
        <f t="shared" si="1"/>
        <v>3993126.18</v>
      </c>
    </row>
    <row r="23" spans="2:7" x14ac:dyDescent="0.3">
      <c r="B23" s="56" t="s">
        <v>60</v>
      </c>
      <c r="C23" s="61">
        <v>1371249.63</v>
      </c>
      <c r="D23" s="61">
        <v>2438589.4399999999</v>
      </c>
      <c r="E23" s="61">
        <f t="shared" si="1"/>
        <v>3809839.07</v>
      </c>
    </row>
    <row r="24" spans="2:7" ht="15" thickBot="1" x14ac:dyDescent="0.35">
      <c r="B24" s="15" t="s">
        <v>9</v>
      </c>
      <c r="C24" s="59">
        <f>+SUM(C12:C23)</f>
        <v>10946003.5</v>
      </c>
      <c r="D24" s="59">
        <f>+SUM(D12:D23)</f>
        <v>29897022.730732001</v>
      </c>
      <c r="E24" s="60">
        <f>+SUM(E12:E23)</f>
        <v>40843026.230732009</v>
      </c>
      <c r="F24" s="45"/>
    </row>
    <row r="25" spans="2:7" ht="15" thickTop="1" x14ac:dyDescent="0.3">
      <c r="B25" s="12"/>
      <c r="C25" s="16"/>
      <c r="D25" s="16"/>
      <c r="E25" s="17"/>
      <c r="F25" s="45"/>
    </row>
    <row r="26" spans="2:7" x14ac:dyDescent="0.3">
      <c r="E26" s="46"/>
      <c r="F26" s="41"/>
      <c r="G26" s="46"/>
    </row>
    <row r="27" spans="2:7" x14ac:dyDescent="0.3">
      <c r="C27" s="40">
        <f>+C24/E24</f>
        <v>0.26800177435833017</v>
      </c>
      <c r="D27" s="40">
        <f>+D24/E24</f>
        <v>0.73199822564166961</v>
      </c>
      <c r="F27" s="41"/>
      <c r="G27" s="46"/>
    </row>
    <row r="28" spans="2:7" x14ac:dyDescent="0.3">
      <c r="F28" s="41"/>
      <c r="G28" s="46"/>
    </row>
    <row r="29" spans="2:7" x14ac:dyDescent="0.3">
      <c r="D29" s="41"/>
      <c r="E29" s="46"/>
    </row>
    <row r="30" spans="2:7" x14ac:dyDescent="0.3">
      <c r="D30" s="41"/>
      <c r="E30" s="46"/>
      <c r="G30" s="45"/>
    </row>
    <row r="31" spans="2:7" x14ac:dyDescent="0.3">
      <c r="E31" s="46"/>
      <c r="G31" s="45"/>
    </row>
    <row r="32" spans="2:7" x14ac:dyDescent="0.3">
      <c r="G32" s="4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E751-60D2-463D-9742-5C708440F289}">
  <dimension ref="A1:T46"/>
  <sheetViews>
    <sheetView showGridLines="0" topLeftCell="B2" zoomScale="90" zoomScaleNormal="90" workbookViewId="0">
      <pane xSplit="1" ySplit="3" topLeftCell="C5" activePane="bottomRight" state="frozen"/>
      <selection activeCell="B2" sqref="B2"/>
      <selection pane="topRight" activeCell="C2" sqref="C2"/>
      <selection pane="bottomLeft" activeCell="B5" sqref="B5"/>
      <selection pane="bottomRight" activeCell="N6" sqref="A6:N6"/>
    </sheetView>
  </sheetViews>
  <sheetFormatPr baseColWidth="10" defaultRowHeight="14.4" x14ac:dyDescent="0.3"/>
  <cols>
    <col min="1" max="1" width="5.6640625" customWidth="1"/>
    <col min="2" max="2" width="55.6640625" customWidth="1"/>
    <col min="3" max="4" width="13.6640625" customWidth="1"/>
    <col min="5" max="5" width="14.88671875" customWidth="1"/>
    <col min="6" max="6" width="13.6640625" customWidth="1"/>
    <col min="7" max="7" width="15.109375" customWidth="1"/>
    <col min="8" max="8" width="14.88671875" customWidth="1"/>
    <col min="9" max="14" width="13.6640625" customWidth="1"/>
    <col min="15" max="15" width="13.6640625" style="39" customWidth="1"/>
    <col min="16" max="16" width="1.6640625" customWidth="1"/>
    <col min="18" max="18" width="43.44140625" bestFit="1" customWidth="1"/>
    <col min="19" max="19" width="14.88671875" bestFit="1" customWidth="1"/>
  </cols>
  <sheetData>
    <row r="1" spans="1:20" ht="15" thickBot="1" x14ac:dyDescent="0.35"/>
    <row r="2" spans="1:20" x14ac:dyDescent="0.3">
      <c r="B2" s="82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95"/>
    </row>
    <row r="3" spans="1:20" x14ac:dyDescent="0.3">
      <c r="B3" s="92" t="s">
        <v>37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78"/>
    </row>
    <row r="4" spans="1:20" x14ac:dyDescent="0.3">
      <c r="B4" s="92" t="str">
        <f>+'Acumulado 2025'!B7</f>
        <v>FACTURACIÓN ACUMULADA DEL 1o DE ENERO AL 31 de Diciembre 2025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78"/>
    </row>
    <row r="5" spans="1:20" s="2" customFormat="1" x14ac:dyDescent="0.3">
      <c r="B5" s="89" t="s">
        <v>2</v>
      </c>
      <c r="C5" s="37" t="s">
        <v>38</v>
      </c>
      <c r="D5" s="37" t="s">
        <v>39</v>
      </c>
      <c r="E5" s="37" t="s">
        <v>40</v>
      </c>
      <c r="F5" s="37" t="s">
        <v>35</v>
      </c>
      <c r="G5" s="37" t="s">
        <v>36</v>
      </c>
      <c r="H5" s="37" t="s">
        <v>41</v>
      </c>
      <c r="I5" s="37" t="s">
        <v>42</v>
      </c>
      <c r="J5" s="37" t="s">
        <v>43</v>
      </c>
      <c r="K5" s="37" t="s">
        <v>44</v>
      </c>
      <c r="L5" s="38" t="s">
        <v>33</v>
      </c>
      <c r="M5" s="38" t="s">
        <v>34</v>
      </c>
      <c r="N5" s="38" t="s">
        <v>45</v>
      </c>
      <c r="O5" s="80" t="s">
        <v>9</v>
      </c>
    </row>
    <row r="6" spans="1:20" x14ac:dyDescent="0.3">
      <c r="B6" s="70" t="s">
        <v>864</v>
      </c>
      <c r="C6" s="117">
        <v>393652.11000000004</v>
      </c>
      <c r="D6" s="117">
        <v>216258.51</v>
      </c>
      <c r="E6" s="117">
        <v>73284.25</v>
      </c>
      <c r="F6" s="117">
        <v>54738.47</v>
      </c>
      <c r="G6" s="117">
        <v>2604790.3599999994</v>
      </c>
      <c r="H6" s="117">
        <v>929149.66000000015</v>
      </c>
      <c r="I6" s="117">
        <v>3494618.6399999997</v>
      </c>
      <c r="J6" s="117">
        <v>1800483.09</v>
      </c>
      <c r="K6" s="117">
        <v>489112.45</v>
      </c>
      <c r="L6" s="117">
        <v>1439629.75</v>
      </c>
      <c r="M6" s="117">
        <v>2604841.25</v>
      </c>
      <c r="N6" s="117">
        <v>2123342.79</v>
      </c>
      <c r="O6" s="76">
        <f>+SUM(C6:N6)</f>
        <v>16223901.329999998</v>
      </c>
    </row>
    <row r="7" spans="1:20" s="2" customFormat="1" x14ac:dyDescent="0.3">
      <c r="B7" s="140" t="s">
        <v>10</v>
      </c>
      <c r="C7" s="119">
        <v>812727.29999999993</v>
      </c>
      <c r="D7" s="119">
        <v>583487.74</v>
      </c>
      <c r="E7" s="119">
        <v>554042.4593949999</v>
      </c>
      <c r="F7" s="119">
        <v>600542.59311999998</v>
      </c>
      <c r="G7" s="117">
        <v>726680.34479999996</v>
      </c>
      <c r="H7" s="119">
        <v>916474.36</v>
      </c>
      <c r="I7" s="119">
        <v>926387.76679999998</v>
      </c>
      <c r="J7" s="117">
        <v>550795.0199999999</v>
      </c>
      <c r="K7" s="143">
        <v>526957.56999999995</v>
      </c>
      <c r="L7" s="143">
        <v>671965.98</v>
      </c>
      <c r="M7" s="119">
        <v>831416.9</v>
      </c>
      <c r="N7" s="141">
        <v>486828.4</v>
      </c>
      <c r="O7" s="142">
        <f t="shared" ref="O7:O41" si="0">+SUM(C7:N7)</f>
        <v>8188306.4341150001</v>
      </c>
      <c r="R7" s="41"/>
      <c r="S7" s="46"/>
      <c r="T7" s="47"/>
    </row>
    <row r="8" spans="1:20" s="2" customFormat="1" x14ac:dyDescent="0.3">
      <c r="B8" s="140" t="s">
        <v>62</v>
      </c>
      <c r="C8" s="119">
        <v>443908.74</v>
      </c>
      <c r="D8" s="119">
        <v>338961.8885</v>
      </c>
      <c r="E8" s="119">
        <v>765478.37</v>
      </c>
      <c r="F8" s="119">
        <v>468712.31</v>
      </c>
      <c r="G8" s="117">
        <v>259336.95</v>
      </c>
      <c r="H8" s="119"/>
      <c r="I8" s="119">
        <v>50489.729999999996</v>
      </c>
      <c r="J8" s="117">
        <v>23920.73</v>
      </c>
      <c r="K8" s="143">
        <v>15008.42</v>
      </c>
      <c r="L8" s="143">
        <v>11103.59</v>
      </c>
      <c r="M8" s="119">
        <v>10475.049999999999</v>
      </c>
      <c r="N8" s="119">
        <v>11541.85</v>
      </c>
      <c r="O8" s="142">
        <f t="shared" si="0"/>
        <v>2398937.6284999996</v>
      </c>
      <c r="Q8" s="41"/>
      <c r="R8" s="41"/>
      <c r="S8" s="46"/>
      <c r="T8" s="47"/>
    </row>
    <row r="9" spans="1:20" s="2" customFormat="1" x14ac:dyDescent="0.3">
      <c r="B9" s="140" t="s">
        <v>63</v>
      </c>
      <c r="C9" s="119">
        <v>262218.11</v>
      </c>
      <c r="D9" s="119">
        <v>238568.38999999996</v>
      </c>
      <c r="E9" s="141">
        <v>576665.92000000004</v>
      </c>
      <c r="F9" s="119">
        <v>304452.31000000006</v>
      </c>
      <c r="G9" s="117">
        <v>377566.35</v>
      </c>
      <c r="H9" s="119">
        <v>276074.53999999998</v>
      </c>
      <c r="I9" s="119">
        <v>518229</v>
      </c>
      <c r="J9" s="117">
        <v>320902.36</v>
      </c>
      <c r="K9" s="143">
        <v>301236.8</v>
      </c>
      <c r="L9" s="143">
        <v>148029</v>
      </c>
      <c r="M9" s="141">
        <v>106320.84</v>
      </c>
      <c r="N9" s="141">
        <v>201916.35</v>
      </c>
      <c r="O9" s="142">
        <f t="shared" si="0"/>
        <v>3632179.9699999997</v>
      </c>
      <c r="Q9" s="41"/>
      <c r="R9" s="41"/>
      <c r="S9" s="46"/>
    </row>
    <row r="10" spans="1:20" s="44" customFormat="1" x14ac:dyDescent="0.3">
      <c r="B10" s="108" t="s">
        <v>862</v>
      </c>
      <c r="C10" s="117">
        <v>1230867.443</v>
      </c>
      <c r="D10" s="117"/>
      <c r="E10" s="99">
        <v>171906.80000400002</v>
      </c>
      <c r="F10" s="117"/>
      <c r="G10" s="117"/>
      <c r="H10" s="117"/>
      <c r="I10" s="117"/>
      <c r="J10" s="117"/>
      <c r="K10" s="117"/>
      <c r="L10" s="117"/>
      <c r="M10" s="99"/>
      <c r="N10" s="99"/>
      <c r="O10" s="76">
        <f t="shared" si="0"/>
        <v>1402774.243004</v>
      </c>
      <c r="Q10" s="41"/>
      <c r="R10" s="41"/>
      <c r="S10" s="46"/>
    </row>
    <row r="11" spans="1:20" x14ac:dyDescent="0.3">
      <c r="B11" s="70" t="s">
        <v>863</v>
      </c>
      <c r="C11" s="117">
        <v>421264.95999999996</v>
      </c>
      <c r="D11" s="117">
        <v>220293.61749999999</v>
      </c>
      <c r="E11" s="117">
        <v>307817.2</v>
      </c>
      <c r="F11" s="117">
        <v>237561.59999999998</v>
      </c>
      <c r="G11" s="117">
        <v>162415.36000000002</v>
      </c>
      <c r="H11" s="117">
        <v>21000</v>
      </c>
      <c r="I11" s="117">
        <v>123080.73000000001</v>
      </c>
      <c r="J11" s="117">
        <v>187046.2</v>
      </c>
      <c r="K11" s="117">
        <v>34777.33</v>
      </c>
      <c r="L11" s="117">
        <v>343000.14</v>
      </c>
      <c r="M11" s="117">
        <v>49726.57</v>
      </c>
      <c r="N11" s="117">
        <v>161751.22</v>
      </c>
      <c r="O11" s="76">
        <f t="shared" si="0"/>
        <v>2269734.9275000002</v>
      </c>
      <c r="Q11" s="41"/>
      <c r="R11" s="41"/>
      <c r="S11" s="46"/>
    </row>
    <row r="12" spans="1:20" x14ac:dyDescent="0.3">
      <c r="B12" s="70" t="s">
        <v>843</v>
      </c>
      <c r="C12" s="117">
        <v>22000</v>
      </c>
      <c r="D12" s="117">
        <v>240000</v>
      </c>
      <c r="E12" s="117">
        <v>358140</v>
      </c>
      <c r="F12" s="117">
        <v>244110.76</v>
      </c>
      <c r="G12" s="117">
        <v>264680.31</v>
      </c>
      <c r="H12" s="117">
        <v>286000</v>
      </c>
      <c r="I12" s="117">
        <v>287900</v>
      </c>
      <c r="J12" s="117">
        <v>245000</v>
      </c>
      <c r="K12" s="117">
        <v>88000</v>
      </c>
      <c r="L12" s="117">
        <v>44000</v>
      </c>
      <c r="M12" s="117">
        <v>44000</v>
      </c>
      <c r="N12" s="117">
        <v>66000</v>
      </c>
      <c r="O12" s="76">
        <f t="shared" si="0"/>
        <v>2189831.0700000003</v>
      </c>
      <c r="Q12" s="41"/>
      <c r="R12" s="41"/>
      <c r="S12" s="46"/>
    </row>
    <row r="13" spans="1:20" x14ac:dyDescent="0.3">
      <c r="A13" s="41" t="s">
        <v>1596</v>
      </c>
      <c r="B13" s="70" t="s">
        <v>1596</v>
      </c>
      <c r="C13" s="117"/>
      <c r="D13" s="117"/>
      <c r="E13" s="117"/>
      <c r="F13" s="117"/>
      <c r="G13" s="117"/>
      <c r="H13" s="117"/>
      <c r="I13" s="117">
        <v>436050.55</v>
      </c>
      <c r="J13" s="117"/>
      <c r="K13" s="117"/>
      <c r="L13" s="117"/>
      <c r="M13" s="117"/>
      <c r="N13" s="117"/>
      <c r="O13" s="76">
        <f t="shared" si="0"/>
        <v>436050.55</v>
      </c>
      <c r="Q13" s="41"/>
      <c r="R13" s="41"/>
      <c r="S13" s="46"/>
    </row>
    <row r="14" spans="1:20" x14ac:dyDescent="0.3">
      <c r="B14" s="70" t="s">
        <v>865</v>
      </c>
      <c r="C14" s="117">
        <v>83820.573000000004</v>
      </c>
      <c r="D14" s="117">
        <v>97309</v>
      </c>
      <c r="E14" s="117">
        <v>82427.282999999996</v>
      </c>
      <c r="F14" s="117">
        <v>92440.045199999993</v>
      </c>
      <c r="G14" s="117">
        <v>79734</v>
      </c>
      <c r="H14" s="117">
        <v>86023.641199999998</v>
      </c>
      <c r="I14" s="119">
        <v>30043.519999999997</v>
      </c>
      <c r="J14" s="178">
        <v>153190.962528</v>
      </c>
      <c r="K14" s="178">
        <v>151076.20000000001</v>
      </c>
      <c r="L14" s="178">
        <v>126398.63</v>
      </c>
      <c r="M14" s="117"/>
      <c r="N14" s="117"/>
      <c r="O14" s="76">
        <f t="shared" si="0"/>
        <v>982463.85492800002</v>
      </c>
      <c r="Q14" s="41"/>
      <c r="R14" s="41"/>
      <c r="S14" s="46"/>
    </row>
    <row r="15" spans="1:20" s="2" customFormat="1" x14ac:dyDescent="0.3">
      <c r="B15" s="70" t="s">
        <v>16</v>
      </c>
      <c r="C15" s="143">
        <v>9653.43</v>
      </c>
      <c r="D15" s="143">
        <v>138518.57</v>
      </c>
      <c r="E15" s="143">
        <v>19500</v>
      </c>
      <c r="F15" s="143"/>
      <c r="G15" s="117">
        <v>19500</v>
      </c>
      <c r="H15" s="143"/>
      <c r="I15" s="143">
        <v>19500</v>
      </c>
      <c r="J15" s="117">
        <v>39000</v>
      </c>
      <c r="K15" s="143">
        <v>20447.419999999998</v>
      </c>
      <c r="L15" s="143"/>
      <c r="M15" s="97">
        <v>205330.03</v>
      </c>
      <c r="N15" s="97">
        <v>163348.29</v>
      </c>
      <c r="O15" s="144">
        <f t="shared" si="0"/>
        <v>634797.74</v>
      </c>
      <c r="Q15" s="41"/>
      <c r="R15" s="41"/>
      <c r="S15" s="46"/>
      <c r="T15" s="47"/>
    </row>
    <row r="16" spans="1:20" x14ac:dyDescent="0.3">
      <c r="B16" s="70" t="s">
        <v>855</v>
      </c>
      <c r="C16" s="117">
        <v>29447.57</v>
      </c>
      <c r="D16" s="117">
        <v>46666.85</v>
      </c>
      <c r="E16" s="117"/>
      <c r="F16" s="117"/>
      <c r="G16" s="117">
        <v>57070.28</v>
      </c>
      <c r="H16" s="117"/>
      <c r="I16" s="117">
        <v>169164</v>
      </c>
      <c r="J16" s="117">
        <v>198076.03200000001</v>
      </c>
      <c r="K16" s="117"/>
      <c r="L16" s="117">
        <v>16057.96</v>
      </c>
      <c r="M16" s="117">
        <v>10080</v>
      </c>
      <c r="N16" s="98"/>
      <c r="O16" s="76">
        <f t="shared" si="0"/>
        <v>526562.69200000004</v>
      </c>
      <c r="Q16" s="41"/>
      <c r="R16" s="41"/>
      <c r="S16" s="46"/>
    </row>
    <row r="17" spans="1:20" x14ac:dyDescent="0.3">
      <c r="B17" s="70" t="s">
        <v>2275</v>
      </c>
      <c r="C17" s="117"/>
      <c r="D17" s="117"/>
      <c r="E17" s="117"/>
      <c r="F17" s="117"/>
      <c r="G17" s="117"/>
      <c r="H17" s="117"/>
      <c r="I17" s="117">
        <v>139909.44</v>
      </c>
      <c r="J17" s="119">
        <v>253265.53119999997</v>
      </c>
      <c r="K17" s="119">
        <v>2983.45</v>
      </c>
      <c r="L17" s="117"/>
      <c r="M17" s="117"/>
      <c r="N17" s="98"/>
      <c r="O17" s="76">
        <f t="shared" si="0"/>
        <v>396158.42119999998</v>
      </c>
      <c r="Q17" s="41"/>
      <c r="R17" s="41"/>
      <c r="S17" s="46"/>
    </row>
    <row r="18" spans="1:20" x14ac:dyDescent="0.3">
      <c r="B18" s="70" t="s">
        <v>813</v>
      </c>
      <c r="C18" s="117">
        <v>70594.963204999993</v>
      </c>
      <c r="D18" s="117"/>
      <c r="E18" s="117">
        <v>25217.02</v>
      </c>
      <c r="F18" s="117"/>
      <c r="G18" s="117"/>
      <c r="H18" s="117"/>
      <c r="I18" s="117"/>
      <c r="J18" s="117"/>
      <c r="K18" s="117"/>
      <c r="L18" s="117"/>
      <c r="M18" s="117"/>
      <c r="N18" s="117"/>
      <c r="O18" s="76">
        <f t="shared" si="0"/>
        <v>95811.983204999997</v>
      </c>
      <c r="R18" s="41"/>
      <c r="S18" s="46"/>
    </row>
    <row r="19" spans="1:20" s="2" customFormat="1" x14ac:dyDescent="0.3">
      <c r="B19" s="41" t="s">
        <v>622</v>
      </c>
      <c r="C19" s="143"/>
      <c r="D19" s="143"/>
      <c r="E19" s="143"/>
      <c r="F19" s="143"/>
      <c r="G19" s="117">
        <v>75686.92637999999</v>
      </c>
      <c r="H19" s="143"/>
      <c r="I19" s="143"/>
      <c r="J19" s="117"/>
      <c r="K19" s="143"/>
      <c r="L19" s="143"/>
      <c r="M19" s="97"/>
      <c r="N19" s="97"/>
      <c r="O19" s="76">
        <f t="shared" si="0"/>
        <v>75686.92637999999</v>
      </c>
      <c r="R19" s="41"/>
      <c r="S19" s="46"/>
      <c r="T19" s="47"/>
    </row>
    <row r="20" spans="1:20" x14ac:dyDescent="0.3">
      <c r="B20" s="70" t="s">
        <v>11</v>
      </c>
      <c r="C20" s="117"/>
      <c r="D20" s="117"/>
      <c r="E20" s="117">
        <v>34700</v>
      </c>
      <c r="F20" s="117">
        <v>38246.990000000005</v>
      </c>
      <c r="G20" s="117"/>
      <c r="H20" s="117"/>
      <c r="I20" s="117"/>
      <c r="J20" s="117"/>
      <c r="K20" s="117">
        <v>28306.12</v>
      </c>
      <c r="L20" s="117"/>
      <c r="M20" s="117"/>
      <c r="N20" s="117"/>
      <c r="O20" s="76">
        <f t="shared" si="0"/>
        <v>101253.11</v>
      </c>
      <c r="R20" s="41"/>
      <c r="S20" s="46"/>
    </row>
    <row r="21" spans="1:20" x14ac:dyDescent="0.3">
      <c r="B21" s="70" t="s">
        <v>2293</v>
      </c>
      <c r="C21" s="117"/>
      <c r="D21" s="117"/>
      <c r="E21" s="117"/>
      <c r="F21" s="117"/>
      <c r="G21" s="117"/>
      <c r="H21" s="117"/>
      <c r="I21" s="119">
        <v>71322.239999999991</v>
      </c>
      <c r="J21" s="117"/>
      <c r="K21" s="117"/>
      <c r="L21" s="117"/>
      <c r="M21" s="117"/>
      <c r="N21" s="117">
        <v>8624.02</v>
      </c>
      <c r="O21" s="76">
        <f t="shared" si="0"/>
        <v>79946.259999999995</v>
      </c>
      <c r="R21" s="41"/>
      <c r="S21" s="46"/>
    </row>
    <row r="22" spans="1:20" x14ac:dyDescent="0.3">
      <c r="B22" s="70" t="s">
        <v>14</v>
      </c>
      <c r="C22" s="117"/>
      <c r="D22" s="117">
        <v>9336.15</v>
      </c>
      <c r="E22" s="117">
        <v>38448</v>
      </c>
      <c r="F22" s="117"/>
      <c r="G22" s="117"/>
      <c r="H22" s="117"/>
      <c r="I22" s="117">
        <v>11448.470000000001</v>
      </c>
      <c r="J22" s="117"/>
      <c r="K22" s="117">
        <v>12650</v>
      </c>
      <c r="L22" s="117"/>
      <c r="M22" s="117"/>
      <c r="N22" s="117"/>
      <c r="O22" s="76">
        <f t="shared" si="0"/>
        <v>71882.62</v>
      </c>
      <c r="R22" s="41"/>
      <c r="S22" s="46"/>
    </row>
    <row r="23" spans="1:20" x14ac:dyDescent="0.3">
      <c r="B23" s="70" t="s">
        <v>852</v>
      </c>
      <c r="C23" s="117"/>
      <c r="D23" s="117">
        <v>15550.012000000001</v>
      </c>
      <c r="E23" s="117">
        <v>13959.773700000002</v>
      </c>
      <c r="F23" s="117">
        <v>7323.8549999999996</v>
      </c>
      <c r="G23" s="117">
        <v>7151.36</v>
      </c>
      <c r="H23" s="117"/>
      <c r="I23" s="119"/>
      <c r="J23" s="117"/>
      <c r="K23" s="117"/>
      <c r="L23" s="117"/>
      <c r="M23" s="98"/>
      <c r="N23" s="98"/>
      <c r="O23" s="76">
        <f t="shared" si="0"/>
        <v>43985.000700000004</v>
      </c>
      <c r="T23" s="44"/>
    </row>
    <row r="24" spans="1:20" x14ac:dyDescent="0.3">
      <c r="B24" s="70" t="s">
        <v>17</v>
      </c>
      <c r="C24" s="117">
        <v>4076.46</v>
      </c>
      <c r="D24" s="117">
        <v>10275.6</v>
      </c>
      <c r="E24" s="117">
        <v>7700.77</v>
      </c>
      <c r="F24" s="117"/>
      <c r="G24" s="117">
        <v>8400</v>
      </c>
      <c r="H24" s="117">
        <v>4500</v>
      </c>
      <c r="I24" s="117">
        <v>7700</v>
      </c>
      <c r="J24" s="117">
        <v>5775</v>
      </c>
      <c r="K24" s="117">
        <v>10800</v>
      </c>
      <c r="L24" s="117">
        <v>9445</v>
      </c>
      <c r="M24" s="117">
        <v>5500</v>
      </c>
      <c r="N24" s="117">
        <v>10577.3</v>
      </c>
      <c r="O24" s="76">
        <f t="shared" si="0"/>
        <v>84750.13</v>
      </c>
    </row>
    <row r="25" spans="1:20" x14ac:dyDescent="0.3">
      <c r="A25" s="41" t="s">
        <v>2282</v>
      </c>
      <c r="B25" s="41" t="s">
        <v>2282</v>
      </c>
      <c r="C25" s="117"/>
      <c r="D25" s="117"/>
      <c r="E25" s="117"/>
      <c r="F25" s="117"/>
      <c r="G25" s="117"/>
      <c r="H25" s="117"/>
      <c r="I25" s="119">
        <v>19647.390000000003</v>
      </c>
      <c r="J25" s="178">
        <v>7835.1839999999993</v>
      </c>
      <c r="K25" s="178">
        <v>54445.760000000002</v>
      </c>
      <c r="L25" s="178">
        <v>5148.9799999999996</v>
      </c>
      <c r="M25" s="178">
        <v>10274.15</v>
      </c>
      <c r="N25" s="178">
        <v>8773.06</v>
      </c>
      <c r="O25" s="76">
        <f t="shared" si="0"/>
        <v>106124.52399999999</v>
      </c>
    </row>
    <row r="26" spans="1:20" x14ac:dyDescent="0.3">
      <c r="A26" s="41"/>
      <c r="B26" s="41" t="s">
        <v>2304</v>
      </c>
      <c r="D26" s="117"/>
      <c r="E26" s="117"/>
      <c r="F26" s="117"/>
      <c r="G26" s="117"/>
      <c r="H26" s="117"/>
      <c r="I26" s="119"/>
      <c r="J26" s="178">
        <v>21769.67</v>
      </c>
      <c r="K26" s="117"/>
      <c r="L26" s="178">
        <v>20470</v>
      </c>
      <c r="M26" s="117"/>
      <c r="N26" s="117"/>
      <c r="O26" s="76">
        <f t="shared" si="0"/>
        <v>42239.67</v>
      </c>
    </row>
    <row r="27" spans="1:20" x14ac:dyDescent="0.3">
      <c r="B27" s="73" t="s">
        <v>1326</v>
      </c>
      <c r="E27">
        <v>13718.71</v>
      </c>
      <c r="G27" s="117"/>
      <c r="J27" s="117"/>
      <c r="L27" s="117">
        <v>15536.19</v>
      </c>
      <c r="O27" s="76">
        <f t="shared" si="0"/>
        <v>29254.9</v>
      </c>
    </row>
    <row r="28" spans="1:20" x14ac:dyDescent="0.3">
      <c r="B28" s="73" t="s">
        <v>2132</v>
      </c>
      <c r="G28" s="117"/>
      <c r="I28" s="117">
        <v>12600</v>
      </c>
      <c r="J28" s="117"/>
      <c r="K28" s="117">
        <v>41790.660000000003</v>
      </c>
      <c r="M28" s="117">
        <v>37680.980000000003</v>
      </c>
      <c r="O28" s="76">
        <f t="shared" si="0"/>
        <v>92071.640000000014</v>
      </c>
    </row>
    <row r="29" spans="1:20" x14ac:dyDescent="0.3">
      <c r="B29" s="73" t="s">
        <v>857</v>
      </c>
      <c r="C29" s="117"/>
      <c r="D29" s="117">
        <v>1547.7224999999999</v>
      </c>
      <c r="E29" s="117">
        <v>4546.5675000000001</v>
      </c>
      <c r="F29" s="117"/>
      <c r="G29" s="117">
        <v>1469.1000000000001</v>
      </c>
      <c r="H29" s="117">
        <v>1429.4625000000001</v>
      </c>
      <c r="I29" s="117"/>
      <c r="J29" s="117"/>
      <c r="K29" s="117"/>
      <c r="L29" s="117"/>
      <c r="M29" s="117"/>
      <c r="N29" s="117"/>
      <c r="O29" s="76">
        <f t="shared" si="0"/>
        <v>8992.8525000000009</v>
      </c>
    </row>
    <row r="30" spans="1:20" x14ac:dyDescent="0.3">
      <c r="B30" s="41" t="s">
        <v>2306</v>
      </c>
      <c r="C30" s="117"/>
      <c r="D30" s="117"/>
      <c r="E30" s="117"/>
      <c r="F30" s="117"/>
      <c r="G30" s="117"/>
      <c r="H30" s="117"/>
      <c r="I30" s="117"/>
      <c r="J30" s="178">
        <v>6233.25</v>
      </c>
      <c r="K30" s="117"/>
      <c r="L30" s="117"/>
      <c r="M30" s="117"/>
      <c r="N30" s="117"/>
      <c r="O30" s="76">
        <f t="shared" si="0"/>
        <v>6233.25</v>
      </c>
    </row>
    <row r="31" spans="1:20" x14ac:dyDescent="0.3">
      <c r="B31" s="73" t="s">
        <v>1177</v>
      </c>
      <c r="C31" s="117"/>
      <c r="D31" s="117">
        <v>4815.5495000000001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76">
        <f t="shared" si="0"/>
        <v>4815.5495000000001</v>
      </c>
    </row>
    <row r="32" spans="1:20" x14ac:dyDescent="0.3">
      <c r="B32" s="73" t="s">
        <v>2226</v>
      </c>
      <c r="C32" s="117"/>
      <c r="D32" s="117"/>
      <c r="E32" s="117"/>
      <c r="F32" s="117"/>
      <c r="G32" s="117"/>
      <c r="H32" s="117"/>
      <c r="I32" s="119">
        <v>5066.33</v>
      </c>
      <c r="J32" s="117"/>
      <c r="K32" s="117"/>
      <c r="L32" s="117"/>
      <c r="M32" s="117"/>
      <c r="N32" s="117"/>
      <c r="O32" s="76">
        <f t="shared" si="0"/>
        <v>5066.33</v>
      </c>
    </row>
    <row r="33" spans="2:15" x14ac:dyDescent="0.3">
      <c r="B33" s="73" t="s">
        <v>1179</v>
      </c>
      <c r="C33" s="117"/>
      <c r="D33" s="117">
        <v>3140.5635000000002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76">
        <f t="shared" si="0"/>
        <v>3140.5635000000002</v>
      </c>
    </row>
    <row r="34" spans="2:15" x14ac:dyDescent="0.3">
      <c r="B34" s="73" t="s">
        <v>13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87">
        <v>4500</v>
      </c>
      <c r="M34" s="117"/>
      <c r="N34" s="117"/>
      <c r="O34" s="76">
        <f t="shared" si="0"/>
        <v>4500</v>
      </c>
    </row>
    <row r="35" spans="2:15" x14ac:dyDescent="0.3">
      <c r="B35" s="73" t="s">
        <v>2717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78">
        <v>60956.42</v>
      </c>
      <c r="M35" s="117"/>
      <c r="N35" s="117"/>
      <c r="O35" s="76">
        <f t="shared" si="0"/>
        <v>60956.42</v>
      </c>
    </row>
    <row r="36" spans="2:15" x14ac:dyDescent="0.3">
      <c r="B36" s="73" t="s">
        <v>2910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87">
        <v>56900.5</v>
      </c>
      <c r="N36" s="187">
        <v>16529.36</v>
      </c>
      <c r="O36" s="76">
        <f t="shared" si="0"/>
        <v>73429.86</v>
      </c>
    </row>
    <row r="37" spans="2:15" x14ac:dyDescent="0.3">
      <c r="B37" s="73" t="s">
        <v>2911</v>
      </c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78">
        <v>20580.62</v>
      </c>
      <c r="N37" s="117"/>
      <c r="O37" s="76">
        <f t="shared" si="0"/>
        <v>20580.62</v>
      </c>
    </row>
    <row r="38" spans="2:15" x14ac:dyDescent="0.3">
      <c r="B38" s="73" t="s">
        <v>3114</v>
      </c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87">
        <v>345585.99</v>
      </c>
      <c r="O38" s="76">
        <f t="shared" si="0"/>
        <v>345585.99</v>
      </c>
    </row>
    <row r="39" spans="2:15" x14ac:dyDescent="0.3">
      <c r="B39" s="73" t="s">
        <v>3115</v>
      </c>
      <c r="C39" s="117"/>
      <c r="D39" s="117"/>
      <c r="E39" s="117"/>
      <c r="F39" s="117"/>
      <c r="G39" s="117"/>
      <c r="H39" s="117"/>
      <c r="I39" s="119"/>
      <c r="J39" s="117"/>
      <c r="K39" s="117"/>
      <c r="L39" s="117"/>
      <c r="M39" s="117"/>
      <c r="N39" s="187">
        <v>68579.17</v>
      </c>
      <c r="O39" s="76">
        <f t="shared" si="0"/>
        <v>68579.17</v>
      </c>
    </row>
    <row r="40" spans="2:15" x14ac:dyDescent="0.3">
      <c r="B40" s="73" t="s">
        <v>3116</v>
      </c>
      <c r="C40" s="117"/>
      <c r="D40" s="117"/>
      <c r="E40" s="117"/>
      <c r="F40" s="117"/>
      <c r="G40" s="117"/>
      <c r="H40" s="117"/>
      <c r="I40" s="119"/>
      <c r="J40" s="117"/>
      <c r="K40" s="117"/>
      <c r="L40" s="117"/>
      <c r="M40" s="117"/>
      <c r="N40" s="187">
        <v>136441.28</v>
      </c>
      <c r="O40" s="76">
        <f t="shared" si="0"/>
        <v>136441.28</v>
      </c>
    </row>
    <row r="41" spans="2:15" x14ac:dyDescent="0.3">
      <c r="B41" s="73"/>
      <c r="C41" s="117"/>
      <c r="D41" s="117"/>
      <c r="E41" s="117"/>
      <c r="F41" s="117"/>
      <c r="G41" s="117"/>
      <c r="H41" s="117"/>
      <c r="I41" s="119"/>
      <c r="J41" s="117"/>
      <c r="K41" s="117"/>
      <c r="L41" s="117"/>
      <c r="M41" s="117"/>
      <c r="N41" s="117"/>
      <c r="O41" s="76">
        <f t="shared" si="0"/>
        <v>0</v>
      </c>
    </row>
    <row r="42" spans="2:15" ht="15" thickBot="1" x14ac:dyDescent="0.35">
      <c r="B42" s="77" t="s">
        <v>9</v>
      </c>
      <c r="C42" s="94">
        <f t="shared" ref="C42:O42" si="1">SUM(C6:C40)</f>
        <v>3784231.6592049995</v>
      </c>
      <c r="D42" s="94">
        <f t="shared" si="1"/>
        <v>2164730.1635000003</v>
      </c>
      <c r="E42" s="94">
        <f t="shared" si="1"/>
        <v>3047553.1235989993</v>
      </c>
      <c r="F42" s="94">
        <f t="shared" si="1"/>
        <v>2048128.9333199998</v>
      </c>
      <c r="G42" s="94">
        <f t="shared" si="1"/>
        <v>4644481.3411799995</v>
      </c>
      <c r="H42" s="94">
        <f t="shared" si="1"/>
        <v>2520651.6636999999</v>
      </c>
      <c r="I42" s="94">
        <f t="shared" si="1"/>
        <v>6323157.8068000004</v>
      </c>
      <c r="J42" s="94">
        <f t="shared" si="1"/>
        <v>3813293.0297280001</v>
      </c>
      <c r="K42" s="94">
        <f t="shared" si="1"/>
        <v>1777592.18</v>
      </c>
      <c r="L42" s="94">
        <f t="shared" si="1"/>
        <v>2916241.6399999997</v>
      </c>
      <c r="M42" s="94">
        <f t="shared" si="1"/>
        <v>3993126.8899999992</v>
      </c>
      <c r="N42" s="94">
        <f t="shared" si="1"/>
        <v>3809839.0799999996</v>
      </c>
      <c r="O42" s="94">
        <f t="shared" si="1"/>
        <v>40843027.511032</v>
      </c>
    </row>
    <row r="44" spans="2:15" x14ac:dyDescent="0.3">
      <c r="M44" s="139"/>
    </row>
    <row r="45" spans="2:15" x14ac:dyDescent="0.3">
      <c r="I45" s="35"/>
    </row>
    <row r="46" spans="2:15" x14ac:dyDescent="0.3">
      <c r="M46" s="139"/>
    </row>
  </sheetData>
  <sortState xmlns:xlrd2="http://schemas.microsoft.com/office/spreadsheetml/2017/richdata2" ref="B10:O39">
    <sortCondition descending="1" ref="O10:O39"/>
  </sortState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7809-E6E8-403A-95D6-F2F3075F0D8E}">
  <dimension ref="B5:P70"/>
  <sheetViews>
    <sheetView showGridLines="0" topLeftCell="B3" zoomScale="90" zoomScaleNormal="90" workbookViewId="0">
      <selection activeCell="E21" sqref="E21"/>
    </sheetView>
  </sheetViews>
  <sheetFormatPr baseColWidth="10" defaultRowHeight="14.4" x14ac:dyDescent="0.3"/>
  <cols>
    <col min="2" max="2" width="38" bestFit="1" customWidth="1"/>
    <col min="3" max="3" width="14.88671875" style="9" bestFit="1" customWidth="1"/>
    <col min="4" max="5" width="15.33203125" style="9" customWidth="1"/>
    <col min="6" max="6" width="14.88671875" style="9" bestFit="1" customWidth="1"/>
    <col min="7" max="7" width="13.6640625" style="9" customWidth="1"/>
    <col min="9" max="9" width="21.44140625" customWidth="1"/>
    <col min="10" max="10" width="35.5546875" customWidth="1"/>
    <col min="11" max="11" width="18.44140625" customWidth="1"/>
  </cols>
  <sheetData>
    <row r="5" spans="2:7" ht="15" thickBot="1" x14ac:dyDescent="0.35"/>
    <row r="6" spans="2:7" s="2" customFormat="1" x14ac:dyDescent="0.3">
      <c r="B6" s="82" t="s">
        <v>0</v>
      </c>
      <c r="C6" s="85"/>
      <c r="D6" s="85"/>
      <c r="E6" s="85"/>
      <c r="F6" s="85"/>
      <c r="G6" s="88"/>
    </row>
    <row r="7" spans="2:7" s="2" customFormat="1" x14ac:dyDescent="0.3">
      <c r="B7" s="92" t="s">
        <v>867</v>
      </c>
      <c r="C7" s="30"/>
      <c r="D7" s="30"/>
      <c r="E7" s="30"/>
      <c r="F7" s="30"/>
      <c r="G7" s="93"/>
    </row>
    <row r="8" spans="2:7" s="2" customFormat="1" x14ac:dyDescent="0.3">
      <c r="B8" s="92" t="s">
        <v>51</v>
      </c>
      <c r="C8" s="30"/>
      <c r="D8" s="30"/>
      <c r="E8" s="30"/>
      <c r="F8" s="30"/>
      <c r="G8" s="93"/>
    </row>
    <row r="9" spans="2:7" s="2" customFormat="1" ht="15" thickBot="1" x14ac:dyDescent="0.35">
      <c r="B9" s="92" t="s">
        <v>1</v>
      </c>
      <c r="C9" s="30"/>
      <c r="D9" s="30"/>
      <c r="E9" s="30"/>
      <c r="F9" s="30"/>
      <c r="G9" s="93"/>
    </row>
    <row r="10" spans="2:7" x14ac:dyDescent="0.3">
      <c r="B10" s="64"/>
      <c r="C10" s="65" t="s">
        <v>3</v>
      </c>
      <c r="D10" s="65"/>
      <c r="E10" s="66"/>
      <c r="F10" s="66"/>
      <c r="G10" s="67"/>
    </row>
    <row r="11" spans="2:7" s="5" customFormat="1" x14ac:dyDescent="0.3">
      <c r="B11" s="68" t="s">
        <v>2</v>
      </c>
      <c r="C11" s="33" t="s">
        <v>27</v>
      </c>
      <c r="D11" s="33" t="s">
        <v>28</v>
      </c>
      <c r="E11" s="33" t="s">
        <v>29</v>
      </c>
      <c r="F11" s="33" t="s">
        <v>30</v>
      </c>
      <c r="G11" s="69" t="s">
        <v>9</v>
      </c>
    </row>
    <row r="12" spans="2:7" s="111" customFormat="1" x14ac:dyDescent="0.3">
      <c r="B12" s="140" t="str">
        <f>+'Mensual por Cliente 2025'!B6</f>
        <v xml:space="preserve">JOINT PRODUCTION HONOR </v>
      </c>
      <c r="C12" s="116">
        <f>+'Mensual por Cliente 2025'!C6+'Mensual por Cliente 2025'!D6+'Mensual por Cliente 2025'!E6</f>
        <v>683194.87000000011</v>
      </c>
      <c r="D12" s="116">
        <f>+'Mensual por Cliente 2025'!F6+'Mensual por Cliente 2025'!G6+'Mensual por Cliente 2025'!H6</f>
        <v>3588678.4899999998</v>
      </c>
      <c r="E12" s="116">
        <f>+'Mensual por Cliente 2025'!I6+'Mensual por Cliente 2025'!J6+'Mensual por Cliente 2025'!K6</f>
        <v>5784214.1799999997</v>
      </c>
      <c r="F12" s="116">
        <f>+'Mensual por Cliente 2025'!L6+'Mensual por Cliente 2025'!M6+'Mensual por Cliente 2025'!N6</f>
        <v>6167813.79</v>
      </c>
      <c r="G12" s="110">
        <f t="shared" ref="G12:G30" si="0">+SUM(C12:F12)</f>
        <v>16223901.329999998</v>
      </c>
    </row>
    <row r="13" spans="2:7" x14ac:dyDescent="0.3">
      <c r="B13" s="140" t="str">
        <f>+'Mensual por Cliente 2025'!B7</f>
        <v>ARMOR MEXICO IMAGING SUPPLIES</v>
      </c>
      <c r="C13" s="116">
        <f>+'Mensual por Cliente 2025'!C7+'Mensual por Cliente 2025'!D7+'Mensual por Cliente 2025'!E7</f>
        <v>1950257.4993949998</v>
      </c>
      <c r="D13" s="116">
        <f>+'Mensual por Cliente 2025'!F7+'Mensual por Cliente 2025'!G7+'Mensual por Cliente 2025'!H7</f>
        <v>2243697.2979199998</v>
      </c>
      <c r="E13" s="116">
        <f>+'Mensual por Cliente 2025'!I7+'Mensual por Cliente 2025'!J7+'Mensual por Cliente 2025'!K7</f>
        <v>2004140.3567999997</v>
      </c>
      <c r="F13" s="116">
        <f>+'Mensual por Cliente 2025'!L7+'Mensual por Cliente 2025'!M7+'Mensual por Cliente 2025'!N7</f>
        <v>1990211.2799999998</v>
      </c>
      <c r="G13" s="71">
        <f t="shared" si="0"/>
        <v>8188306.4341149982</v>
      </c>
    </row>
    <row r="14" spans="2:7" x14ac:dyDescent="0.3">
      <c r="B14" s="140" t="str">
        <f>+'Mensual por Cliente 2025'!B8</f>
        <v xml:space="preserve">NAPS-GUANAJUATO AMERICAN BOA </v>
      </c>
      <c r="C14" s="116">
        <f>+'Mensual por Cliente 2025'!C8+'Mensual por Cliente 2025'!D8+'Mensual por Cliente 2025'!E8</f>
        <v>1548348.9985</v>
      </c>
      <c r="D14" s="116">
        <f>+'Mensual por Cliente 2025'!F8+'Mensual por Cliente 2025'!G8+'Mensual por Cliente 2025'!H8</f>
        <v>728049.26</v>
      </c>
      <c r="E14" s="116">
        <f>+'Mensual por Cliente 2025'!I8+'Mensual por Cliente 2025'!J8+'Mensual por Cliente 2025'!K8</f>
        <v>89418.87999999999</v>
      </c>
      <c r="F14" s="116">
        <f>+'Mensual por Cliente 2025'!L8+'Mensual por Cliente 2025'!M8+'Mensual por Cliente 2025'!N8</f>
        <v>33120.49</v>
      </c>
      <c r="G14" s="71">
        <f t="shared" si="0"/>
        <v>2398937.6285000001</v>
      </c>
    </row>
    <row r="15" spans="2:7" x14ac:dyDescent="0.3">
      <c r="B15" s="140" t="str">
        <f>+'Mensual por Cliente 2025'!B9</f>
        <v xml:space="preserve">NAPS-GUANAJUATO CAM </v>
      </c>
      <c r="C15" s="116">
        <f>+'Mensual por Cliente 2025'!C9+'Mensual por Cliente 2025'!D9+'Mensual por Cliente 2025'!E9</f>
        <v>1077452.42</v>
      </c>
      <c r="D15" s="116">
        <f>+'Mensual por Cliente 2025'!F9+'Mensual por Cliente 2025'!G9+'Mensual por Cliente 2025'!H9</f>
        <v>958093.2</v>
      </c>
      <c r="E15" s="116">
        <f>+'Mensual por Cliente 2025'!I9+'Mensual por Cliente 2025'!J9+'Mensual por Cliente 2025'!K9</f>
        <v>1140368.1599999999</v>
      </c>
      <c r="F15" s="116">
        <f>+'Mensual por Cliente 2025'!L9+'Mensual por Cliente 2025'!M9+'Mensual por Cliente 2025'!N9</f>
        <v>456266.19</v>
      </c>
      <c r="G15" s="71">
        <f t="shared" si="0"/>
        <v>3632179.9699999997</v>
      </c>
    </row>
    <row r="16" spans="2:7" x14ac:dyDescent="0.3">
      <c r="B16" s="140" t="str">
        <f>+'Mensual por Cliente 2025'!B10</f>
        <v>INVICONT OÜ</v>
      </c>
      <c r="C16" s="116">
        <f>+'Mensual por Cliente 2025'!C10+'Mensual por Cliente 2025'!D10+'Mensual por Cliente 2025'!E10</f>
        <v>1402774.243004</v>
      </c>
      <c r="D16" s="116">
        <f>+'Mensual por Cliente 2025'!F10+'Mensual por Cliente 2025'!G10+'Mensual por Cliente 2025'!H10</f>
        <v>0</v>
      </c>
      <c r="E16" s="116">
        <f>+'Mensual por Cliente 2025'!I10+'Mensual por Cliente 2025'!J10</f>
        <v>0</v>
      </c>
      <c r="F16" s="116">
        <f>+'Mensual por Cliente 2025'!L10+'Mensual por Cliente 2025'!M10</f>
        <v>0</v>
      </c>
      <c r="G16" s="71">
        <f t="shared" si="0"/>
        <v>1402774.243004</v>
      </c>
    </row>
    <row r="17" spans="2:16" x14ac:dyDescent="0.3">
      <c r="B17" s="140" t="str">
        <f>+'Mensual por Cliente 2025'!B11</f>
        <v xml:space="preserve">JOINT PRODUCTION TECTRAN </v>
      </c>
      <c r="C17" s="116">
        <f>+'Mensual por Cliente 2025'!C11+'Mensual por Cliente 2025'!D11+'Mensual por Cliente 2025'!E11</f>
        <v>949375.77749999985</v>
      </c>
      <c r="D17" s="116">
        <f>+'Mensual por Cliente 2025'!F11+'Mensual por Cliente 2025'!G11+'Mensual por Cliente 2025'!H11</f>
        <v>420976.95999999996</v>
      </c>
      <c r="E17" s="116">
        <f>+'Mensual por Cliente 2025'!I11+'Mensual por Cliente 2025'!J11+'Mensual por Cliente 2025'!K11</f>
        <v>344904.26000000007</v>
      </c>
      <c r="F17" s="116">
        <f>+'Mensual por Cliente 2025'!L11+'Mensual por Cliente 2025'!M11+'Mensual por Cliente 2025'!N11</f>
        <v>554477.93000000005</v>
      </c>
      <c r="G17" s="71">
        <f t="shared" si="0"/>
        <v>2269734.9274999998</v>
      </c>
    </row>
    <row r="18" spans="2:16" x14ac:dyDescent="0.3">
      <c r="B18" s="140" t="str">
        <f>+'Mensual por Cliente 2025'!B12</f>
        <v>JOINT PRODUCTION BLACK SMITH</v>
      </c>
      <c r="C18" s="116">
        <f>+'Mensual por Cliente 2025'!C12+'Mensual por Cliente 2025'!D12+'Mensual por Cliente 2025'!E12</f>
        <v>620140</v>
      </c>
      <c r="D18" s="116">
        <f>+'Mensual por Cliente 2025'!F12+'Mensual por Cliente 2025'!G12+'Mensual por Cliente 2025'!H12</f>
        <v>794791.07000000007</v>
      </c>
      <c r="E18" s="116">
        <f>+'Mensual por Cliente 2025'!I12+'Mensual por Cliente 2025'!J12+'Mensual por Cliente 2025'!K12</f>
        <v>620900</v>
      </c>
      <c r="F18" s="116">
        <f>+'Mensual por Cliente 2025'!L12+'Mensual por Cliente 2025'!M12+'Mensual por Cliente 2025'!N12</f>
        <v>154000</v>
      </c>
      <c r="G18" s="71">
        <f t="shared" si="0"/>
        <v>2189831.0700000003</v>
      </c>
    </row>
    <row r="19" spans="2:16" x14ac:dyDescent="0.3">
      <c r="B19" s="140" t="str">
        <f>+'Mensual por Cliente 2025'!B13</f>
        <v>CORPORATIVO ADUANAL ROBLES</v>
      </c>
      <c r="C19" s="116">
        <f>+'Mensual por Cliente 2025'!C13+'Mensual por Cliente 2025'!D13+'Mensual por Cliente 2025'!E13</f>
        <v>0</v>
      </c>
      <c r="D19" s="116">
        <f>+'Mensual por Cliente 2025'!F13+'Mensual por Cliente 2025'!G13+'Mensual por Cliente 2025'!H13</f>
        <v>0</v>
      </c>
      <c r="E19" s="116">
        <f>+'Mensual por Cliente 2025'!I13+'Mensual por Cliente 2025'!J13</f>
        <v>436050.55</v>
      </c>
      <c r="F19" s="116">
        <f>+'Mensual por Cliente 2025'!L13+'Mensual por Cliente 2025'!M13</f>
        <v>0</v>
      </c>
      <c r="G19" s="71">
        <f t="shared" si="0"/>
        <v>436050.55</v>
      </c>
    </row>
    <row r="20" spans="2:16" x14ac:dyDescent="0.3">
      <c r="B20" s="140" t="str">
        <f>+'Mensual por Cliente 2025'!B14</f>
        <v>CHEMICAL COLOR DE MEXICO</v>
      </c>
      <c r="C20" s="116">
        <f>+'Mensual por Cliente 2025'!C14+'Mensual por Cliente 2025'!D14+'Mensual por Cliente 2025'!E14</f>
        <v>263556.85600000003</v>
      </c>
      <c r="D20" s="116">
        <f>+'Mensual por Cliente 2025'!F14+'Mensual por Cliente 2025'!G14+'Mensual por Cliente 2025'!H14</f>
        <v>258197.68640000001</v>
      </c>
      <c r="E20" s="116">
        <f>+'Mensual por Cliente 2025'!I14+'Mensual por Cliente 2025'!J14+'Mensual por Cliente 2025'!K14</f>
        <v>334310.68252799998</v>
      </c>
      <c r="F20" s="116">
        <f>+'Mensual por Cliente 2025'!L14+'Mensual por Cliente 2025'!M14</f>
        <v>126398.63</v>
      </c>
      <c r="G20" s="71">
        <f t="shared" si="0"/>
        <v>982463.85492800002</v>
      </c>
    </row>
    <row r="21" spans="2:16" x14ac:dyDescent="0.3">
      <c r="B21" s="140" t="str">
        <f>+'Mensual por Cliente 2025'!B15</f>
        <v>MEGALUMINIO SERVICIOS</v>
      </c>
      <c r="C21" s="116">
        <f>+'Mensual por Cliente 2025'!C15+'Mensual por Cliente 2025'!D15+'Mensual por Cliente 2025'!E15</f>
        <v>167672</v>
      </c>
      <c r="D21" s="116">
        <f>+'Mensual por Cliente 2025'!F15+'Mensual por Cliente 2025'!G15+'Mensual por Cliente 2025'!H15</f>
        <v>19500</v>
      </c>
      <c r="E21" s="116">
        <f>+'Mensual por Cliente 2025'!I15+'Mensual por Cliente 2025'!J15+'Mensual por Cliente 2025'!K15</f>
        <v>78947.42</v>
      </c>
      <c r="F21" s="116">
        <f>+'Mensual por Cliente 2025'!L15+'Mensual por Cliente 2025'!M15+'Mensual por Cliente 2025'!N15</f>
        <v>368678.32</v>
      </c>
      <c r="G21" s="71">
        <f t="shared" si="0"/>
        <v>634797.74</v>
      </c>
    </row>
    <row r="22" spans="2:16" x14ac:dyDescent="0.3">
      <c r="B22" s="140" t="str">
        <f>+'Mensual por Cliente 2025'!B16</f>
        <v>CORE GLOBAL TRANSPORT</v>
      </c>
      <c r="C22" s="116">
        <f>+'Mensual por Cliente 2025'!C16+'Mensual por Cliente 2025'!D16+'Mensual por Cliente 2025'!E16</f>
        <v>76114.42</v>
      </c>
      <c r="D22" s="116">
        <f>+'Mensual por Cliente 2025'!F16+'Mensual por Cliente 2025'!G16+'Mensual por Cliente 2025'!H16</f>
        <v>57070.28</v>
      </c>
      <c r="E22" s="116">
        <f>+'Mensual por Cliente 2025'!I16+'Mensual por Cliente 2025'!J16</f>
        <v>367240.03200000001</v>
      </c>
      <c r="F22" s="116">
        <f>+'Mensual por Cliente 2025'!L16+'Mensual por Cliente 2025'!M16</f>
        <v>26137.96</v>
      </c>
      <c r="G22" s="71">
        <f t="shared" si="0"/>
        <v>526562.69200000004</v>
      </c>
      <c r="I22" t="s">
        <v>31</v>
      </c>
      <c r="J22" s="35">
        <f>+C48</f>
        <v>8996514.9463040009</v>
      </c>
      <c r="K22" s="40">
        <f>+J22/$J$26</f>
        <v>0.22027052093221974</v>
      </c>
    </row>
    <row r="23" spans="2:16" x14ac:dyDescent="0.3">
      <c r="B23" s="140" t="str">
        <f>+'Mensual por Cliente 2025'!B17</f>
        <v xml:space="preserve">TENDENCIA INTERIOR </v>
      </c>
      <c r="C23" s="116">
        <f>+'Mensual por Cliente 2025'!C17+'Mensual por Cliente 2025'!D17+'Mensual por Cliente 2025'!E17</f>
        <v>0</v>
      </c>
      <c r="D23" s="116">
        <f>+'Mensual por Cliente 2025'!F17+'Mensual por Cliente 2025'!G17+'Mensual por Cliente 2025'!H17</f>
        <v>0</v>
      </c>
      <c r="E23" s="116">
        <f>+'Mensual por Cliente 2025'!I17+'Mensual por Cliente 2025'!J17+'Mensual por Cliente 2025'!K17</f>
        <v>396158.42119999998</v>
      </c>
      <c r="F23" s="116">
        <f>+'Mensual por Cliente 2025'!L17+'Mensual por Cliente 2025'!M17</f>
        <v>0</v>
      </c>
      <c r="G23" s="71">
        <f t="shared" si="0"/>
        <v>396158.42119999998</v>
      </c>
      <c r="I23" t="s">
        <v>32</v>
      </c>
      <c r="J23" s="35">
        <f>+D48</f>
        <v>9213261.9381999988</v>
      </c>
      <c r="K23" s="40">
        <f>+J23/$J$26</f>
        <v>0.22557735064354448</v>
      </c>
    </row>
    <row r="24" spans="2:16" x14ac:dyDescent="0.3">
      <c r="B24" s="140" t="str">
        <f>+'Mensual por Cliente 2025'!B18</f>
        <v>ND AUTOMOTIVE SYSTEMS MEXICO</v>
      </c>
      <c r="C24" s="116">
        <f>+'Mensual por Cliente 2025'!C18+'Mensual por Cliente 2025'!D18+'Mensual por Cliente 2025'!E18</f>
        <v>95811.983204999997</v>
      </c>
      <c r="D24" s="116">
        <f>+'Mensual por Cliente 2025'!F18+'Mensual por Cliente 2025'!G18+'Mensual por Cliente 2025'!H18</f>
        <v>0</v>
      </c>
      <c r="E24" s="116">
        <f>+'Mensual por Cliente 2025'!I18+'Mensual por Cliente 2025'!J18</f>
        <v>0</v>
      </c>
      <c r="F24" s="116">
        <f>+'Mensual por Cliente 2025'!L18+'Mensual por Cliente 2025'!M18</f>
        <v>0</v>
      </c>
      <c r="G24" s="71">
        <f t="shared" si="0"/>
        <v>95811.983204999997</v>
      </c>
      <c r="I24" t="s">
        <v>52</v>
      </c>
      <c r="J24" s="35">
        <f>+E48</f>
        <v>11914043.016527999</v>
      </c>
      <c r="K24" s="40">
        <f>+J24/$J$26</f>
        <v>0.29170322923074027</v>
      </c>
    </row>
    <row r="25" spans="2:16" x14ac:dyDescent="0.3">
      <c r="B25" s="140" t="str">
        <f>+'Mensual por Cliente 2025'!B19</f>
        <v>INTERIORISMO CORP</v>
      </c>
      <c r="C25" s="116">
        <f>+'Mensual por Cliente 2025'!C19+'Mensual por Cliente 2025'!D19+'Mensual por Cliente 2025'!E19</f>
        <v>0</v>
      </c>
      <c r="D25" s="116">
        <f>+'Mensual por Cliente 2025'!F19+'Mensual por Cliente 2025'!G19+'Mensual por Cliente 2025'!H19</f>
        <v>75686.92637999999</v>
      </c>
      <c r="E25" s="116">
        <f>+'Mensual por Cliente 2025'!I19+'Mensual por Cliente 2025'!J19</f>
        <v>0</v>
      </c>
      <c r="F25" s="116">
        <f>+'Mensual por Cliente 2025'!L19+'Mensual por Cliente 2025'!M19</f>
        <v>0</v>
      </c>
      <c r="G25" s="71">
        <f t="shared" si="0"/>
        <v>75686.92637999999</v>
      </c>
      <c r="I25" t="s">
        <v>847</v>
      </c>
      <c r="J25" s="35">
        <f>+F48</f>
        <v>10719207.609999999</v>
      </c>
      <c r="K25" s="40">
        <f>+J25/$J$26</f>
        <v>0.26244889919349546</v>
      </c>
    </row>
    <row r="26" spans="2:16" ht="15" thickBot="1" x14ac:dyDescent="0.35">
      <c r="B26" s="140" t="str">
        <f>+'Mensual por Cliente 2025'!B20</f>
        <v>CLEVELAND DIE QUERETARO</v>
      </c>
      <c r="C26" s="116">
        <f>+'Mensual por Cliente 2025'!C20+'Mensual por Cliente 2025'!D20+'Mensual por Cliente 2025'!E20</f>
        <v>34700</v>
      </c>
      <c r="D26" s="116">
        <f>+'Mensual por Cliente 2025'!F20+'Mensual por Cliente 2025'!G20+'Mensual por Cliente 2025'!H20</f>
        <v>38246.990000000005</v>
      </c>
      <c r="E26" s="116">
        <f>+'Mensual por Cliente 2025'!I20+'Mensual por Cliente 2025'!J20+'Mensual por Cliente 2025'!K20</f>
        <v>28306.12</v>
      </c>
      <c r="F26" s="116">
        <f>+'Mensual por Cliente 2025'!L20+'Mensual por Cliente 2025'!M20</f>
        <v>0</v>
      </c>
      <c r="G26" s="71">
        <f t="shared" si="0"/>
        <v>101253.11</v>
      </c>
      <c r="J26" s="36">
        <f>+SUM(J22:J25)</f>
        <v>40843027.511032</v>
      </c>
    </row>
    <row r="27" spans="2:16" ht="15" thickTop="1" x14ac:dyDescent="0.3">
      <c r="B27" s="140" t="str">
        <f>+'Mensual por Cliente 2025'!B21</f>
        <v>SUPER POPULAR LOGISTICS</v>
      </c>
      <c r="C27" s="116">
        <f>+'Mensual por Cliente 2025'!C21+'Mensual por Cliente 2025'!D21+'Mensual por Cliente 2025'!E21</f>
        <v>0</v>
      </c>
      <c r="D27" s="116">
        <f>+'Mensual por Cliente 2025'!F21+'Mensual por Cliente 2025'!G21+'Mensual por Cliente 2025'!H21</f>
        <v>0</v>
      </c>
      <c r="E27" s="116">
        <f>+'Mensual por Cliente 2025'!I21+'Mensual por Cliente 2025'!J21</f>
        <v>71322.239999999991</v>
      </c>
      <c r="F27" s="116">
        <f>+'Mensual por Cliente 2025'!N21</f>
        <v>8624.02</v>
      </c>
      <c r="G27" s="71">
        <f t="shared" si="0"/>
        <v>79946.259999999995</v>
      </c>
      <c r="J27" s="35"/>
      <c r="K27" s="40"/>
    </row>
    <row r="28" spans="2:16" x14ac:dyDescent="0.3">
      <c r="B28" s="140" t="str">
        <f>+'Mensual por Cliente 2025'!B22</f>
        <v>HAHN AUTOMATION</v>
      </c>
      <c r="C28" s="116">
        <f>+'Mensual por Cliente 2025'!C22+'Mensual por Cliente 2025'!D22+'Mensual por Cliente 2025'!E22</f>
        <v>47784.15</v>
      </c>
      <c r="D28" s="116">
        <f>+'Mensual por Cliente 2025'!F22+'Mensual por Cliente 2025'!G22+'Mensual por Cliente 2025'!H22</f>
        <v>0</v>
      </c>
      <c r="E28" s="116">
        <f>+'Mensual por Cliente 2025'!I22+'Mensual por Cliente 2025'!J22+'Mensual por Cliente 2025'!K22</f>
        <v>24098.47</v>
      </c>
      <c r="F28" s="116">
        <f>+'Mensual por Cliente 2025'!L22+'Mensual por Cliente 2025'!M22</f>
        <v>0</v>
      </c>
      <c r="G28" s="71">
        <f t="shared" si="0"/>
        <v>71882.62</v>
      </c>
      <c r="J28" s="35"/>
      <c r="K28" s="40"/>
    </row>
    <row r="29" spans="2:16" x14ac:dyDescent="0.3">
      <c r="B29" s="140" t="str">
        <f>+'Mensual por Cliente 2025'!B23</f>
        <v>GOMSA INTEGRADORA</v>
      </c>
      <c r="C29" s="116">
        <f>+'Mensual por Cliente 2025'!C23+'Mensual por Cliente 2025'!D23+'Mensual por Cliente 2025'!E23</f>
        <v>29509.7857</v>
      </c>
      <c r="D29" s="116">
        <f>+'Mensual por Cliente 2025'!F23+'Mensual por Cliente 2025'!G23+'Mensual por Cliente 2025'!H23</f>
        <v>14475.215</v>
      </c>
      <c r="E29" s="116">
        <f>+'Mensual por Cliente 2025'!I23+'Mensual por Cliente 2025'!J23</f>
        <v>0</v>
      </c>
      <c r="F29" s="116">
        <f>+'Mensual por Cliente 2025'!L23+'Mensual por Cliente 2025'!M23</f>
        <v>0</v>
      </c>
      <c r="G29" s="71">
        <f t="shared" si="0"/>
        <v>43985.000700000004</v>
      </c>
    </row>
    <row r="30" spans="2:16" x14ac:dyDescent="0.3">
      <c r="B30" s="140" t="str">
        <f>+'Mensual por Cliente 2025'!B24</f>
        <v>SELLOS Y RETENES DE SAN LUIS</v>
      </c>
      <c r="C30" s="116">
        <f>+'Mensual por Cliente 2025'!C24+'Mensual por Cliente 2025'!D24+'Mensual por Cliente 2025'!E24</f>
        <v>22052.83</v>
      </c>
      <c r="D30" s="116">
        <f>+'Mensual por Cliente 2025'!F24+'Mensual por Cliente 2025'!G24+'Mensual por Cliente 2025'!H24</f>
        <v>12900</v>
      </c>
      <c r="E30" s="116">
        <f>+'Mensual por Cliente 2025'!I24+'Mensual por Cliente 2025'!J24+'Mensual por Cliente 2025'!K24</f>
        <v>24275</v>
      </c>
      <c r="F30" s="116">
        <f>+'Mensual por Cliente 2025'!L24+'Mensual por Cliente 2025'!M24+'Mensual por Cliente 2025'!N24</f>
        <v>25522.3</v>
      </c>
      <c r="G30" s="71">
        <f t="shared" si="0"/>
        <v>84750.13</v>
      </c>
    </row>
    <row r="31" spans="2:16" x14ac:dyDescent="0.3">
      <c r="B31" s="140" t="str">
        <f>+'Mensual por Cliente 2025'!B25</f>
        <v xml:space="preserve">NEXT LOGISTICS XXI S.L </v>
      </c>
      <c r="C31" s="116">
        <f>+'Mensual por Cliente 2025'!C25+'Mensual por Cliente 2025'!D25+'Mensual por Cliente 2025'!E25</f>
        <v>0</v>
      </c>
      <c r="D31" s="116">
        <f>+'Mensual por Cliente 2025'!F25+'Mensual por Cliente 2025'!G25+'Mensual por Cliente 2025'!H25</f>
        <v>0</v>
      </c>
      <c r="E31" s="116">
        <f>+'Mensual por Cliente 2025'!I25+'Mensual por Cliente 2025'!J25+'Mensual por Cliente 2025'!K25</f>
        <v>81928.334000000003</v>
      </c>
      <c r="F31" s="116">
        <f>+'Mensual por Cliente 2025'!L25+'Mensual por Cliente 2025'!M25+'Mensual por Cliente 2025'!N25</f>
        <v>24196.19</v>
      </c>
      <c r="G31" s="71">
        <f>+SUM(C31:F31)</f>
        <v>106124.524</v>
      </c>
      <c r="M31" s="42"/>
      <c r="N31" s="43"/>
      <c r="O31" s="44"/>
      <c r="P31" s="44"/>
    </row>
    <row r="32" spans="2:16" x14ac:dyDescent="0.3">
      <c r="B32" s="140" t="str">
        <f>+'Mensual por Cliente 2025'!B26</f>
        <v>NAPS-JUAREZ</v>
      </c>
      <c r="C32" s="116">
        <f>+'Mensual por Cliente 2025'!C26+'Mensual por Cliente 2025'!D26+'Mensual por Cliente 2025'!E26</f>
        <v>0</v>
      </c>
      <c r="D32" s="116">
        <f>+'Mensual por Cliente 2025'!F26+'Mensual por Cliente 2025'!G26+'Mensual por Cliente 2025'!H26</f>
        <v>0</v>
      </c>
      <c r="E32" s="116">
        <f>+'Mensual por Cliente 2025'!I26+'Mensual por Cliente 2025'!J26</f>
        <v>21769.67</v>
      </c>
      <c r="F32" s="116">
        <f>+'Mensual por Cliente 2025'!L26+'Mensual por Cliente 2025'!M26</f>
        <v>20470</v>
      </c>
      <c r="G32" s="71">
        <f t="shared" ref="G32:G46" si="1">+SUM(C32:F32)</f>
        <v>42239.67</v>
      </c>
      <c r="M32" s="42"/>
      <c r="N32" s="43"/>
      <c r="O32" s="44"/>
      <c r="P32" s="44"/>
    </row>
    <row r="33" spans="2:16" x14ac:dyDescent="0.3">
      <c r="B33" s="140" t="str">
        <f>+'Mensual por Cliente 2025'!B27</f>
        <v>JOINT PRODUCTION (HCMF)</v>
      </c>
      <c r="C33" s="116">
        <f>+'Mensual por Cliente 2025'!C27+'Mensual por Cliente 2025'!D27+'Mensual por Cliente 2025'!E27</f>
        <v>13718.71</v>
      </c>
      <c r="D33" s="116">
        <f>+'Mensual por Cliente 2025'!F27+'Mensual por Cliente 2025'!G27+'Mensual por Cliente 2025'!H27</f>
        <v>0</v>
      </c>
      <c r="E33" s="116">
        <f>+'Mensual por Cliente 2025'!I27+'Mensual por Cliente 2025'!J27</f>
        <v>0</v>
      </c>
      <c r="F33" s="116">
        <f>+'Mensual por Cliente 2025'!L27+'Mensual por Cliente 2025'!M27</f>
        <v>15536.19</v>
      </c>
      <c r="G33" s="71">
        <f t="shared" si="1"/>
        <v>29254.9</v>
      </c>
      <c r="M33" s="42"/>
      <c r="N33" s="43"/>
      <c r="O33" s="44"/>
      <c r="P33" s="44"/>
    </row>
    <row r="34" spans="2:16" x14ac:dyDescent="0.3">
      <c r="B34" s="140" t="str">
        <f>+'Mensual por Cliente 2025'!B28</f>
        <v>NAPS-GUANAJUATO MULTITECH</v>
      </c>
      <c r="C34" s="116">
        <f>+'Mensual por Cliente 2025'!C28+'Mensual por Cliente 2025'!D28+'Mensual por Cliente 2025'!E28</f>
        <v>0</v>
      </c>
      <c r="D34" s="116">
        <f>+'Mensual por Cliente 2025'!F28+'Mensual por Cliente 2025'!G28+'Mensual por Cliente 2025'!H28</f>
        <v>0</v>
      </c>
      <c r="E34" s="116">
        <f>+'Mensual por Cliente 2025'!I28+'Mensual por Cliente 2025'!J28+'Mensual por Cliente 2025'!K28</f>
        <v>54390.66</v>
      </c>
      <c r="F34" s="116">
        <f>+'Mensual por Cliente 2025'!L28+'Mensual por Cliente 2025'!M28</f>
        <v>37680.980000000003</v>
      </c>
      <c r="G34" s="71">
        <f t="shared" si="1"/>
        <v>92071.640000000014</v>
      </c>
      <c r="M34" s="42"/>
      <c r="N34" s="43"/>
      <c r="O34" s="44"/>
      <c r="P34" s="44"/>
    </row>
    <row r="35" spans="2:16" x14ac:dyDescent="0.3">
      <c r="B35" s="140" t="str">
        <f>+'Mensual por Cliente 2025'!B29</f>
        <v>HM ULUSLARARASI PROJE TASIMACILIGI A.S</v>
      </c>
      <c r="C35" s="116">
        <f>+'Mensual por Cliente 2025'!C29+'Mensual por Cliente 2025'!D29+'Mensual por Cliente 2025'!E29</f>
        <v>6094.29</v>
      </c>
      <c r="D35" s="116">
        <f>+'Mensual por Cliente 2025'!F29+'Mensual por Cliente 2025'!G29+'Mensual por Cliente 2025'!H29</f>
        <v>2898.5625</v>
      </c>
      <c r="E35" s="116">
        <f>+'Mensual por Cliente 2025'!I29+'Mensual por Cliente 2025'!J29</f>
        <v>0</v>
      </c>
      <c r="F35" s="116">
        <f>+'Mensual por Cliente 2025'!L29+'Mensual por Cliente 2025'!M29</f>
        <v>0</v>
      </c>
      <c r="G35" s="71">
        <f t="shared" si="1"/>
        <v>8992.8525000000009</v>
      </c>
      <c r="M35" s="42"/>
      <c r="N35" s="43"/>
      <c r="O35" s="44"/>
      <c r="P35" s="44"/>
    </row>
    <row r="36" spans="2:16" x14ac:dyDescent="0.3">
      <c r="B36" s="140" t="str">
        <f>+'Mensual por Cliente 2025'!B30</f>
        <v xml:space="preserve">SOLUCIONES LOGISTICAS Q DE MEXICO </v>
      </c>
      <c r="C36" s="116">
        <f>+'Mensual por Cliente 2025'!C30+'Mensual por Cliente 2025'!D30+'Mensual por Cliente 2025'!E30</f>
        <v>0</v>
      </c>
      <c r="D36" s="116">
        <f>+'Mensual por Cliente 2025'!F30+'Mensual por Cliente 2025'!G30+'Mensual por Cliente 2025'!H30</f>
        <v>0</v>
      </c>
      <c r="E36" s="116">
        <f>+'Mensual por Cliente 2025'!I30+'Mensual por Cliente 2025'!J30</f>
        <v>6233.25</v>
      </c>
      <c r="F36" s="116">
        <f>+'Mensual por Cliente 2025'!L30+'Mensual por Cliente 2025'!M30</f>
        <v>0</v>
      </c>
      <c r="G36" s="71">
        <f t="shared" si="1"/>
        <v>6233.25</v>
      </c>
      <c r="M36" s="42"/>
      <c r="N36" s="43"/>
      <c r="O36" s="44"/>
      <c r="P36" s="44"/>
    </row>
    <row r="37" spans="2:16" x14ac:dyDescent="0.3">
      <c r="B37" s="140" t="str">
        <f>+'Mensual por Cliente 2025'!B31</f>
        <v>INNOVATIVE PORTING SL</v>
      </c>
      <c r="C37" s="116">
        <f>+'Mensual por Cliente 2025'!C31+'Mensual por Cliente 2025'!D31+'Mensual por Cliente 2025'!E31</f>
        <v>4815.5495000000001</v>
      </c>
      <c r="D37" s="116">
        <f>+'Mensual por Cliente 2025'!F31+'Mensual por Cliente 2025'!G31+'Mensual por Cliente 2025'!H31</f>
        <v>0</v>
      </c>
      <c r="E37" s="116">
        <f>+'Mensual por Cliente 2025'!I31+'Mensual por Cliente 2025'!J31</f>
        <v>0</v>
      </c>
      <c r="F37" s="116">
        <f>+'Mensual por Cliente 2025'!L31+'Mensual por Cliente 2025'!M31</f>
        <v>0</v>
      </c>
      <c r="G37" s="71">
        <f t="shared" si="1"/>
        <v>4815.5495000000001</v>
      </c>
      <c r="M37" s="42"/>
      <c r="N37" s="43"/>
      <c r="O37" s="44"/>
      <c r="P37" s="44"/>
    </row>
    <row r="38" spans="2:16" x14ac:dyDescent="0.3">
      <c r="B38" s="140" t="str">
        <f>+'Mensual por Cliente 2025'!B32</f>
        <v>DIGIT AUTOMOTIVE DE MEXICO</v>
      </c>
      <c r="C38" s="116">
        <f>+'Mensual por Cliente 2025'!C32+'Mensual por Cliente 2025'!D32+'Mensual por Cliente 2025'!E32</f>
        <v>0</v>
      </c>
      <c r="D38" s="116">
        <f>+'Mensual por Cliente 2025'!F32+'Mensual por Cliente 2025'!G32+'Mensual por Cliente 2025'!H32</f>
        <v>0</v>
      </c>
      <c r="E38" s="116">
        <f>+'Mensual por Cliente 2025'!I32+'Mensual por Cliente 2025'!J32</f>
        <v>5066.33</v>
      </c>
      <c r="F38" s="116">
        <f>+'Mensual por Cliente 2025'!L32+'Mensual por Cliente 2025'!M32</f>
        <v>0</v>
      </c>
      <c r="G38" s="71">
        <f t="shared" si="1"/>
        <v>5066.33</v>
      </c>
      <c r="M38" s="42"/>
      <c r="N38" s="43"/>
      <c r="O38" s="44"/>
      <c r="P38" s="44"/>
    </row>
    <row r="39" spans="2:16" x14ac:dyDescent="0.3">
      <c r="B39" s="140" t="str">
        <f>+'Mensual por Cliente 2025'!B33</f>
        <v>DESCAFEINADORES MEXICANOS</v>
      </c>
      <c r="C39" s="116">
        <f>+'Mensual por Cliente 2025'!C33+'Mensual por Cliente 2025'!D33+'Mensual por Cliente 2025'!E33</f>
        <v>3140.5635000000002</v>
      </c>
      <c r="D39" s="116">
        <f>+'Mensual por Cliente 2025'!F33+'Mensual por Cliente 2025'!G33+'Mensual por Cliente 2025'!H33</f>
        <v>0</v>
      </c>
      <c r="E39" s="116">
        <f>+'Mensual por Cliente 2025'!I33+'Mensual por Cliente 2025'!J33</f>
        <v>0</v>
      </c>
      <c r="F39" s="116">
        <f>+'Mensual por Cliente 2025'!L33+'Mensual por Cliente 2025'!M33</f>
        <v>0</v>
      </c>
      <c r="G39" s="71">
        <f t="shared" si="1"/>
        <v>3140.5635000000002</v>
      </c>
      <c r="M39" s="42"/>
      <c r="N39" s="43"/>
      <c r="O39" s="44"/>
      <c r="P39" s="44"/>
    </row>
    <row r="40" spans="2:16" x14ac:dyDescent="0.3">
      <c r="B40" s="140" t="s">
        <v>13</v>
      </c>
      <c r="C40" s="116">
        <f>+'Mensual por Cliente 2025'!C34+'Mensual por Cliente 2025'!D34+'Mensual por Cliente 2025'!E34</f>
        <v>0</v>
      </c>
      <c r="D40" s="116">
        <f>+'Mensual por Cliente 2025'!F34+'Mensual por Cliente 2025'!G34+'Mensual por Cliente 2025'!H34</f>
        <v>0</v>
      </c>
      <c r="E40" s="116">
        <f>+'Mensual por Cliente 2025'!I34+'Mensual por Cliente 2025'!J34</f>
        <v>0</v>
      </c>
      <c r="F40" s="116">
        <f>+'Mensual por Cliente 2025'!L34+'Mensual por Cliente 2025'!M34</f>
        <v>4500</v>
      </c>
      <c r="G40" s="71">
        <f t="shared" si="1"/>
        <v>4500</v>
      </c>
      <c r="M40" s="42"/>
      <c r="N40" s="43"/>
      <c r="O40" s="44"/>
      <c r="P40" s="44"/>
    </row>
    <row r="41" spans="2:16" x14ac:dyDescent="0.3">
      <c r="B41" s="140" t="s">
        <v>2717</v>
      </c>
      <c r="C41" s="116">
        <f>+'Mensual por Cliente 2025'!C35+'Mensual por Cliente 2025'!D35+'Mensual por Cliente 2025'!E35</f>
        <v>0</v>
      </c>
      <c r="D41" s="116">
        <f>+'Mensual por Cliente 2025'!F35+'Mensual por Cliente 2025'!G35+'Mensual por Cliente 2025'!H35</f>
        <v>0</v>
      </c>
      <c r="E41" s="116">
        <f>+'Mensual por Cliente 2025'!I35+'Mensual por Cliente 2025'!J35</f>
        <v>0</v>
      </c>
      <c r="F41" s="116">
        <f>+'Mensual por Cliente 2025'!L35+'Mensual por Cliente 2025'!M35</f>
        <v>60956.42</v>
      </c>
      <c r="G41" s="71">
        <f t="shared" si="1"/>
        <v>60956.42</v>
      </c>
      <c r="M41" s="42"/>
      <c r="N41" s="43"/>
      <c r="O41" s="44"/>
      <c r="P41" s="44"/>
    </row>
    <row r="42" spans="2:16" x14ac:dyDescent="0.3">
      <c r="B42" s="140" t="s">
        <v>2910</v>
      </c>
      <c r="C42" s="116">
        <f>+'Mensual por Cliente 2025'!C36+'Mensual por Cliente 2025'!D36+'Mensual por Cliente 2025'!E36</f>
        <v>0</v>
      </c>
      <c r="D42" s="116">
        <f>+'Mensual por Cliente 2025'!F36+'Mensual por Cliente 2025'!G36+'Mensual por Cliente 2025'!H36</f>
        <v>0</v>
      </c>
      <c r="E42" s="116">
        <f>+'Mensual por Cliente 2025'!I36+'Mensual por Cliente 2025'!J36</f>
        <v>0</v>
      </c>
      <c r="F42" s="116">
        <f>+'Mensual por Cliente 2025'!L36+'Mensual por Cliente 2025'!M36+'Mensual por Cliente 2025'!N36</f>
        <v>73429.86</v>
      </c>
      <c r="G42" s="71">
        <f t="shared" si="1"/>
        <v>73429.86</v>
      </c>
      <c r="M42" s="42"/>
      <c r="N42" s="43"/>
      <c r="O42" s="44"/>
      <c r="P42" s="44"/>
    </row>
    <row r="43" spans="2:16" x14ac:dyDescent="0.3">
      <c r="B43" s="140" t="s">
        <v>2911</v>
      </c>
      <c r="C43" s="116">
        <f>+'Mensual por Cliente 2025'!C37+'Mensual por Cliente 2025'!D37+'Mensual por Cliente 2025'!E37</f>
        <v>0</v>
      </c>
      <c r="D43" s="116">
        <f>+'Mensual por Cliente 2025'!F37+'Mensual por Cliente 2025'!G37+'Mensual por Cliente 2025'!H37</f>
        <v>0</v>
      </c>
      <c r="E43" s="116">
        <f>+'Mensual por Cliente 2025'!I37+'Mensual por Cliente 2025'!J37</f>
        <v>0</v>
      </c>
      <c r="F43" s="116">
        <f>+'Mensual por Cliente 2025'!L37+'Mensual por Cliente 2025'!M37</f>
        <v>20580.62</v>
      </c>
      <c r="G43" s="71">
        <f t="shared" si="1"/>
        <v>20580.62</v>
      </c>
      <c r="M43" s="42"/>
      <c r="N43" s="43"/>
      <c r="O43" s="44"/>
      <c r="P43" s="44"/>
    </row>
    <row r="44" spans="2:16" x14ac:dyDescent="0.3">
      <c r="B44" s="140" t="s">
        <v>3114</v>
      </c>
      <c r="C44" s="116">
        <v>0</v>
      </c>
      <c r="D44" s="116">
        <v>0</v>
      </c>
      <c r="E44" s="116">
        <v>0</v>
      </c>
      <c r="F44" s="116">
        <f>+'Mensual por Cliente 2025'!N38</f>
        <v>345585.99</v>
      </c>
      <c r="G44" s="71">
        <f t="shared" si="1"/>
        <v>345585.99</v>
      </c>
      <c r="I44" s="44"/>
      <c r="J44" s="44"/>
      <c r="M44" s="42"/>
      <c r="N44" s="43"/>
      <c r="O44" s="44"/>
      <c r="P44" s="44"/>
    </row>
    <row r="45" spans="2:16" x14ac:dyDescent="0.3">
      <c r="B45" s="140" t="s">
        <v>3115</v>
      </c>
      <c r="C45" s="116">
        <v>0</v>
      </c>
      <c r="D45" s="116">
        <v>0</v>
      </c>
      <c r="E45" s="116">
        <v>0</v>
      </c>
      <c r="F45" s="116">
        <f>+'Mensual por Cliente 2025'!N39</f>
        <v>68579.17</v>
      </c>
      <c r="G45" s="71">
        <f t="shared" si="1"/>
        <v>68579.17</v>
      </c>
      <c r="I45" s="44"/>
      <c r="J45" s="44"/>
      <c r="M45" s="42"/>
      <c r="N45" s="43"/>
      <c r="O45" s="44"/>
      <c r="P45" s="44"/>
    </row>
    <row r="46" spans="2:16" x14ac:dyDescent="0.3">
      <c r="B46" s="140" t="s">
        <v>3116</v>
      </c>
      <c r="C46" s="116">
        <v>0</v>
      </c>
      <c r="D46" s="109">
        <v>0</v>
      </c>
      <c r="E46" s="116">
        <v>0</v>
      </c>
      <c r="F46" s="116">
        <f>+'Mensual por Cliente 2025'!N40</f>
        <v>136441.28</v>
      </c>
      <c r="G46" s="71">
        <f t="shared" si="1"/>
        <v>136441.28</v>
      </c>
      <c r="I46" s="44"/>
      <c r="J46" s="44"/>
      <c r="M46" s="42"/>
      <c r="N46" s="43"/>
      <c r="O46" s="44"/>
      <c r="P46" s="44"/>
    </row>
    <row r="47" spans="2:16" ht="15" thickBot="1" x14ac:dyDescent="0.35">
      <c r="B47" s="140"/>
      <c r="C47" s="109"/>
      <c r="D47" s="109"/>
      <c r="E47" s="34"/>
      <c r="F47" s="34"/>
      <c r="G47" s="71"/>
      <c r="I47" s="44"/>
      <c r="J47" s="44"/>
      <c r="M47" s="42"/>
      <c r="N47" s="43"/>
      <c r="O47" s="44"/>
      <c r="P47" s="44"/>
    </row>
    <row r="48" spans="2:16" ht="15" thickBot="1" x14ac:dyDescent="0.35">
      <c r="B48" s="120" t="s">
        <v>9</v>
      </c>
      <c r="C48" s="121">
        <f>+SUM(C12:C47)</f>
        <v>8996514.9463040009</v>
      </c>
      <c r="D48" s="121">
        <f>+SUM(D12:D47)</f>
        <v>9213261.9381999988</v>
      </c>
      <c r="E48" s="121">
        <f>+SUM(E12:E47)</f>
        <v>11914043.016527999</v>
      </c>
      <c r="F48" s="121">
        <f>+SUM(F12:F47)</f>
        <v>10719207.609999999</v>
      </c>
      <c r="G48" s="121">
        <f>+SUM(G12:G47)</f>
        <v>40843027.511032</v>
      </c>
      <c r="M48" s="42"/>
      <c r="N48" s="43"/>
      <c r="O48" s="44"/>
      <c r="P48" s="44"/>
    </row>
    <row r="49" spans="13:16" x14ac:dyDescent="0.3">
      <c r="M49" s="42"/>
      <c r="N49" s="43"/>
      <c r="O49" s="44"/>
      <c r="P49" s="44"/>
    </row>
    <row r="50" spans="13:16" x14ac:dyDescent="0.3">
      <c r="M50" s="42"/>
      <c r="N50" s="43"/>
      <c r="O50" s="44"/>
      <c r="P50" s="44"/>
    </row>
    <row r="51" spans="13:16" x14ac:dyDescent="0.3">
      <c r="M51" s="42"/>
      <c r="N51" s="43"/>
      <c r="O51" s="44"/>
      <c r="P51" s="44"/>
    </row>
    <row r="52" spans="13:16" x14ac:dyDescent="0.3">
      <c r="M52" s="42"/>
      <c r="N52" s="43"/>
      <c r="O52" s="44"/>
      <c r="P52" s="44"/>
    </row>
    <row r="53" spans="13:16" x14ac:dyDescent="0.3">
      <c r="M53" s="44"/>
      <c r="N53" s="44"/>
      <c r="O53" s="44"/>
      <c r="P53" s="44"/>
    </row>
    <row r="54" spans="13:16" x14ac:dyDescent="0.3">
      <c r="M54" s="44"/>
      <c r="N54" s="44"/>
      <c r="O54" s="44"/>
      <c r="P54" s="44"/>
    </row>
    <row r="55" spans="13:16" x14ac:dyDescent="0.3">
      <c r="M55" s="44"/>
      <c r="N55" s="44"/>
      <c r="O55" s="44"/>
      <c r="P55" s="44"/>
    </row>
    <row r="56" spans="13:16" x14ac:dyDescent="0.3">
      <c r="M56" s="44"/>
      <c r="N56" s="44"/>
      <c r="O56" s="44"/>
      <c r="P56" s="44"/>
    </row>
    <row r="57" spans="13:16" x14ac:dyDescent="0.3">
      <c r="M57" s="44"/>
      <c r="N57" s="44"/>
      <c r="O57" s="44"/>
      <c r="P57" s="44"/>
    </row>
    <row r="58" spans="13:16" x14ac:dyDescent="0.3">
      <c r="M58" s="44"/>
      <c r="N58" s="44"/>
      <c r="O58" s="44"/>
      <c r="P58" s="44"/>
    </row>
    <row r="59" spans="13:16" x14ac:dyDescent="0.3">
      <c r="M59" s="44"/>
      <c r="N59" s="44"/>
      <c r="O59" s="44"/>
      <c r="P59" s="44"/>
    </row>
    <row r="60" spans="13:16" x14ac:dyDescent="0.3">
      <c r="M60" s="44"/>
      <c r="N60" s="44"/>
      <c r="O60" s="44"/>
      <c r="P60" s="44"/>
    </row>
    <row r="61" spans="13:16" x14ac:dyDescent="0.3">
      <c r="M61" s="44"/>
      <c r="N61" s="44"/>
      <c r="O61" s="44"/>
      <c r="P61" s="44"/>
    </row>
    <row r="62" spans="13:16" x14ac:dyDescent="0.3">
      <c r="M62" s="44"/>
      <c r="N62" s="44"/>
      <c r="O62" s="44"/>
      <c r="P62" s="44"/>
    </row>
    <row r="63" spans="13:16" x14ac:dyDescent="0.3">
      <c r="M63" s="44"/>
      <c r="N63" s="44"/>
      <c r="O63" s="44"/>
      <c r="P63" s="44"/>
    </row>
    <row r="64" spans="13:16" x14ac:dyDescent="0.3">
      <c r="M64" s="44"/>
      <c r="N64" s="44"/>
      <c r="O64" s="44"/>
      <c r="P64" s="44"/>
    </row>
    <row r="65" spans="9:10" x14ac:dyDescent="0.3">
      <c r="I65" s="44"/>
      <c r="J65" s="44"/>
    </row>
    <row r="66" spans="9:10" x14ac:dyDescent="0.3">
      <c r="I66" s="44"/>
      <c r="J66" s="44"/>
    </row>
    <row r="67" spans="9:10" x14ac:dyDescent="0.3">
      <c r="I67" s="44"/>
      <c r="J67" s="44"/>
    </row>
    <row r="68" spans="9:10" x14ac:dyDescent="0.3">
      <c r="I68" s="43"/>
      <c r="J68" s="58"/>
    </row>
    <row r="69" spans="9:10" x14ac:dyDescent="0.3">
      <c r="I69" s="44"/>
      <c r="J69" s="44"/>
    </row>
    <row r="70" spans="9:10" x14ac:dyDescent="0.3">
      <c r="J70" s="46"/>
    </row>
  </sheetData>
  <sortState xmlns:xlrd2="http://schemas.microsoft.com/office/spreadsheetml/2017/richdata2" ref="B12:G23">
    <sortCondition descending="1" ref="G12:G23"/>
  </sortState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0522-DC90-49D5-8098-B26F29471DE2}">
  <dimension ref="B1:L89"/>
  <sheetViews>
    <sheetView showGridLines="0" zoomScale="90" zoomScaleNormal="90" workbookViewId="0">
      <pane xSplit="2" ySplit="6" topLeftCell="D13" activePane="bottomRight" state="frozen"/>
      <selection pane="topRight" activeCell="C1" sqref="C1"/>
      <selection pane="bottomLeft" activeCell="A7" sqref="A7"/>
      <selection pane="bottomRight" activeCell="E18" sqref="E18"/>
    </sheetView>
  </sheetViews>
  <sheetFormatPr baseColWidth="10" defaultRowHeight="14.4" x14ac:dyDescent="0.3"/>
  <cols>
    <col min="2" max="2" width="52.5546875" bestFit="1" customWidth="1"/>
    <col min="3" max="3" width="15.5546875" style="9" bestFit="1" customWidth="1"/>
    <col min="4" max="5" width="13.6640625" style="9" customWidth="1"/>
    <col min="6" max="6" width="14.44140625" bestFit="1" customWidth="1"/>
    <col min="7" max="7" width="28.33203125" customWidth="1"/>
    <col min="8" max="9" width="23.109375" customWidth="1"/>
    <col min="11" max="11" width="13.33203125" bestFit="1" customWidth="1"/>
  </cols>
  <sheetData>
    <row r="1" spans="2:6" ht="15" thickBot="1" x14ac:dyDescent="0.35"/>
    <row r="2" spans="2:6" s="2" customFormat="1" x14ac:dyDescent="0.3">
      <c r="B2" s="82" t="s">
        <v>0</v>
      </c>
      <c r="C2" s="85"/>
      <c r="D2" s="85"/>
      <c r="E2" s="88"/>
    </row>
    <row r="3" spans="2:6" s="2" customFormat="1" x14ac:dyDescent="0.3">
      <c r="B3" s="92" t="s">
        <v>867</v>
      </c>
      <c r="C3" s="30"/>
      <c r="D3" s="30"/>
      <c r="E3" s="93"/>
    </row>
    <row r="4" spans="2:6" s="2" customFormat="1" x14ac:dyDescent="0.3">
      <c r="B4" s="96" t="s">
        <v>1</v>
      </c>
      <c r="C4" s="31"/>
      <c r="D4" s="31"/>
      <c r="E4" s="79"/>
    </row>
    <row r="5" spans="2:6" x14ac:dyDescent="0.3">
      <c r="B5" s="83"/>
      <c r="C5" s="32" t="s">
        <v>3</v>
      </c>
      <c r="D5" s="32"/>
      <c r="E5" s="81"/>
    </row>
    <row r="6" spans="2:6" s="5" customFormat="1" x14ac:dyDescent="0.3">
      <c r="B6" s="68" t="s">
        <v>2</v>
      </c>
      <c r="C6" s="147" t="s">
        <v>46</v>
      </c>
      <c r="D6" s="33" t="s">
        <v>47</v>
      </c>
      <c r="E6" s="69" t="s">
        <v>9</v>
      </c>
    </row>
    <row r="7" spans="2:6" s="5" customFormat="1" x14ac:dyDescent="0.3">
      <c r="B7" s="72" t="str">
        <f>+'Por Trimestre 2024'!B12</f>
        <v xml:space="preserve">JOINT PRODUCTION HONOR </v>
      </c>
      <c r="D7" s="34">
        <f>+'Mensual por Cliente 2025'!O6</f>
        <v>16223901.329999998</v>
      </c>
      <c r="E7" s="71">
        <f>+C7+D7</f>
        <v>16223901.329999998</v>
      </c>
      <c r="F7" s="186"/>
    </row>
    <row r="8" spans="2:6" x14ac:dyDescent="0.3">
      <c r="B8" s="72" t="str">
        <f>+'Por Trimestre 2024'!B13</f>
        <v>ARMOR MEXICO IMAGING SUPPLIES</v>
      </c>
      <c r="D8" s="34">
        <f>+'Mensual por Cliente 2025'!O7</f>
        <v>8188306.4341150001</v>
      </c>
      <c r="E8" s="71">
        <f>+C8+D8</f>
        <v>8188306.4341150001</v>
      </c>
      <c r="F8" s="11"/>
    </row>
    <row r="9" spans="2:6" x14ac:dyDescent="0.3">
      <c r="B9" s="72" t="str">
        <f>+'Por Trimestre 2024'!B14</f>
        <v xml:space="preserve">NAPS-GUANAJUATO AMERICAN BOA </v>
      </c>
      <c r="D9" s="34">
        <f>+'Mensual por Cliente 2025'!O8</f>
        <v>2398937.6284999996</v>
      </c>
      <c r="E9" s="71">
        <f t="shared" ref="E9:E41" si="0">+C9+D9</f>
        <v>2398937.6284999996</v>
      </c>
      <c r="F9" s="11"/>
    </row>
    <row r="10" spans="2:6" x14ac:dyDescent="0.3">
      <c r="B10" s="72" t="str">
        <f>+'Por Trimestre 2024'!B15</f>
        <v xml:space="preserve">NAPS-GUANAJUATO CAM </v>
      </c>
      <c r="D10" s="34">
        <f>+'Mensual por Cliente 2025'!O9</f>
        <v>3632179.9699999997</v>
      </c>
      <c r="E10" s="71">
        <f t="shared" si="0"/>
        <v>3632179.9699999997</v>
      </c>
      <c r="F10" s="11"/>
    </row>
    <row r="11" spans="2:6" x14ac:dyDescent="0.3">
      <c r="B11" s="72" t="str">
        <f>+'Por Trimestre 2024'!B16</f>
        <v>INVICONT OÜ</v>
      </c>
      <c r="C11" s="34">
        <v>1402774.243004</v>
      </c>
      <c r="D11" s="34"/>
      <c r="E11" s="71">
        <f t="shared" si="0"/>
        <v>1402774.243004</v>
      </c>
      <c r="F11" s="11"/>
    </row>
    <row r="12" spans="2:6" x14ac:dyDescent="0.3">
      <c r="B12" s="72" t="str">
        <f>+'Por Trimestre 2024'!B17</f>
        <v xml:space="preserve">JOINT PRODUCTION TECTRAN </v>
      </c>
      <c r="C12" s="34"/>
      <c r="D12" s="34">
        <f>+'Mensual por Cliente 2025'!O11</f>
        <v>2269734.9275000002</v>
      </c>
      <c r="E12" s="71">
        <f t="shared" si="0"/>
        <v>2269734.9275000002</v>
      </c>
      <c r="F12" s="11"/>
    </row>
    <row r="13" spans="2:6" x14ac:dyDescent="0.3">
      <c r="B13" s="72" t="str">
        <f>+'Por Trimestre 2024'!B18</f>
        <v>JOINT PRODUCTION BLACK SMITH</v>
      </c>
      <c r="C13" s="34"/>
      <c r="D13" s="34">
        <f>+'Mensual por Cliente 2025'!O12</f>
        <v>2189831.0700000003</v>
      </c>
      <c r="E13" s="71">
        <f t="shared" si="0"/>
        <v>2189831.0700000003</v>
      </c>
      <c r="F13" s="11"/>
    </row>
    <row r="14" spans="2:6" x14ac:dyDescent="0.3">
      <c r="B14" s="72" t="str">
        <f>+'Por Trimestre 2024'!B19</f>
        <v>CORPORATIVO ADUANAL ROBLES</v>
      </c>
      <c r="C14" s="34"/>
      <c r="D14" s="34">
        <f>+'Mensual por Cliente 2025'!O13</f>
        <v>436050.55</v>
      </c>
      <c r="E14" s="71">
        <f t="shared" si="0"/>
        <v>436050.55</v>
      </c>
      <c r="F14" s="11"/>
    </row>
    <row r="15" spans="2:6" x14ac:dyDescent="0.3">
      <c r="B15" s="72" t="str">
        <f>+'Por Trimestre 2024'!B20</f>
        <v>CHEMICAL COLOR DE MEXICO</v>
      </c>
      <c r="C15" s="34">
        <f>+'Mensual por Cliente 2025'!O14</f>
        <v>982463.85492800002</v>
      </c>
      <c r="D15" s="34"/>
      <c r="E15" s="71">
        <f>+C15+D15</f>
        <v>982463.85492800002</v>
      </c>
      <c r="F15" s="11"/>
    </row>
    <row r="16" spans="2:6" x14ac:dyDescent="0.3">
      <c r="B16" s="72" t="str">
        <f>+'Por Trimestre 2024'!B21</f>
        <v>MEGALUMINIO SERVICIOS</v>
      </c>
      <c r="C16" s="34"/>
      <c r="D16" s="34">
        <f>+'Mensual por Cliente 2025'!O15</f>
        <v>634797.74</v>
      </c>
      <c r="E16" s="71">
        <f t="shared" si="0"/>
        <v>634797.74</v>
      </c>
      <c r="F16" s="11"/>
    </row>
    <row r="17" spans="2:12" x14ac:dyDescent="0.3">
      <c r="B17" s="72" t="str">
        <f>+'Por Trimestre 2024'!B22</f>
        <v>CORE GLOBAL TRANSPORT</v>
      </c>
      <c r="C17" s="34"/>
      <c r="D17" s="34">
        <f>+'Mensual por Cliente 2025'!O16</f>
        <v>526562.69200000004</v>
      </c>
      <c r="E17" s="71">
        <f t="shared" si="0"/>
        <v>526562.69200000004</v>
      </c>
      <c r="F17" s="11"/>
    </row>
    <row r="18" spans="2:12" x14ac:dyDescent="0.3">
      <c r="B18" s="72" t="str">
        <f>+'Por Trimestre 2024'!B23</f>
        <v xml:space="preserve">TENDENCIA INTERIOR </v>
      </c>
      <c r="C18" s="34"/>
      <c r="D18" s="34">
        <f>+'Mensual por Cliente 2025'!O17</f>
        <v>396158.42119999998</v>
      </c>
      <c r="E18" s="71">
        <f t="shared" si="0"/>
        <v>396158.42119999998</v>
      </c>
      <c r="F18" s="11"/>
    </row>
    <row r="19" spans="2:12" x14ac:dyDescent="0.3">
      <c r="B19" s="72" t="str">
        <f>+'Por Trimestre 2024'!B24</f>
        <v>ND AUTOMOTIVE SYSTEMS MEXICO</v>
      </c>
      <c r="C19" s="34"/>
      <c r="D19" s="34">
        <f>+'Mensual por Cliente 2025'!O18</f>
        <v>95811.983204999997</v>
      </c>
      <c r="E19" s="71">
        <f t="shared" si="0"/>
        <v>95811.983204999997</v>
      </c>
      <c r="F19" s="11"/>
    </row>
    <row r="20" spans="2:12" x14ac:dyDescent="0.3">
      <c r="B20" s="72" t="str">
        <f>+'Por Trimestre 2024'!B25</f>
        <v>INTERIORISMO CORP</v>
      </c>
      <c r="C20" s="34"/>
      <c r="D20" s="34">
        <f>+'Mensual por Cliente 2025'!O19</f>
        <v>75686.92637999999</v>
      </c>
      <c r="E20" s="71">
        <f t="shared" si="0"/>
        <v>75686.92637999999</v>
      </c>
      <c r="F20" s="11"/>
    </row>
    <row r="21" spans="2:12" x14ac:dyDescent="0.3">
      <c r="B21" s="72" t="str">
        <f>+'Por Trimestre 2024'!B26</f>
        <v>CLEVELAND DIE QUERETARO</v>
      </c>
      <c r="C21" s="34"/>
      <c r="D21" s="34">
        <f>+'Mensual por Cliente 2025'!O20</f>
        <v>101253.11</v>
      </c>
      <c r="E21" s="71">
        <f t="shared" si="0"/>
        <v>101253.11</v>
      </c>
      <c r="F21" s="11"/>
    </row>
    <row r="22" spans="2:12" x14ac:dyDescent="0.3">
      <c r="B22" s="72" t="str">
        <f>+'Por Trimestre 2024'!B27</f>
        <v>SUPER POPULAR LOGISTICS</v>
      </c>
      <c r="C22" s="34">
        <f>+'Mensual por Cliente 2025'!O21</f>
        <v>79946.259999999995</v>
      </c>
      <c r="D22" s="34"/>
      <c r="E22" s="71">
        <f t="shared" si="0"/>
        <v>79946.259999999995</v>
      </c>
      <c r="F22" s="11"/>
    </row>
    <row r="23" spans="2:12" x14ac:dyDescent="0.3">
      <c r="B23" s="72" t="str">
        <f>+'Por Trimestre 2024'!B28</f>
        <v>HAHN AUTOMATION</v>
      </c>
      <c r="C23" s="34"/>
      <c r="D23" s="34">
        <f>+'Mensual por Cliente 2025'!O22</f>
        <v>71882.62</v>
      </c>
      <c r="E23" s="71">
        <f t="shared" si="0"/>
        <v>71882.62</v>
      </c>
      <c r="F23" s="11"/>
      <c r="G23" t="s">
        <v>861</v>
      </c>
      <c r="H23" s="35">
        <f>+C43</f>
        <v>3350733.1661319998</v>
      </c>
      <c r="I23" s="48">
        <f>+H23/$H$25</f>
        <v>8.203929459506748E-2</v>
      </c>
      <c r="K23" s="45"/>
      <c r="L23" s="40"/>
    </row>
    <row r="24" spans="2:12" x14ac:dyDescent="0.3">
      <c r="B24" s="72" t="str">
        <f>+'Por Trimestre 2024'!B29</f>
        <v>GOMSA INTEGRADORA</v>
      </c>
      <c r="C24" s="34">
        <v>43985.000700000004</v>
      </c>
      <c r="D24" s="34"/>
      <c r="E24" s="71">
        <f t="shared" si="0"/>
        <v>43985.000700000004</v>
      </c>
      <c r="F24" s="11"/>
      <c r="G24" t="s">
        <v>48</v>
      </c>
      <c r="H24" s="35">
        <f>+D43</f>
        <v>37492294.344899997</v>
      </c>
      <c r="I24" s="48">
        <f>+H24/$H$25</f>
        <v>0.91796070540493246</v>
      </c>
      <c r="K24" s="45"/>
      <c r="L24" s="40"/>
    </row>
    <row r="25" spans="2:12" ht="15" thickBot="1" x14ac:dyDescent="0.35">
      <c r="B25" s="72" t="str">
        <f>+'Por Trimestre 2024'!B30</f>
        <v>SELLOS Y RETENES DE SAN LUIS</v>
      </c>
      <c r="C25" s="34"/>
      <c r="D25" s="34">
        <f>+'Mensual por Cliente 2025'!O24</f>
        <v>84750.13</v>
      </c>
      <c r="E25" s="71">
        <f t="shared" si="0"/>
        <v>84750.13</v>
      </c>
      <c r="F25" s="11"/>
      <c r="H25" s="36">
        <f>+SUM(H23:H24)</f>
        <v>40843027.511032</v>
      </c>
      <c r="I25" s="41"/>
    </row>
    <row r="26" spans="2:12" ht="15" thickTop="1" x14ac:dyDescent="0.3">
      <c r="B26" s="72" t="str">
        <f>+'Por Trimestre 2024'!B31</f>
        <v xml:space="preserve">NEXT LOGISTICS XXI S.L </v>
      </c>
      <c r="C26" s="34">
        <f>+'Mensual por Cliente 2025'!O25</f>
        <v>106124.52399999999</v>
      </c>
      <c r="D26" s="34"/>
      <c r="E26" s="71">
        <f t="shared" si="0"/>
        <v>106124.52399999999</v>
      </c>
      <c r="F26" s="11"/>
    </row>
    <row r="27" spans="2:12" x14ac:dyDescent="0.3">
      <c r="B27" s="72" t="str">
        <f>+'Por Trimestre 2024'!B32</f>
        <v>NAPS-JUAREZ</v>
      </c>
      <c r="C27" s="34">
        <f>+'Mensual por Cliente 2025'!O26</f>
        <v>42239.67</v>
      </c>
      <c r="D27" s="34"/>
      <c r="E27" s="71">
        <f t="shared" si="0"/>
        <v>42239.67</v>
      </c>
      <c r="F27" s="11"/>
    </row>
    <row r="28" spans="2:12" x14ac:dyDescent="0.3">
      <c r="B28" s="72" t="str">
        <f>+'Por Trimestre 2024'!B33</f>
        <v>JOINT PRODUCTION (HCMF)</v>
      </c>
      <c r="C28" s="34"/>
      <c r="D28" s="34">
        <f>+'Mensual por Cliente 2025'!O27</f>
        <v>29254.9</v>
      </c>
      <c r="E28" s="71">
        <f t="shared" si="0"/>
        <v>29254.9</v>
      </c>
      <c r="F28" s="11"/>
    </row>
    <row r="29" spans="2:12" x14ac:dyDescent="0.3">
      <c r="B29" s="72" t="str">
        <f>+'Por Trimestre 2024'!B34</f>
        <v>NAPS-GUANAJUATO MULTITECH</v>
      </c>
      <c r="C29" s="34"/>
      <c r="D29" s="34">
        <f>+'Mensual por Cliente 2025'!O28</f>
        <v>92071.640000000014</v>
      </c>
      <c r="E29" s="71">
        <f t="shared" si="0"/>
        <v>92071.640000000014</v>
      </c>
      <c r="F29" s="11"/>
    </row>
    <row r="30" spans="2:12" x14ac:dyDescent="0.3">
      <c r="B30" s="72" t="str">
        <f>+'Por Trimestre 2024'!B35</f>
        <v>HM ULUSLARARASI PROJE TASIMACILIGI A.S</v>
      </c>
      <c r="C30" s="34"/>
      <c r="D30" s="34">
        <f>+'Mensual por Cliente 2025'!O29</f>
        <v>8992.8525000000009</v>
      </c>
      <c r="E30" s="71">
        <f t="shared" si="0"/>
        <v>8992.8525000000009</v>
      </c>
      <c r="F30" s="11"/>
    </row>
    <row r="31" spans="2:12" x14ac:dyDescent="0.3">
      <c r="B31" s="72" t="str">
        <f>+'Por Trimestre 2024'!B36</f>
        <v xml:space="preserve">SOLUCIONES LOGISTICAS Q DE MEXICO </v>
      </c>
      <c r="C31" s="34"/>
      <c r="D31" s="34">
        <f>+'Mensual por Cliente 2025'!O30</f>
        <v>6233.25</v>
      </c>
      <c r="E31" s="71">
        <f t="shared" si="0"/>
        <v>6233.25</v>
      </c>
      <c r="F31" s="11"/>
    </row>
    <row r="32" spans="2:12" x14ac:dyDescent="0.3">
      <c r="B32" s="72" t="str">
        <f>+'Por Trimestre 2024'!B37</f>
        <v>INNOVATIVE PORTING SL</v>
      </c>
      <c r="C32" s="34"/>
      <c r="D32" s="34">
        <f>+'Mensual por Cliente 2025'!O31</f>
        <v>4815.5495000000001</v>
      </c>
      <c r="E32" s="71">
        <f t="shared" si="0"/>
        <v>4815.5495000000001</v>
      </c>
      <c r="F32" s="11"/>
    </row>
    <row r="33" spans="2:9" x14ac:dyDescent="0.3">
      <c r="B33" s="72" t="str">
        <f>+'Por Trimestre 2024'!B38</f>
        <v>DIGIT AUTOMOTIVE DE MEXICO</v>
      </c>
      <c r="C33" s="34">
        <v>5066.33</v>
      </c>
      <c r="D33" s="34"/>
      <c r="E33" s="71">
        <f t="shared" si="0"/>
        <v>5066.33</v>
      </c>
      <c r="F33" s="11"/>
    </row>
    <row r="34" spans="2:9" x14ac:dyDescent="0.3">
      <c r="B34" s="72" t="str">
        <f>+'Por Trimestre 2024'!B39</f>
        <v>DESCAFEINADORES MEXICANOS</v>
      </c>
      <c r="C34" s="34">
        <v>3140.5635000000002</v>
      </c>
      <c r="D34" s="34"/>
      <c r="E34" s="71">
        <f t="shared" si="0"/>
        <v>3140.5635000000002</v>
      </c>
      <c r="F34" s="11"/>
      <c r="G34" s="43"/>
      <c r="H34" s="58"/>
      <c r="I34" s="44"/>
    </row>
    <row r="35" spans="2:9" x14ac:dyDescent="0.3">
      <c r="B35" s="72" t="s">
        <v>13</v>
      </c>
      <c r="C35" s="34"/>
      <c r="D35" s="34">
        <v>4500</v>
      </c>
      <c r="E35" s="71">
        <f t="shared" si="0"/>
        <v>4500</v>
      </c>
      <c r="F35" s="11"/>
      <c r="G35" s="43"/>
      <c r="H35" s="58"/>
      <c r="I35" s="44"/>
    </row>
    <row r="36" spans="2:9" x14ac:dyDescent="0.3">
      <c r="B36" s="72" t="s">
        <v>2717</v>
      </c>
      <c r="C36" s="34">
        <f>+'Mensual por Cliente 2025'!O35</f>
        <v>60956.42</v>
      </c>
      <c r="D36" s="34"/>
      <c r="E36" s="71">
        <f t="shared" si="0"/>
        <v>60956.42</v>
      </c>
      <c r="F36" s="11"/>
      <c r="G36" s="43"/>
      <c r="H36" s="58"/>
      <c r="I36" s="44"/>
    </row>
    <row r="37" spans="2:9" x14ac:dyDescent="0.3">
      <c r="B37" s="72" t="s">
        <v>2910</v>
      </c>
      <c r="C37" s="34">
        <f>+'Mensual por Cliente 2025'!O36</f>
        <v>73429.86</v>
      </c>
      <c r="D37" s="34"/>
      <c r="E37" s="71">
        <f t="shared" si="0"/>
        <v>73429.86</v>
      </c>
      <c r="G37" s="43"/>
      <c r="H37" s="58"/>
      <c r="I37" s="44"/>
    </row>
    <row r="38" spans="2:9" x14ac:dyDescent="0.3">
      <c r="B38" s="72" t="s">
        <v>2911</v>
      </c>
      <c r="C38" s="34"/>
      <c r="D38" s="34">
        <f>+'Mensual por Cliente 2025'!O37</f>
        <v>20580.62</v>
      </c>
      <c r="E38" s="71">
        <f t="shared" si="0"/>
        <v>20580.62</v>
      </c>
      <c r="G38" s="43"/>
      <c r="H38" s="58"/>
      <c r="I38" s="44"/>
    </row>
    <row r="39" spans="2:9" x14ac:dyDescent="0.3">
      <c r="B39" s="72" t="s">
        <v>3114</v>
      </c>
      <c r="C39" s="34">
        <f>+'Mensual por Cliente 2025'!O38</f>
        <v>345585.99</v>
      </c>
      <c r="D39" s="34"/>
      <c r="E39" s="71">
        <f t="shared" si="0"/>
        <v>345585.99</v>
      </c>
      <c r="G39" s="43"/>
      <c r="H39" s="58"/>
      <c r="I39" s="44"/>
    </row>
    <row r="40" spans="2:9" x14ac:dyDescent="0.3">
      <c r="B40" s="72" t="s">
        <v>3115</v>
      </c>
      <c r="C40" s="34">
        <f>+'Mensual por Cliente 2025'!O39</f>
        <v>68579.17</v>
      </c>
      <c r="D40" s="34"/>
      <c r="E40" s="71">
        <f t="shared" si="0"/>
        <v>68579.17</v>
      </c>
      <c r="G40" s="43"/>
      <c r="H40" s="58"/>
      <c r="I40" s="44"/>
    </row>
    <row r="41" spans="2:9" x14ac:dyDescent="0.3">
      <c r="B41" s="72" t="s">
        <v>3116</v>
      </c>
      <c r="C41" s="34">
        <f>+'Mensual por Cliente 2025'!O40</f>
        <v>136441.28</v>
      </c>
      <c r="D41" s="34"/>
      <c r="E41" s="71">
        <f t="shared" si="0"/>
        <v>136441.28</v>
      </c>
      <c r="G41" s="43"/>
      <c r="H41" s="58"/>
      <c r="I41" s="44"/>
    </row>
    <row r="42" spans="2:9" x14ac:dyDescent="0.3">
      <c r="B42" s="72"/>
      <c r="C42" s="34"/>
      <c r="D42" s="34"/>
      <c r="E42" s="71"/>
      <c r="G42" s="43"/>
      <c r="H42" s="58"/>
      <c r="I42" s="44"/>
    </row>
    <row r="43" spans="2:9" ht="15" thickBot="1" x14ac:dyDescent="0.35">
      <c r="B43" s="86" t="s">
        <v>9</v>
      </c>
      <c r="C43" s="91">
        <f>+SUM(C7:C42)</f>
        <v>3350733.1661319998</v>
      </c>
      <c r="D43" s="91">
        <f>+SUM(D7:D42)</f>
        <v>37492294.344899997</v>
      </c>
      <c r="E43" s="91">
        <f>SUM(E7:E42)</f>
        <v>40843027.511032</v>
      </c>
      <c r="I43" s="44"/>
    </row>
    <row r="44" spans="2:9" ht="15.6" thickTop="1" thickBot="1" x14ac:dyDescent="0.35">
      <c r="B44" s="84"/>
      <c r="C44" s="74"/>
      <c r="D44" s="74"/>
      <c r="E44" s="75"/>
      <c r="I44" s="44"/>
    </row>
    <row r="45" spans="2:9" x14ac:dyDescent="0.3">
      <c r="I45" s="44"/>
    </row>
    <row r="46" spans="2:9" x14ac:dyDescent="0.3">
      <c r="I46" s="44"/>
    </row>
    <row r="47" spans="2:9" x14ac:dyDescent="0.3">
      <c r="E47" s="9">
        <f>+E43-'Por Oficina'!E24</f>
        <v>1.2802999913692474</v>
      </c>
      <c r="I47" s="44"/>
    </row>
    <row r="48" spans="2:9" x14ac:dyDescent="0.3">
      <c r="I48" s="44"/>
    </row>
    <row r="49" spans="7:9" x14ac:dyDescent="0.3">
      <c r="I49" s="44"/>
    </row>
    <row r="50" spans="7:9" x14ac:dyDescent="0.3">
      <c r="I50" s="44"/>
    </row>
    <row r="51" spans="7:9" x14ac:dyDescent="0.3">
      <c r="I51" s="44"/>
    </row>
    <row r="52" spans="7:9" x14ac:dyDescent="0.3">
      <c r="I52" s="44"/>
    </row>
    <row r="53" spans="7:9" x14ac:dyDescent="0.3">
      <c r="I53" s="44"/>
    </row>
    <row r="54" spans="7:9" x14ac:dyDescent="0.3">
      <c r="I54" s="44"/>
    </row>
    <row r="55" spans="7:9" x14ac:dyDescent="0.3">
      <c r="I55" s="44"/>
    </row>
    <row r="56" spans="7:9" x14ac:dyDescent="0.3">
      <c r="I56" s="44"/>
    </row>
    <row r="57" spans="7:9" x14ac:dyDescent="0.3">
      <c r="I57" s="44"/>
    </row>
    <row r="58" spans="7:9" x14ac:dyDescent="0.3">
      <c r="I58" s="44"/>
    </row>
    <row r="59" spans="7:9" x14ac:dyDescent="0.3">
      <c r="I59" s="44"/>
    </row>
    <row r="60" spans="7:9" x14ac:dyDescent="0.3">
      <c r="G60" s="41"/>
      <c r="H60" s="46"/>
      <c r="I60" s="44"/>
    </row>
    <row r="61" spans="7:9" x14ac:dyDescent="0.3">
      <c r="G61" s="41"/>
      <c r="H61" s="46"/>
      <c r="I61" s="44"/>
    </row>
    <row r="62" spans="7:9" x14ac:dyDescent="0.3">
      <c r="G62" s="41"/>
      <c r="H62" s="46"/>
      <c r="I62" s="44"/>
    </row>
    <row r="63" spans="7:9" x14ac:dyDescent="0.3">
      <c r="G63" s="41"/>
      <c r="H63" s="46"/>
      <c r="I63" s="44"/>
    </row>
    <row r="64" spans="7:9" x14ac:dyDescent="0.3">
      <c r="G64" s="41"/>
      <c r="H64" s="46"/>
      <c r="I64" s="44"/>
    </row>
    <row r="65" spans="7:9" x14ac:dyDescent="0.3">
      <c r="G65" s="41"/>
      <c r="H65" s="46"/>
      <c r="I65" s="44"/>
    </row>
    <row r="66" spans="7:9" x14ac:dyDescent="0.3">
      <c r="G66" s="41"/>
      <c r="H66" s="46"/>
      <c r="I66" s="44"/>
    </row>
    <row r="67" spans="7:9" x14ac:dyDescent="0.3">
      <c r="G67" s="41"/>
      <c r="H67" s="46"/>
    </row>
    <row r="68" spans="7:9" x14ac:dyDescent="0.3">
      <c r="G68" s="41"/>
      <c r="H68" s="46"/>
    </row>
    <row r="69" spans="7:9" x14ac:dyDescent="0.3">
      <c r="G69" s="41"/>
      <c r="H69" s="46"/>
    </row>
    <row r="70" spans="7:9" x14ac:dyDescent="0.3">
      <c r="G70" s="41"/>
      <c r="H70" s="46"/>
    </row>
    <row r="71" spans="7:9" x14ac:dyDescent="0.3">
      <c r="G71" s="41"/>
      <c r="H71" s="46"/>
    </row>
    <row r="72" spans="7:9" x14ac:dyDescent="0.3">
      <c r="G72" s="41"/>
      <c r="H72" s="46"/>
    </row>
    <row r="73" spans="7:9" x14ac:dyDescent="0.3">
      <c r="G73" s="41"/>
      <c r="H73" s="46"/>
    </row>
    <row r="74" spans="7:9" x14ac:dyDescent="0.3">
      <c r="G74" s="41"/>
      <c r="H74" s="46"/>
    </row>
    <row r="75" spans="7:9" x14ac:dyDescent="0.3">
      <c r="G75" s="41"/>
      <c r="H75" s="46"/>
    </row>
    <row r="76" spans="7:9" x14ac:dyDescent="0.3">
      <c r="G76" s="41"/>
      <c r="H76" s="46"/>
    </row>
    <row r="77" spans="7:9" x14ac:dyDescent="0.3">
      <c r="G77" s="41"/>
      <c r="H77" s="46"/>
    </row>
    <row r="78" spans="7:9" x14ac:dyDescent="0.3">
      <c r="G78" s="41"/>
      <c r="H78" s="46"/>
    </row>
    <row r="79" spans="7:9" x14ac:dyDescent="0.3">
      <c r="G79" s="41"/>
      <c r="H79" s="46"/>
    </row>
    <row r="80" spans="7:9" x14ac:dyDescent="0.3">
      <c r="G80" s="41"/>
      <c r="H80" s="46"/>
    </row>
    <row r="81" spans="7:8" x14ac:dyDescent="0.3">
      <c r="G81" s="41"/>
      <c r="H81" s="46"/>
    </row>
    <row r="82" spans="7:8" x14ac:dyDescent="0.3">
      <c r="G82" s="41"/>
      <c r="H82" s="46"/>
    </row>
    <row r="83" spans="7:8" x14ac:dyDescent="0.3">
      <c r="G83" s="41"/>
      <c r="H83" s="46"/>
    </row>
    <row r="84" spans="7:8" x14ac:dyDescent="0.3">
      <c r="G84" s="41"/>
      <c r="H84" s="46"/>
    </row>
    <row r="85" spans="7:8" x14ac:dyDescent="0.3">
      <c r="G85" s="41"/>
      <c r="H85" s="46"/>
    </row>
    <row r="86" spans="7:8" x14ac:dyDescent="0.3">
      <c r="G86" s="41"/>
      <c r="H86" s="46"/>
    </row>
    <row r="87" spans="7:8" x14ac:dyDescent="0.3">
      <c r="G87" s="41"/>
      <c r="H87" s="46"/>
    </row>
    <row r="88" spans="7:8" x14ac:dyDescent="0.3">
      <c r="G88" s="41"/>
      <c r="H88" s="46"/>
    </row>
    <row r="89" spans="7:8" x14ac:dyDescent="0.3">
      <c r="H89" s="46"/>
    </row>
  </sheetData>
  <sortState xmlns:xlrd2="http://schemas.microsoft.com/office/spreadsheetml/2017/richdata2" ref="B7:E24">
    <sortCondition descending="1" ref="E7:E24"/>
  </sortState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699D-9731-48EB-846B-B03E6D7F3984}">
  <dimension ref="A1:K570"/>
  <sheetViews>
    <sheetView topLeftCell="B1" workbookViewId="0">
      <pane ySplit="497" topLeftCell="A570" activePane="bottomLeft" state="frozen"/>
      <selection pane="bottomLeft" activeCell="G28" sqref="G28"/>
    </sheetView>
  </sheetViews>
  <sheetFormatPr baseColWidth="10" defaultColWidth="11.44140625" defaultRowHeight="14.4" x14ac:dyDescent="0.3"/>
  <cols>
    <col min="1" max="1" width="8.5546875" style="44" bestFit="1" customWidth="1"/>
    <col min="2" max="2" width="22.5546875" style="44" customWidth="1"/>
    <col min="3" max="3" width="11.44140625" style="44"/>
    <col min="4" max="4" width="13.44140625" style="44" bestFit="1" customWidth="1"/>
    <col min="5" max="6" width="11.44140625" style="44"/>
    <col min="7" max="7" width="33" style="44" bestFit="1" customWidth="1"/>
    <col min="8" max="8" width="14.109375" style="44" bestFit="1" customWidth="1"/>
    <col min="9" max="10" width="11.44140625" style="44"/>
    <col min="11" max="11" width="15.21875" style="44" customWidth="1"/>
    <col min="12" max="16384" width="11.44140625" style="44"/>
  </cols>
  <sheetData>
    <row r="1" spans="1:11" x14ac:dyDescent="0.3">
      <c r="A1" s="123" t="s">
        <v>70</v>
      </c>
      <c r="B1" s="123" t="s">
        <v>61</v>
      </c>
      <c r="C1" s="123" t="s">
        <v>71</v>
      </c>
      <c r="D1" s="123" t="s">
        <v>72</v>
      </c>
      <c r="E1" s="124" t="s">
        <v>73</v>
      </c>
      <c r="F1" s="123" t="s">
        <v>74</v>
      </c>
      <c r="G1" s="123" t="s">
        <v>825</v>
      </c>
      <c r="H1" s="125" t="s">
        <v>76</v>
      </c>
      <c r="I1" s="125" t="s">
        <v>828</v>
      </c>
      <c r="J1" s="125" t="s">
        <v>829</v>
      </c>
      <c r="K1" s="125" t="s">
        <v>1543</v>
      </c>
    </row>
    <row r="2" spans="1:11" x14ac:dyDescent="0.3">
      <c r="A2" s="126" t="s">
        <v>392</v>
      </c>
      <c r="B2" s="126" t="s">
        <v>4</v>
      </c>
      <c r="C2" s="127" t="s">
        <v>868</v>
      </c>
      <c r="D2" s="127" t="s">
        <v>869</v>
      </c>
      <c r="E2" s="128">
        <v>45660</v>
      </c>
      <c r="F2" s="127" t="s">
        <v>372</v>
      </c>
      <c r="G2" s="127" t="s">
        <v>10</v>
      </c>
      <c r="H2" s="129">
        <v>16362.29</v>
      </c>
      <c r="I2" s="106">
        <v>0.42299999999999999</v>
      </c>
      <c r="J2" s="126" t="s">
        <v>848</v>
      </c>
    </row>
    <row r="3" spans="1:11" x14ac:dyDescent="0.3">
      <c r="A3" s="126" t="s">
        <v>392</v>
      </c>
      <c r="B3" s="126" t="s">
        <v>4</v>
      </c>
      <c r="C3" s="127" t="s">
        <v>870</v>
      </c>
      <c r="D3" s="127" t="s">
        <v>871</v>
      </c>
      <c r="E3" s="128">
        <v>45660</v>
      </c>
      <c r="F3" s="127" t="s">
        <v>372</v>
      </c>
      <c r="G3" s="127" t="s">
        <v>10</v>
      </c>
      <c r="H3" s="129">
        <v>17562.29</v>
      </c>
      <c r="I3" s="106">
        <v>0.44900000000000001</v>
      </c>
      <c r="J3" s="126" t="s">
        <v>848</v>
      </c>
    </row>
    <row r="4" spans="1:11" x14ac:dyDescent="0.3">
      <c r="A4" s="126" t="s">
        <v>390</v>
      </c>
      <c r="B4" s="126" t="s">
        <v>4</v>
      </c>
      <c r="C4" s="127" t="s">
        <v>872</v>
      </c>
      <c r="D4" s="127" t="s">
        <v>873</v>
      </c>
      <c r="E4" s="128">
        <v>45660</v>
      </c>
      <c r="F4" s="127" t="s">
        <v>372</v>
      </c>
      <c r="G4" s="127" t="s">
        <v>10</v>
      </c>
      <c r="H4" s="129">
        <v>112970.32</v>
      </c>
      <c r="I4" s="106">
        <v>0.28399999999999997</v>
      </c>
      <c r="J4" s="126" t="s">
        <v>833</v>
      </c>
    </row>
    <row r="5" spans="1:11" x14ac:dyDescent="0.3">
      <c r="A5" s="126" t="s">
        <v>390</v>
      </c>
      <c r="B5" s="126" t="s">
        <v>4</v>
      </c>
      <c r="C5" s="127" t="s">
        <v>874</v>
      </c>
      <c r="D5" s="127" t="s">
        <v>875</v>
      </c>
      <c r="E5" s="128">
        <v>45660</v>
      </c>
      <c r="F5" s="127" t="s">
        <v>372</v>
      </c>
      <c r="G5" s="127" t="s">
        <v>10</v>
      </c>
      <c r="H5" s="129">
        <v>3540</v>
      </c>
      <c r="I5" s="106">
        <v>0.25900000000000001</v>
      </c>
      <c r="J5" s="126" t="s">
        <v>833</v>
      </c>
    </row>
    <row r="6" spans="1:11" x14ac:dyDescent="0.3">
      <c r="A6" s="126" t="s">
        <v>392</v>
      </c>
      <c r="B6" s="126" t="s">
        <v>4</v>
      </c>
      <c r="C6" s="127" t="s">
        <v>876</v>
      </c>
      <c r="D6" s="127" t="s">
        <v>877</v>
      </c>
      <c r="E6" s="128">
        <v>45660</v>
      </c>
      <c r="F6" s="127" t="s">
        <v>372</v>
      </c>
      <c r="G6" s="127" t="s">
        <v>10</v>
      </c>
      <c r="H6" s="129">
        <v>2928.25</v>
      </c>
      <c r="I6" s="106">
        <v>0.59</v>
      </c>
      <c r="J6" s="126" t="s">
        <v>848</v>
      </c>
    </row>
    <row r="7" spans="1:11" x14ac:dyDescent="0.3">
      <c r="A7" s="126" t="s">
        <v>392</v>
      </c>
      <c r="B7" s="126" t="s">
        <v>4</v>
      </c>
      <c r="C7" s="127" t="s">
        <v>878</v>
      </c>
      <c r="D7" s="130" t="s">
        <v>879</v>
      </c>
      <c r="E7" s="128">
        <v>45660</v>
      </c>
      <c r="F7" s="127" t="s">
        <v>372</v>
      </c>
      <c r="G7" s="127" t="s">
        <v>10</v>
      </c>
      <c r="H7" s="129">
        <v>16361.73</v>
      </c>
      <c r="I7" s="106">
        <v>0.42299999999999999</v>
      </c>
      <c r="J7" s="126" t="s">
        <v>848</v>
      </c>
    </row>
    <row r="8" spans="1:11" x14ac:dyDescent="0.3">
      <c r="A8" s="126" t="s">
        <v>390</v>
      </c>
      <c r="B8" s="126" t="s">
        <v>4</v>
      </c>
      <c r="C8" s="127" t="s">
        <v>880</v>
      </c>
      <c r="D8" s="127" t="s">
        <v>881</v>
      </c>
      <c r="E8" s="128">
        <v>45660</v>
      </c>
      <c r="F8" s="127" t="s">
        <v>372</v>
      </c>
      <c r="G8" s="127" t="s">
        <v>10</v>
      </c>
      <c r="H8" s="129">
        <v>10620</v>
      </c>
      <c r="I8" s="106">
        <v>0.25900000000000001</v>
      </c>
      <c r="J8" s="126" t="s">
        <v>833</v>
      </c>
    </row>
    <row r="9" spans="1:11" x14ac:dyDescent="0.3">
      <c r="A9" s="126" t="s">
        <v>390</v>
      </c>
      <c r="B9" s="126" t="s">
        <v>4</v>
      </c>
      <c r="C9" s="127" t="s">
        <v>882</v>
      </c>
      <c r="D9" s="127" t="s">
        <v>883</v>
      </c>
      <c r="E9" s="128">
        <v>45660</v>
      </c>
      <c r="F9" s="127" t="s">
        <v>372</v>
      </c>
      <c r="G9" s="127" t="s">
        <v>10</v>
      </c>
      <c r="H9" s="129">
        <v>79824.55</v>
      </c>
      <c r="I9" s="106">
        <v>0.22500000000000001</v>
      </c>
      <c r="J9" s="126" t="s">
        <v>833</v>
      </c>
    </row>
    <row r="10" spans="1:11" x14ac:dyDescent="0.3">
      <c r="A10" s="126" t="s">
        <v>392</v>
      </c>
      <c r="B10" s="126" t="s">
        <v>4</v>
      </c>
      <c r="C10" s="127" t="s">
        <v>884</v>
      </c>
      <c r="D10" s="127" t="s">
        <v>885</v>
      </c>
      <c r="E10" s="128">
        <v>45660</v>
      </c>
      <c r="F10" s="127" t="s">
        <v>370</v>
      </c>
      <c r="G10" s="127" t="s">
        <v>63</v>
      </c>
      <c r="H10" s="129">
        <v>6908.32</v>
      </c>
      <c r="I10" s="106">
        <v>0.55100000000000005</v>
      </c>
      <c r="J10" s="126" t="s">
        <v>830</v>
      </c>
    </row>
    <row r="11" spans="1:11" x14ac:dyDescent="0.3">
      <c r="A11" s="126" t="s">
        <v>390</v>
      </c>
      <c r="B11" s="126" t="s">
        <v>4</v>
      </c>
      <c r="C11" s="127" t="s">
        <v>886</v>
      </c>
      <c r="D11" s="127" t="s">
        <v>856</v>
      </c>
      <c r="E11" s="128">
        <v>45665</v>
      </c>
      <c r="F11" s="127" t="s">
        <v>811</v>
      </c>
      <c r="G11" s="127" t="s">
        <v>813</v>
      </c>
      <c r="H11" s="129">
        <v>0.01</v>
      </c>
      <c r="I11" s="107">
        <v>0</v>
      </c>
      <c r="J11" s="126" t="s">
        <v>832</v>
      </c>
    </row>
    <row r="12" spans="1:11" x14ac:dyDescent="0.3">
      <c r="A12" s="126" t="s">
        <v>390</v>
      </c>
      <c r="B12" s="126" t="s">
        <v>4</v>
      </c>
      <c r="C12" s="127" t="s">
        <v>887</v>
      </c>
      <c r="D12" s="127" t="s">
        <v>888</v>
      </c>
      <c r="E12" s="128">
        <v>45666</v>
      </c>
      <c r="F12" s="127" t="s">
        <v>372</v>
      </c>
      <c r="G12" s="127" t="s">
        <v>10</v>
      </c>
      <c r="H12" s="129">
        <v>106812.52</v>
      </c>
      <c r="I12" s="106">
        <v>0.308</v>
      </c>
      <c r="J12" s="126" t="s">
        <v>833</v>
      </c>
    </row>
    <row r="13" spans="1:11" x14ac:dyDescent="0.3">
      <c r="A13" s="126" t="s">
        <v>390</v>
      </c>
      <c r="B13" s="126" t="s">
        <v>4</v>
      </c>
      <c r="C13" s="127" t="s">
        <v>889</v>
      </c>
      <c r="D13" s="127" t="s">
        <v>890</v>
      </c>
      <c r="E13" s="128">
        <v>45666</v>
      </c>
      <c r="F13" s="127" t="s">
        <v>372</v>
      </c>
      <c r="G13" s="127" t="s">
        <v>10</v>
      </c>
      <c r="H13" s="129">
        <v>84790.76</v>
      </c>
      <c r="I13" s="106">
        <v>0.29299999999999998</v>
      </c>
      <c r="J13" s="126" t="s">
        <v>833</v>
      </c>
    </row>
    <row r="14" spans="1:11" x14ac:dyDescent="0.3">
      <c r="A14" s="126" t="s">
        <v>392</v>
      </c>
      <c r="B14" s="126" t="s">
        <v>4</v>
      </c>
      <c r="C14" s="127" t="s">
        <v>891</v>
      </c>
      <c r="D14" s="127" t="s">
        <v>892</v>
      </c>
      <c r="E14" s="128">
        <v>45666</v>
      </c>
      <c r="F14" s="127" t="s">
        <v>372</v>
      </c>
      <c r="G14" s="127" t="s">
        <v>10</v>
      </c>
      <c r="H14" s="129">
        <v>18579.25</v>
      </c>
      <c r="I14" s="106">
        <v>0.42099999999999999</v>
      </c>
      <c r="J14" s="126" t="s">
        <v>848</v>
      </c>
    </row>
    <row r="15" spans="1:11" x14ac:dyDescent="0.3">
      <c r="A15" s="126" t="s">
        <v>390</v>
      </c>
      <c r="B15" s="126" t="s">
        <v>4</v>
      </c>
      <c r="C15" s="127" t="s">
        <v>893</v>
      </c>
      <c r="D15" s="130" t="s">
        <v>858</v>
      </c>
      <c r="E15" s="128">
        <v>45666</v>
      </c>
      <c r="F15" s="127" t="s">
        <v>371</v>
      </c>
      <c r="G15" s="127" t="s">
        <v>864</v>
      </c>
      <c r="H15" s="129">
        <v>205227.85</v>
      </c>
      <c r="I15" s="106">
        <v>0.40400000000000003</v>
      </c>
      <c r="J15" s="126" t="s">
        <v>833</v>
      </c>
    </row>
    <row r="16" spans="1:11" x14ac:dyDescent="0.3">
      <c r="A16" s="126" t="s">
        <v>390</v>
      </c>
      <c r="B16" s="126" t="s">
        <v>4</v>
      </c>
      <c r="C16" s="127" t="s">
        <v>894</v>
      </c>
      <c r="D16" s="130" t="s">
        <v>895</v>
      </c>
      <c r="E16" s="128">
        <v>45667</v>
      </c>
      <c r="F16" s="127" t="s">
        <v>372</v>
      </c>
      <c r="G16" s="127" t="s">
        <v>10</v>
      </c>
      <c r="H16" s="129">
        <v>27182.81</v>
      </c>
      <c r="I16" s="106">
        <v>0.21</v>
      </c>
      <c r="J16" s="126" t="s">
        <v>833</v>
      </c>
    </row>
    <row r="17" spans="1:10" x14ac:dyDescent="0.3">
      <c r="A17" s="126" t="s">
        <v>390</v>
      </c>
      <c r="B17" s="126" t="s">
        <v>4</v>
      </c>
      <c r="C17" s="127" t="s">
        <v>896</v>
      </c>
      <c r="D17" s="130" t="s">
        <v>897</v>
      </c>
      <c r="E17" s="128">
        <v>45670</v>
      </c>
      <c r="F17" s="127" t="s">
        <v>371</v>
      </c>
      <c r="G17" s="127" t="s">
        <v>864</v>
      </c>
      <c r="H17" s="129">
        <v>16728.86</v>
      </c>
      <c r="I17" s="106">
        <v>0.41199999999999998</v>
      </c>
      <c r="J17" s="126" t="s">
        <v>833</v>
      </c>
    </row>
    <row r="18" spans="1:10" x14ac:dyDescent="0.3">
      <c r="A18" s="126" t="s">
        <v>392</v>
      </c>
      <c r="B18" s="126" t="s">
        <v>4</v>
      </c>
      <c r="C18" s="127" t="s">
        <v>898</v>
      </c>
      <c r="D18" s="130" t="s">
        <v>899</v>
      </c>
      <c r="E18" s="128">
        <v>45670</v>
      </c>
      <c r="F18" s="127" t="s">
        <v>370</v>
      </c>
      <c r="G18" s="127" t="s">
        <v>63</v>
      </c>
      <c r="H18" s="129">
        <v>15835.71</v>
      </c>
      <c r="I18" s="106">
        <v>0.76600000000000001</v>
      </c>
      <c r="J18" s="126" t="s">
        <v>830</v>
      </c>
    </row>
    <row r="19" spans="1:10" x14ac:dyDescent="0.3">
      <c r="A19" s="126" t="s">
        <v>390</v>
      </c>
      <c r="B19" s="126" t="s">
        <v>4</v>
      </c>
      <c r="C19" s="127" t="s">
        <v>900</v>
      </c>
      <c r="D19" s="130" t="s">
        <v>901</v>
      </c>
      <c r="E19" s="128">
        <v>45670</v>
      </c>
      <c r="F19" s="127" t="s">
        <v>811</v>
      </c>
      <c r="G19" s="127" t="s">
        <v>813</v>
      </c>
      <c r="H19" s="129">
        <v>26279.86</v>
      </c>
      <c r="I19" s="106">
        <v>0.314</v>
      </c>
      <c r="J19" s="126" t="s">
        <v>832</v>
      </c>
    </row>
    <row r="20" spans="1:10" x14ac:dyDescent="0.3">
      <c r="A20" s="126" t="s">
        <v>392</v>
      </c>
      <c r="B20" s="126" t="s">
        <v>4</v>
      </c>
      <c r="C20" s="127" t="s">
        <v>902</v>
      </c>
      <c r="D20" s="130" t="s">
        <v>903</v>
      </c>
      <c r="E20" s="128">
        <v>45671</v>
      </c>
      <c r="F20" s="127" t="s">
        <v>370</v>
      </c>
      <c r="G20" s="127" t="s">
        <v>63</v>
      </c>
      <c r="H20" s="129">
        <v>8006.14</v>
      </c>
      <c r="I20" s="106">
        <v>0.75800000000000001</v>
      </c>
      <c r="J20" s="126" t="s">
        <v>830</v>
      </c>
    </row>
    <row r="21" spans="1:10" x14ac:dyDescent="0.3">
      <c r="A21" s="126" t="s">
        <v>392</v>
      </c>
      <c r="B21" s="126" t="s">
        <v>4</v>
      </c>
      <c r="C21" s="127" t="s">
        <v>904</v>
      </c>
      <c r="D21" s="130" t="s">
        <v>905</v>
      </c>
      <c r="E21" s="128">
        <v>45671</v>
      </c>
      <c r="F21" s="127" t="s">
        <v>370</v>
      </c>
      <c r="G21" s="127" t="s">
        <v>63</v>
      </c>
      <c r="H21" s="129">
        <v>8013.9</v>
      </c>
      <c r="I21" s="106">
        <v>0.75800000000000001</v>
      </c>
      <c r="J21" s="126" t="s">
        <v>830</v>
      </c>
    </row>
    <row r="22" spans="1:10" x14ac:dyDescent="0.3">
      <c r="A22" s="126" t="s">
        <v>392</v>
      </c>
      <c r="B22" s="126" t="s">
        <v>4</v>
      </c>
      <c r="C22" s="127" t="s">
        <v>906</v>
      </c>
      <c r="D22" s="130" t="s">
        <v>907</v>
      </c>
      <c r="E22" s="128">
        <v>45671</v>
      </c>
      <c r="F22" s="127" t="s">
        <v>370</v>
      </c>
      <c r="G22" s="127" t="s">
        <v>63</v>
      </c>
      <c r="H22" s="129">
        <v>8008.72</v>
      </c>
      <c r="I22" s="106">
        <v>0.75800000000000001</v>
      </c>
      <c r="J22" s="126" t="s">
        <v>830</v>
      </c>
    </row>
    <row r="23" spans="1:10" x14ac:dyDescent="0.3">
      <c r="A23" s="126" t="s">
        <v>392</v>
      </c>
      <c r="B23" s="126" t="s">
        <v>4</v>
      </c>
      <c r="C23" s="127" t="s">
        <v>908</v>
      </c>
      <c r="D23" s="127" t="s">
        <v>909</v>
      </c>
      <c r="E23" s="128">
        <v>45671</v>
      </c>
      <c r="F23" s="127" t="s">
        <v>370</v>
      </c>
      <c r="G23" s="127" t="s">
        <v>63</v>
      </c>
      <c r="H23" s="129">
        <v>8013.9</v>
      </c>
      <c r="I23" s="106">
        <v>0.75800000000000001</v>
      </c>
      <c r="J23" s="126" t="s">
        <v>830</v>
      </c>
    </row>
    <row r="24" spans="1:10" x14ac:dyDescent="0.3">
      <c r="A24" s="126" t="s">
        <v>392</v>
      </c>
      <c r="B24" s="126" t="s">
        <v>4</v>
      </c>
      <c r="C24" s="127" t="s">
        <v>910</v>
      </c>
      <c r="D24" s="127" t="s">
        <v>911</v>
      </c>
      <c r="E24" s="128">
        <v>45671</v>
      </c>
      <c r="F24" s="127" t="s">
        <v>370</v>
      </c>
      <c r="G24" s="127" t="s">
        <v>63</v>
      </c>
      <c r="H24" s="129">
        <v>12013.9</v>
      </c>
      <c r="I24" s="106">
        <v>0.81</v>
      </c>
      <c r="J24" s="126" t="s">
        <v>830</v>
      </c>
    </row>
    <row r="25" spans="1:10" x14ac:dyDescent="0.3">
      <c r="A25" s="126" t="s">
        <v>392</v>
      </c>
      <c r="B25" s="126" t="s">
        <v>4</v>
      </c>
      <c r="C25" s="127" t="s">
        <v>912</v>
      </c>
      <c r="D25" s="127" t="s">
        <v>913</v>
      </c>
      <c r="E25" s="128">
        <v>45671</v>
      </c>
      <c r="F25" s="127" t="s">
        <v>370</v>
      </c>
      <c r="G25" s="127" t="s">
        <v>63</v>
      </c>
      <c r="H25" s="129">
        <v>8114.5</v>
      </c>
      <c r="I25" s="106">
        <v>0.58099999999999996</v>
      </c>
      <c r="J25" s="126" t="s">
        <v>830</v>
      </c>
    </row>
    <row r="26" spans="1:10" x14ac:dyDescent="0.3">
      <c r="A26" s="126" t="s">
        <v>392</v>
      </c>
      <c r="B26" s="126" t="s">
        <v>4</v>
      </c>
      <c r="C26" s="127" t="s">
        <v>914</v>
      </c>
      <c r="D26" s="127" t="s">
        <v>915</v>
      </c>
      <c r="E26" s="128">
        <v>45672</v>
      </c>
      <c r="F26" s="127" t="s">
        <v>370</v>
      </c>
      <c r="G26" s="127" t="s">
        <v>63</v>
      </c>
      <c r="H26" s="129">
        <v>8054.06</v>
      </c>
      <c r="I26" s="106">
        <v>0.85099999999999998</v>
      </c>
      <c r="J26" s="126" t="s">
        <v>830</v>
      </c>
    </row>
    <row r="27" spans="1:10" x14ac:dyDescent="0.3">
      <c r="A27" s="126" t="s">
        <v>392</v>
      </c>
      <c r="B27" s="126" t="s">
        <v>4</v>
      </c>
      <c r="C27" s="127" t="s">
        <v>916</v>
      </c>
      <c r="D27" s="127" t="s">
        <v>917</v>
      </c>
      <c r="E27" s="128">
        <v>45672</v>
      </c>
      <c r="F27" s="127" t="s">
        <v>370</v>
      </c>
      <c r="G27" s="127" t="s">
        <v>63</v>
      </c>
      <c r="H27" s="129">
        <v>8026.46</v>
      </c>
      <c r="I27" s="106">
        <v>0.57599999999999996</v>
      </c>
      <c r="J27" s="126" t="s">
        <v>830</v>
      </c>
    </row>
    <row r="28" spans="1:10" x14ac:dyDescent="0.3">
      <c r="A28" s="126" t="s">
        <v>390</v>
      </c>
      <c r="B28" s="126" t="s">
        <v>4</v>
      </c>
      <c r="C28" s="127" t="s">
        <v>918</v>
      </c>
      <c r="D28" s="127" t="s">
        <v>919</v>
      </c>
      <c r="E28" s="128">
        <v>45674</v>
      </c>
      <c r="F28" s="127" t="s">
        <v>371</v>
      </c>
      <c r="G28" s="127" t="s">
        <v>864</v>
      </c>
      <c r="H28" s="129">
        <v>38843.08</v>
      </c>
      <c r="I28" s="106">
        <v>0.20300000000000001</v>
      </c>
      <c r="J28" s="126" t="s">
        <v>833</v>
      </c>
    </row>
    <row r="29" spans="1:10" x14ac:dyDescent="0.3">
      <c r="A29" s="126" t="s">
        <v>390</v>
      </c>
      <c r="B29" s="126" t="s">
        <v>4</v>
      </c>
      <c r="C29" s="127" t="s">
        <v>920</v>
      </c>
      <c r="D29" s="127" t="s">
        <v>921</v>
      </c>
      <c r="E29" s="128">
        <v>45677</v>
      </c>
      <c r="F29" s="127" t="s">
        <v>375</v>
      </c>
      <c r="G29" s="127" t="s">
        <v>62</v>
      </c>
      <c r="H29" s="129">
        <v>87814.69</v>
      </c>
      <c r="I29" s="106">
        <v>0.29299999999999998</v>
      </c>
      <c r="J29" s="126" t="s">
        <v>831</v>
      </c>
    </row>
    <row r="30" spans="1:10" x14ac:dyDescent="0.3">
      <c r="A30" s="126" t="s">
        <v>392</v>
      </c>
      <c r="B30" s="126" t="s">
        <v>4</v>
      </c>
      <c r="C30" s="127" t="s">
        <v>922</v>
      </c>
      <c r="D30" s="127" t="s">
        <v>923</v>
      </c>
      <c r="E30" s="128">
        <v>45677</v>
      </c>
      <c r="F30" s="127" t="s">
        <v>844</v>
      </c>
      <c r="G30" s="127" t="s">
        <v>863</v>
      </c>
      <c r="H30" s="129">
        <v>43000</v>
      </c>
      <c r="I30" s="107">
        <v>0.43</v>
      </c>
      <c r="J30" s="126" t="s">
        <v>831</v>
      </c>
    </row>
    <row r="31" spans="1:10" x14ac:dyDescent="0.3">
      <c r="A31" s="126" t="s">
        <v>392</v>
      </c>
      <c r="B31" s="126" t="s">
        <v>4</v>
      </c>
      <c r="C31" s="127" t="s">
        <v>924</v>
      </c>
      <c r="D31" s="127" t="s">
        <v>925</v>
      </c>
      <c r="E31" s="128">
        <v>45677</v>
      </c>
      <c r="F31" s="127" t="s">
        <v>374</v>
      </c>
      <c r="G31" s="127" t="s">
        <v>17</v>
      </c>
      <c r="H31" s="129">
        <v>4076.46</v>
      </c>
      <c r="I31" s="106">
        <v>0.63200000000000001</v>
      </c>
      <c r="J31" s="126" t="s">
        <v>848</v>
      </c>
    </row>
    <row r="32" spans="1:10" x14ac:dyDescent="0.3">
      <c r="A32" s="126" t="s">
        <v>392</v>
      </c>
      <c r="B32" s="126" t="s">
        <v>4</v>
      </c>
      <c r="C32" s="127" t="s">
        <v>926</v>
      </c>
      <c r="D32" s="127" t="s">
        <v>927</v>
      </c>
      <c r="E32" s="128">
        <v>45677</v>
      </c>
      <c r="F32" s="127" t="s">
        <v>370</v>
      </c>
      <c r="G32" s="127" t="s">
        <v>63</v>
      </c>
      <c r="H32" s="129">
        <v>4738.54</v>
      </c>
      <c r="I32" s="106">
        <v>0.62</v>
      </c>
      <c r="J32" s="126" t="s">
        <v>830</v>
      </c>
    </row>
    <row r="33" spans="1:10" x14ac:dyDescent="0.3">
      <c r="A33" s="126" t="s">
        <v>390</v>
      </c>
      <c r="B33" s="126" t="s">
        <v>4</v>
      </c>
      <c r="C33" s="127" t="s">
        <v>928</v>
      </c>
      <c r="D33" s="127" t="s">
        <v>929</v>
      </c>
      <c r="E33" s="128">
        <v>45678</v>
      </c>
      <c r="F33" s="127" t="s">
        <v>375</v>
      </c>
      <c r="G33" s="127" t="s">
        <v>62</v>
      </c>
      <c r="H33" s="129">
        <v>73564.69</v>
      </c>
      <c r="I33" s="106">
        <v>0.59499999999999997</v>
      </c>
      <c r="J33" s="126" t="s">
        <v>831</v>
      </c>
    </row>
    <row r="34" spans="1:10" x14ac:dyDescent="0.3">
      <c r="A34" s="126" t="s">
        <v>392</v>
      </c>
      <c r="B34" s="126" t="s">
        <v>4</v>
      </c>
      <c r="C34" s="127" t="s">
        <v>930</v>
      </c>
      <c r="D34" s="127" t="s">
        <v>931</v>
      </c>
      <c r="E34" s="128">
        <v>45679</v>
      </c>
      <c r="F34" s="127" t="s">
        <v>844</v>
      </c>
      <c r="G34" s="127" t="s">
        <v>863</v>
      </c>
      <c r="H34" s="129">
        <v>7450</v>
      </c>
      <c r="I34" s="106">
        <v>0.29799999999999999</v>
      </c>
      <c r="J34" s="126" t="s">
        <v>831</v>
      </c>
    </row>
    <row r="35" spans="1:10" x14ac:dyDescent="0.3">
      <c r="A35" s="126" t="s">
        <v>390</v>
      </c>
      <c r="B35" s="126" t="s">
        <v>4</v>
      </c>
      <c r="C35" s="127" t="s">
        <v>932</v>
      </c>
      <c r="D35" s="127" t="s">
        <v>933</v>
      </c>
      <c r="E35" s="128">
        <v>45679</v>
      </c>
      <c r="F35" s="127" t="s">
        <v>372</v>
      </c>
      <c r="G35" s="127" t="s">
        <v>10</v>
      </c>
      <c r="H35" s="129">
        <v>101167.89</v>
      </c>
      <c r="I35" s="106">
        <v>0.36099999999999999</v>
      </c>
      <c r="J35" s="126" t="s">
        <v>833</v>
      </c>
    </row>
    <row r="36" spans="1:10" x14ac:dyDescent="0.3">
      <c r="A36" s="126" t="s">
        <v>392</v>
      </c>
      <c r="B36" s="126" t="s">
        <v>4</v>
      </c>
      <c r="C36" s="127" t="s">
        <v>934</v>
      </c>
      <c r="D36" s="127" t="s">
        <v>935</v>
      </c>
      <c r="E36" s="128">
        <v>45679</v>
      </c>
      <c r="F36" s="127" t="s">
        <v>844</v>
      </c>
      <c r="G36" s="127" t="s">
        <v>863</v>
      </c>
      <c r="H36" s="129">
        <v>20000</v>
      </c>
      <c r="I36" s="106">
        <v>0.82299999999999995</v>
      </c>
      <c r="J36" s="126" t="s">
        <v>831</v>
      </c>
    </row>
    <row r="37" spans="1:10" x14ac:dyDescent="0.3">
      <c r="A37" s="126" t="s">
        <v>390</v>
      </c>
      <c r="B37" s="126" t="s">
        <v>4</v>
      </c>
      <c r="C37" s="127" t="s">
        <v>936</v>
      </c>
      <c r="D37" s="127" t="s">
        <v>937</v>
      </c>
      <c r="E37" s="128">
        <v>45679</v>
      </c>
      <c r="F37" s="127" t="s">
        <v>371</v>
      </c>
      <c r="G37" s="127" t="s">
        <v>864</v>
      </c>
      <c r="H37" s="129">
        <v>15830.09</v>
      </c>
      <c r="I37" s="106">
        <v>0.47099999999999997</v>
      </c>
      <c r="J37" s="126" t="s">
        <v>832</v>
      </c>
    </row>
    <row r="38" spans="1:10" x14ac:dyDescent="0.3">
      <c r="A38" s="126" t="s">
        <v>390</v>
      </c>
      <c r="B38" s="126" t="s">
        <v>4</v>
      </c>
      <c r="C38" s="127" t="s">
        <v>938</v>
      </c>
      <c r="D38" s="127" t="s">
        <v>939</v>
      </c>
      <c r="E38" s="128">
        <v>45679</v>
      </c>
      <c r="F38" s="127" t="s">
        <v>371</v>
      </c>
      <c r="G38" s="127" t="s">
        <v>864</v>
      </c>
      <c r="H38" s="129">
        <v>15129.35</v>
      </c>
      <c r="I38" s="106">
        <v>0.48499999999999999</v>
      </c>
      <c r="J38" s="126" t="s">
        <v>832</v>
      </c>
    </row>
    <row r="39" spans="1:10" x14ac:dyDescent="0.3">
      <c r="A39" s="126" t="s">
        <v>390</v>
      </c>
      <c r="B39" s="126" t="s">
        <v>4</v>
      </c>
      <c r="C39" s="127" t="s">
        <v>940</v>
      </c>
      <c r="D39" s="130" t="s">
        <v>941</v>
      </c>
      <c r="E39" s="128">
        <v>45679</v>
      </c>
      <c r="F39" s="127" t="s">
        <v>372</v>
      </c>
      <c r="G39" s="127" t="s">
        <v>10</v>
      </c>
      <c r="H39" s="129">
        <v>3540</v>
      </c>
      <c r="I39" s="106">
        <v>0.25900000000000001</v>
      </c>
      <c r="J39" s="126" t="s">
        <v>833</v>
      </c>
    </row>
    <row r="40" spans="1:10" x14ac:dyDescent="0.3">
      <c r="A40" s="126" t="s">
        <v>390</v>
      </c>
      <c r="B40" s="126" t="s">
        <v>4</v>
      </c>
      <c r="C40" s="127" t="s">
        <v>942</v>
      </c>
      <c r="D40" s="130" t="s">
        <v>850</v>
      </c>
      <c r="E40" s="128">
        <v>45681</v>
      </c>
      <c r="F40" s="127" t="s">
        <v>371</v>
      </c>
      <c r="G40" s="127" t="s">
        <v>864</v>
      </c>
      <c r="H40" s="129">
        <v>53262</v>
      </c>
      <c r="I40" s="106">
        <v>0.23599999999999999</v>
      </c>
      <c r="J40" s="126" t="s">
        <v>833</v>
      </c>
    </row>
    <row r="41" spans="1:10" x14ac:dyDescent="0.3">
      <c r="A41" s="126" t="s">
        <v>392</v>
      </c>
      <c r="B41" s="126" t="s">
        <v>4</v>
      </c>
      <c r="C41" s="127" t="s">
        <v>943</v>
      </c>
      <c r="D41" s="130" t="s">
        <v>944</v>
      </c>
      <c r="E41" s="128">
        <v>45681</v>
      </c>
      <c r="F41" s="127" t="s">
        <v>372</v>
      </c>
      <c r="G41" s="127" t="s">
        <v>10</v>
      </c>
      <c r="H41" s="129">
        <v>43208</v>
      </c>
      <c r="I41" s="106">
        <v>0.38100000000000001</v>
      </c>
      <c r="J41" s="126" t="s">
        <v>848</v>
      </c>
    </row>
    <row r="42" spans="1:10" x14ac:dyDescent="0.3">
      <c r="A42" s="126" t="s">
        <v>392</v>
      </c>
      <c r="B42" s="126" t="s">
        <v>4</v>
      </c>
      <c r="C42" s="127" t="s">
        <v>945</v>
      </c>
      <c r="D42" s="127" t="s">
        <v>946</v>
      </c>
      <c r="E42" s="128">
        <v>45684</v>
      </c>
      <c r="F42" s="127" t="s">
        <v>372</v>
      </c>
      <c r="G42" s="127" t="s">
        <v>10</v>
      </c>
      <c r="H42" s="129">
        <v>23630.09</v>
      </c>
      <c r="I42" s="106">
        <v>0.40799999999999997</v>
      </c>
      <c r="J42" s="126" t="s">
        <v>848</v>
      </c>
    </row>
    <row r="43" spans="1:10" x14ac:dyDescent="0.3">
      <c r="A43" s="126" t="s">
        <v>390</v>
      </c>
      <c r="B43" s="126" t="s">
        <v>4</v>
      </c>
      <c r="C43" s="127" t="s">
        <v>947</v>
      </c>
      <c r="D43" s="130" t="s">
        <v>948</v>
      </c>
      <c r="E43" s="128">
        <v>45684</v>
      </c>
      <c r="F43" s="127" t="s">
        <v>372</v>
      </c>
      <c r="G43" s="127" t="s">
        <v>10</v>
      </c>
      <c r="H43" s="129">
        <v>29438.47</v>
      </c>
      <c r="I43" s="106">
        <v>0.21099999999999999</v>
      </c>
      <c r="J43" s="126" t="s">
        <v>833</v>
      </c>
    </row>
    <row r="44" spans="1:10" x14ac:dyDescent="0.3">
      <c r="A44" s="126" t="s">
        <v>392</v>
      </c>
      <c r="B44" s="126" t="s">
        <v>4</v>
      </c>
      <c r="C44" s="127" t="s">
        <v>949</v>
      </c>
      <c r="D44" s="127" t="s">
        <v>950</v>
      </c>
      <c r="E44" s="128">
        <v>45685</v>
      </c>
      <c r="F44" s="127" t="s">
        <v>370</v>
      </c>
      <c r="G44" s="127" t="s">
        <v>63</v>
      </c>
      <c r="H44" s="129">
        <v>14131.96</v>
      </c>
      <c r="I44" s="106">
        <v>0.61099999999999999</v>
      </c>
      <c r="J44" s="126" t="s">
        <v>830</v>
      </c>
    </row>
    <row r="45" spans="1:10" x14ac:dyDescent="0.3">
      <c r="A45" s="126" t="s">
        <v>392</v>
      </c>
      <c r="B45" s="126" t="s">
        <v>4</v>
      </c>
      <c r="C45" s="127" t="s">
        <v>951</v>
      </c>
      <c r="D45" s="127" t="s">
        <v>952</v>
      </c>
      <c r="E45" s="128">
        <v>45685</v>
      </c>
      <c r="F45" s="127" t="s">
        <v>370</v>
      </c>
      <c r="G45" s="127" t="s">
        <v>63</v>
      </c>
      <c r="H45" s="129">
        <v>8084.16</v>
      </c>
      <c r="I45" s="106">
        <v>0.67800000000000005</v>
      </c>
      <c r="J45" s="126" t="s">
        <v>830</v>
      </c>
    </row>
    <row r="46" spans="1:10" x14ac:dyDescent="0.3">
      <c r="A46" s="126" t="s">
        <v>392</v>
      </c>
      <c r="B46" s="126" t="s">
        <v>4</v>
      </c>
      <c r="C46" s="127" t="s">
        <v>953</v>
      </c>
      <c r="D46" s="127" t="s">
        <v>954</v>
      </c>
      <c r="E46" s="128">
        <v>45685</v>
      </c>
      <c r="F46" s="127" t="s">
        <v>370</v>
      </c>
      <c r="G46" s="127" t="s">
        <v>63</v>
      </c>
      <c r="H46" s="129">
        <v>8058.6</v>
      </c>
      <c r="I46" s="106">
        <v>0.67700000000000005</v>
      </c>
      <c r="J46" s="126" t="s">
        <v>830</v>
      </c>
    </row>
    <row r="47" spans="1:10" x14ac:dyDescent="0.3">
      <c r="A47" s="126" t="s">
        <v>392</v>
      </c>
      <c r="B47" s="126" t="s">
        <v>4</v>
      </c>
      <c r="C47" s="127" t="s">
        <v>955</v>
      </c>
      <c r="D47" s="127" t="s">
        <v>956</v>
      </c>
      <c r="E47" s="128">
        <v>45685</v>
      </c>
      <c r="F47" s="127" t="s">
        <v>370</v>
      </c>
      <c r="G47" s="127" t="s">
        <v>63</v>
      </c>
      <c r="H47" s="129">
        <v>12680.77</v>
      </c>
      <c r="I47" s="106">
        <v>0.70799999999999996</v>
      </c>
      <c r="J47" s="126" t="s">
        <v>830</v>
      </c>
    </row>
    <row r="48" spans="1:10" x14ac:dyDescent="0.3">
      <c r="A48" s="126" t="s">
        <v>392</v>
      </c>
      <c r="B48" s="126" t="s">
        <v>4</v>
      </c>
      <c r="C48" s="127" t="s">
        <v>957</v>
      </c>
      <c r="D48" s="130" t="s">
        <v>958</v>
      </c>
      <c r="E48" s="128">
        <v>45685</v>
      </c>
      <c r="F48" s="127" t="s">
        <v>370</v>
      </c>
      <c r="G48" s="127" t="s">
        <v>63</v>
      </c>
      <c r="H48" s="129">
        <v>14131.96</v>
      </c>
      <c r="I48" s="106">
        <v>0.61099999999999999</v>
      </c>
      <c r="J48" s="126" t="s">
        <v>830</v>
      </c>
    </row>
    <row r="49" spans="1:10" x14ac:dyDescent="0.3">
      <c r="A49" s="126" t="s">
        <v>390</v>
      </c>
      <c r="B49" s="126" t="s">
        <v>4</v>
      </c>
      <c r="C49" s="127" t="s">
        <v>959</v>
      </c>
      <c r="D49" s="127" t="s">
        <v>960</v>
      </c>
      <c r="E49" s="128">
        <v>45685</v>
      </c>
      <c r="F49" s="127" t="s">
        <v>370</v>
      </c>
      <c r="G49" s="127" t="s">
        <v>63</v>
      </c>
      <c r="H49" s="129">
        <v>40097.5</v>
      </c>
      <c r="I49" s="106">
        <v>0.45700000000000002</v>
      </c>
      <c r="J49" s="126" t="s">
        <v>830</v>
      </c>
    </row>
    <row r="50" spans="1:10" x14ac:dyDescent="0.3">
      <c r="A50" s="126" t="s">
        <v>390</v>
      </c>
      <c r="B50" s="126" t="s">
        <v>4</v>
      </c>
      <c r="C50" s="127" t="s">
        <v>961</v>
      </c>
      <c r="D50" s="127" t="s">
        <v>962</v>
      </c>
      <c r="E50" s="128">
        <v>45685</v>
      </c>
      <c r="F50" s="127" t="s">
        <v>375</v>
      </c>
      <c r="G50" s="127" t="s">
        <v>62</v>
      </c>
      <c r="H50" s="129">
        <v>50206.47</v>
      </c>
      <c r="I50" s="106">
        <v>0.27200000000000002</v>
      </c>
      <c r="J50" s="126" t="s">
        <v>831</v>
      </c>
    </row>
    <row r="51" spans="1:10" x14ac:dyDescent="0.3">
      <c r="A51" s="126" t="s">
        <v>392</v>
      </c>
      <c r="B51" s="126" t="s">
        <v>4</v>
      </c>
      <c r="C51" s="127" t="s">
        <v>963</v>
      </c>
      <c r="D51" s="130" t="s">
        <v>964</v>
      </c>
      <c r="E51" s="128">
        <v>45685</v>
      </c>
      <c r="F51" s="127" t="s">
        <v>370</v>
      </c>
      <c r="G51" s="127" t="s">
        <v>63</v>
      </c>
      <c r="H51" s="129">
        <v>6928.26</v>
      </c>
      <c r="I51" s="106">
        <v>0.53800000000000003</v>
      </c>
      <c r="J51" s="126" t="s">
        <v>830</v>
      </c>
    </row>
    <row r="52" spans="1:10" x14ac:dyDescent="0.3">
      <c r="A52" s="126" t="s">
        <v>392</v>
      </c>
      <c r="B52" s="126" t="s">
        <v>4</v>
      </c>
      <c r="C52" s="127" t="s">
        <v>965</v>
      </c>
      <c r="D52" s="130" t="s">
        <v>966</v>
      </c>
      <c r="E52" s="128">
        <v>45685</v>
      </c>
      <c r="F52" s="127" t="s">
        <v>370</v>
      </c>
      <c r="G52" s="127" t="s">
        <v>63</v>
      </c>
      <c r="H52" s="129">
        <v>14661.91</v>
      </c>
      <c r="I52" s="106">
        <v>0.47499999999999998</v>
      </c>
      <c r="J52" s="126" t="s">
        <v>830</v>
      </c>
    </row>
    <row r="53" spans="1:10" x14ac:dyDescent="0.3">
      <c r="A53" s="126" t="s">
        <v>392</v>
      </c>
      <c r="B53" s="126" t="s">
        <v>4</v>
      </c>
      <c r="C53" s="127" t="s">
        <v>967</v>
      </c>
      <c r="D53" s="127" t="s">
        <v>968</v>
      </c>
      <c r="E53" s="128">
        <v>45685</v>
      </c>
      <c r="F53" s="127" t="s">
        <v>370</v>
      </c>
      <c r="G53" s="127" t="s">
        <v>63</v>
      </c>
      <c r="H53" s="129">
        <v>3073.13</v>
      </c>
      <c r="I53" s="106">
        <v>0.61</v>
      </c>
      <c r="J53" s="126" t="s">
        <v>830</v>
      </c>
    </row>
    <row r="54" spans="1:10" x14ac:dyDescent="0.3">
      <c r="A54" s="126" t="s">
        <v>390</v>
      </c>
      <c r="B54" s="126" t="s">
        <v>4</v>
      </c>
      <c r="C54" s="127" t="s">
        <v>969</v>
      </c>
      <c r="D54" s="130" t="s">
        <v>970</v>
      </c>
      <c r="E54" s="128">
        <v>45685</v>
      </c>
      <c r="F54" s="127" t="s">
        <v>375</v>
      </c>
      <c r="G54" s="127" t="s">
        <v>62</v>
      </c>
      <c r="H54" s="129">
        <v>86910</v>
      </c>
      <c r="I54" s="107">
        <v>0.37</v>
      </c>
      <c r="J54" s="126" t="s">
        <v>831</v>
      </c>
    </row>
    <row r="55" spans="1:10" x14ac:dyDescent="0.3">
      <c r="A55" s="126" t="s">
        <v>390</v>
      </c>
      <c r="B55" s="126" t="s">
        <v>4</v>
      </c>
      <c r="C55" s="127" t="s">
        <v>971</v>
      </c>
      <c r="D55" s="127" t="s">
        <v>972</v>
      </c>
      <c r="E55" s="128">
        <v>45685</v>
      </c>
      <c r="F55" s="127" t="s">
        <v>375</v>
      </c>
      <c r="G55" s="127" t="s">
        <v>62</v>
      </c>
      <c r="H55" s="129">
        <v>1627.5</v>
      </c>
      <c r="I55" s="106">
        <v>0.34289999999999998</v>
      </c>
      <c r="J55" s="126" t="s">
        <v>831</v>
      </c>
    </row>
    <row r="56" spans="1:10" x14ac:dyDescent="0.3">
      <c r="A56" s="126" t="s">
        <v>392</v>
      </c>
      <c r="B56" s="126" t="s">
        <v>4</v>
      </c>
      <c r="C56" s="127" t="s">
        <v>973</v>
      </c>
      <c r="D56" s="127" t="s">
        <v>974</v>
      </c>
      <c r="E56" s="128">
        <v>45685</v>
      </c>
      <c r="F56" s="127" t="s">
        <v>370</v>
      </c>
      <c r="G56" s="127" t="s">
        <v>63</v>
      </c>
      <c r="H56" s="129">
        <v>15815.59</v>
      </c>
      <c r="I56" s="106">
        <v>0.76600000000000001</v>
      </c>
      <c r="J56" s="126" t="s">
        <v>830</v>
      </c>
    </row>
    <row r="57" spans="1:10" x14ac:dyDescent="0.3">
      <c r="A57" s="126" t="s">
        <v>390</v>
      </c>
      <c r="B57" s="126" t="s">
        <v>4</v>
      </c>
      <c r="C57" s="127" t="s">
        <v>975</v>
      </c>
      <c r="D57" s="130" t="s">
        <v>976</v>
      </c>
      <c r="E57" s="128">
        <v>45687</v>
      </c>
      <c r="F57" s="127" t="s">
        <v>371</v>
      </c>
      <c r="G57" s="127" t="s">
        <v>864</v>
      </c>
      <c r="H57" s="129">
        <v>14016.38</v>
      </c>
      <c r="I57" s="106">
        <v>0.50800000000000001</v>
      </c>
      <c r="J57" s="126" t="s">
        <v>832</v>
      </c>
    </row>
    <row r="58" spans="1:10" x14ac:dyDescent="0.3">
      <c r="A58" s="126" t="s">
        <v>390</v>
      </c>
      <c r="B58" s="126" t="s">
        <v>4</v>
      </c>
      <c r="C58" s="127" t="s">
        <v>977</v>
      </c>
      <c r="D58" s="130" t="s">
        <v>978</v>
      </c>
      <c r="E58" s="128">
        <v>45687</v>
      </c>
      <c r="F58" s="127" t="s">
        <v>371</v>
      </c>
      <c r="G58" s="127" t="s">
        <v>864</v>
      </c>
      <c r="H58" s="129">
        <v>34614.5</v>
      </c>
      <c r="I58" s="106">
        <v>0.27200000000000002</v>
      </c>
      <c r="J58" s="126" t="s">
        <v>832</v>
      </c>
    </row>
    <row r="59" spans="1:10" x14ac:dyDescent="0.3">
      <c r="A59" s="126" t="s">
        <v>392</v>
      </c>
      <c r="B59" s="126" t="s">
        <v>4</v>
      </c>
      <c r="C59" s="127" t="s">
        <v>979</v>
      </c>
      <c r="D59" s="127" t="s">
        <v>980</v>
      </c>
      <c r="E59" s="128">
        <v>45687</v>
      </c>
      <c r="F59" s="127" t="s">
        <v>842</v>
      </c>
      <c r="G59" s="127" t="s">
        <v>843</v>
      </c>
      <c r="H59" s="129">
        <v>22000</v>
      </c>
      <c r="I59" s="106">
        <v>0.437</v>
      </c>
      <c r="J59" s="126" t="s">
        <v>1018</v>
      </c>
    </row>
    <row r="60" spans="1:10" x14ac:dyDescent="0.3">
      <c r="A60" s="126" t="s">
        <v>392</v>
      </c>
      <c r="B60" s="126" t="s">
        <v>4</v>
      </c>
      <c r="C60" s="127" t="s">
        <v>981</v>
      </c>
      <c r="D60" s="127" t="s">
        <v>982</v>
      </c>
      <c r="E60" s="128">
        <v>45687</v>
      </c>
      <c r="F60" s="127" t="s">
        <v>844</v>
      </c>
      <c r="G60" s="127" t="s">
        <v>863</v>
      </c>
      <c r="H60" s="129">
        <v>27288.7</v>
      </c>
      <c r="I60" s="106">
        <v>0.35899999999999999</v>
      </c>
      <c r="J60" s="126" t="s">
        <v>831</v>
      </c>
    </row>
    <row r="61" spans="1:10" x14ac:dyDescent="0.3">
      <c r="A61" s="126" t="s">
        <v>392</v>
      </c>
      <c r="B61" s="126" t="s">
        <v>4</v>
      </c>
      <c r="C61" s="127" t="s">
        <v>983</v>
      </c>
      <c r="D61" s="127" t="s">
        <v>984</v>
      </c>
      <c r="E61" s="128">
        <v>45688</v>
      </c>
      <c r="F61" s="127" t="s">
        <v>619</v>
      </c>
      <c r="G61" s="127" t="s">
        <v>16</v>
      </c>
      <c r="H61" s="129">
        <v>7483.43</v>
      </c>
      <c r="I61" s="106">
        <v>0.495</v>
      </c>
      <c r="J61" s="126" t="s">
        <v>831</v>
      </c>
    </row>
    <row r="62" spans="1:10" x14ac:dyDescent="0.3">
      <c r="A62" s="126" t="s">
        <v>390</v>
      </c>
      <c r="B62" s="126" t="s">
        <v>4</v>
      </c>
      <c r="C62" s="127" t="s">
        <v>985</v>
      </c>
      <c r="D62" s="127" t="s">
        <v>860</v>
      </c>
      <c r="E62" s="128">
        <v>45688</v>
      </c>
      <c r="F62" s="127" t="s">
        <v>619</v>
      </c>
      <c r="G62" s="127" t="s">
        <v>16</v>
      </c>
      <c r="H62" s="129">
        <v>2170</v>
      </c>
      <c r="I62" s="106">
        <v>0.311</v>
      </c>
      <c r="J62" s="126" t="s">
        <v>831</v>
      </c>
    </row>
    <row r="63" spans="1:10" x14ac:dyDescent="0.3">
      <c r="A63" s="126" t="s">
        <v>392</v>
      </c>
      <c r="B63" s="126" t="s">
        <v>4</v>
      </c>
      <c r="C63" s="127" t="s">
        <v>986</v>
      </c>
      <c r="D63" s="127" t="s">
        <v>987</v>
      </c>
      <c r="E63" s="128">
        <v>45688</v>
      </c>
      <c r="F63" s="127" t="s">
        <v>370</v>
      </c>
      <c r="G63" s="127" t="s">
        <v>63</v>
      </c>
      <c r="H63" s="129">
        <v>14110.06</v>
      </c>
      <c r="I63" s="106">
        <v>0.61</v>
      </c>
      <c r="J63" s="126" t="s">
        <v>830</v>
      </c>
    </row>
    <row r="64" spans="1:10" x14ac:dyDescent="0.3">
      <c r="A64" s="126" t="s">
        <v>392</v>
      </c>
      <c r="B64" s="126" t="s">
        <v>4</v>
      </c>
      <c r="C64" s="127" t="s">
        <v>988</v>
      </c>
      <c r="D64" s="127" t="s">
        <v>989</v>
      </c>
      <c r="E64" s="128">
        <v>45688</v>
      </c>
      <c r="F64" s="127" t="s">
        <v>370</v>
      </c>
      <c r="G64" s="127" t="s">
        <v>63</v>
      </c>
      <c r="H64" s="129">
        <v>14710.06</v>
      </c>
      <c r="I64" s="106">
        <v>0.626</v>
      </c>
      <c r="J64" s="126" t="s">
        <v>830</v>
      </c>
    </row>
    <row r="65" spans="1:11" x14ac:dyDescent="0.3">
      <c r="A65" s="126" t="s">
        <v>390</v>
      </c>
      <c r="B65" s="126" t="s">
        <v>4</v>
      </c>
      <c r="C65" s="127" t="s">
        <v>990</v>
      </c>
      <c r="D65" s="127" t="s">
        <v>991</v>
      </c>
      <c r="E65" s="128">
        <v>45688</v>
      </c>
      <c r="F65" s="127" t="s">
        <v>854</v>
      </c>
      <c r="G65" s="127" t="s">
        <v>855</v>
      </c>
      <c r="H65" s="129">
        <v>29447.57</v>
      </c>
      <c r="I65" s="106">
        <v>0.34200000000000003</v>
      </c>
      <c r="J65" s="126" t="s">
        <v>831</v>
      </c>
    </row>
    <row r="66" spans="1:11" x14ac:dyDescent="0.3">
      <c r="A66" s="126" t="s">
        <v>392</v>
      </c>
      <c r="B66" s="126" t="s">
        <v>4</v>
      </c>
      <c r="C66" s="127" t="s">
        <v>992</v>
      </c>
      <c r="D66" s="127" t="s">
        <v>993</v>
      </c>
      <c r="E66" s="128">
        <v>45688</v>
      </c>
      <c r="F66" s="127" t="s">
        <v>844</v>
      </c>
      <c r="G66" s="127" t="s">
        <v>863</v>
      </c>
      <c r="H66" s="129">
        <v>21730.959999999999</v>
      </c>
      <c r="I66" s="106">
        <v>0.248</v>
      </c>
      <c r="J66" s="126" t="s">
        <v>831</v>
      </c>
    </row>
    <row r="67" spans="1:11" x14ac:dyDescent="0.3">
      <c r="A67" s="126" t="s">
        <v>392</v>
      </c>
      <c r="B67" s="126" t="s">
        <v>4</v>
      </c>
      <c r="C67" s="127" t="s">
        <v>994</v>
      </c>
      <c r="D67" s="127" t="s">
        <v>995</v>
      </c>
      <c r="E67" s="128">
        <v>45688</v>
      </c>
      <c r="F67" s="127" t="s">
        <v>844</v>
      </c>
      <c r="G67" s="127" t="s">
        <v>863</v>
      </c>
      <c r="H67" s="129">
        <v>17400</v>
      </c>
      <c r="I67" s="107">
        <v>0.46</v>
      </c>
      <c r="J67" s="126" t="s">
        <v>831</v>
      </c>
    </row>
    <row r="68" spans="1:11" x14ac:dyDescent="0.3">
      <c r="A68" s="126" t="s">
        <v>390</v>
      </c>
      <c r="B68" s="126" t="s">
        <v>4</v>
      </c>
      <c r="C68" s="127" t="s">
        <v>996</v>
      </c>
      <c r="D68" s="127" t="s">
        <v>997</v>
      </c>
      <c r="E68" s="128">
        <v>45688</v>
      </c>
      <c r="F68" s="127" t="s">
        <v>375</v>
      </c>
      <c r="G68" s="127" t="s">
        <v>62</v>
      </c>
      <c r="H68" s="129">
        <v>45120.39</v>
      </c>
      <c r="I68" s="106">
        <v>0.26300000000000001</v>
      </c>
      <c r="J68" s="126" t="s">
        <v>831</v>
      </c>
    </row>
    <row r="69" spans="1:11" x14ac:dyDescent="0.3">
      <c r="A69" s="126" t="s">
        <v>390</v>
      </c>
      <c r="B69" s="126" t="s">
        <v>4</v>
      </c>
      <c r="C69" s="127" t="s">
        <v>998</v>
      </c>
      <c r="D69" s="127" t="s">
        <v>999</v>
      </c>
      <c r="E69" s="128">
        <v>45688</v>
      </c>
      <c r="F69" s="127" t="s">
        <v>375</v>
      </c>
      <c r="G69" s="127" t="s">
        <v>62</v>
      </c>
      <c r="H69" s="129">
        <v>98665</v>
      </c>
      <c r="I69" s="106">
        <v>0.34899999999999998</v>
      </c>
      <c r="J69" s="126" t="s">
        <v>831</v>
      </c>
    </row>
    <row r="70" spans="1:11" x14ac:dyDescent="0.3">
      <c r="A70" s="126" t="s">
        <v>390</v>
      </c>
      <c r="B70" s="126" t="s">
        <v>4</v>
      </c>
      <c r="C70" s="126" t="s">
        <v>1000</v>
      </c>
      <c r="D70" s="126" t="s">
        <v>901</v>
      </c>
      <c r="E70" s="131">
        <v>45670</v>
      </c>
      <c r="F70" s="126" t="s">
        <v>811</v>
      </c>
      <c r="G70" s="127" t="s">
        <v>813</v>
      </c>
      <c r="H70" s="132">
        <v>31460.280705000001</v>
      </c>
      <c r="I70" s="106">
        <v>0.314</v>
      </c>
      <c r="J70" s="126" t="s">
        <v>832</v>
      </c>
    </row>
    <row r="71" spans="1:11" x14ac:dyDescent="0.3">
      <c r="A71" s="126" t="s">
        <v>392</v>
      </c>
      <c r="B71" s="126" t="s">
        <v>4</v>
      </c>
      <c r="C71" s="126" t="s">
        <v>1001</v>
      </c>
      <c r="D71" s="126" t="s">
        <v>1002</v>
      </c>
      <c r="E71" s="131">
        <v>45680</v>
      </c>
      <c r="F71" s="126" t="s">
        <v>844</v>
      </c>
      <c r="G71" s="127" t="s">
        <v>863</v>
      </c>
      <c r="H71" s="132">
        <v>18116.4375</v>
      </c>
      <c r="I71" s="107">
        <v>0.27</v>
      </c>
      <c r="J71" s="126" t="s">
        <v>831</v>
      </c>
    </row>
    <row r="72" spans="1:11" x14ac:dyDescent="0.3">
      <c r="A72" s="126" t="s">
        <v>392</v>
      </c>
      <c r="B72" s="126" t="s">
        <v>4</v>
      </c>
      <c r="C72" s="126" t="s">
        <v>1003</v>
      </c>
      <c r="D72" s="126" t="s">
        <v>1004</v>
      </c>
      <c r="E72" s="131">
        <v>45680</v>
      </c>
      <c r="F72" s="126" t="s">
        <v>844</v>
      </c>
      <c r="G72" s="127" t="s">
        <v>863</v>
      </c>
      <c r="H72" s="132">
        <v>140301.69999999998</v>
      </c>
      <c r="I72" s="106">
        <v>0.17499999999999999</v>
      </c>
      <c r="J72" s="126" t="s">
        <v>831</v>
      </c>
    </row>
    <row r="73" spans="1:11" x14ac:dyDescent="0.3">
      <c r="A73" s="126" t="s">
        <v>390</v>
      </c>
      <c r="B73" s="126" t="s">
        <v>4</v>
      </c>
      <c r="C73" s="126" t="s">
        <v>1005</v>
      </c>
      <c r="D73" s="126" t="s">
        <v>1006</v>
      </c>
      <c r="E73" s="131">
        <v>45681</v>
      </c>
      <c r="F73" s="126" t="s">
        <v>1007</v>
      </c>
      <c r="G73" s="127" t="s">
        <v>865</v>
      </c>
      <c r="H73" s="132">
        <v>83820.573000000004</v>
      </c>
      <c r="I73" s="106">
        <v>0.34599999999999997</v>
      </c>
      <c r="J73" s="126" t="s">
        <v>831</v>
      </c>
      <c r="K73" s="44" t="s">
        <v>1542</v>
      </c>
    </row>
    <row r="74" spans="1:11" x14ac:dyDescent="0.3">
      <c r="A74" s="126" t="s">
        <v>390</v>
      </c>
      <c r="B74" s="126" t="s">
        <v>4</v>
      </c>
      <c r="C74" s="126" t="s">
        <v>1008</v>
      </c>
      <c r="D74" s="126" t="s">
        <v>1009</v>
      </c>
      <c r="E74" s="131">
        <v>45681</v>
      </c>
      <c r="F74" s="127" t="s">
        <v>372</v>
      </c>
      <c r="G74" s="127" t="s">
        <v>10</v>
      </c>
      <c r="H74" s="132">
        <v>114208.08</v>
      </c>
      <c r="I74" s="106">
        <v>0.27100000000000002</v>
      </c>
      <c r="J74" s="126" t="s">
        <v>833</v>
      </c>
    </row>
    <row r="75" spans="1:11" x14ac:dyDescent="0.3">
      <c r="A75" s="126" t="s">
        <v>392</v>
      </c>
      <c r="B75" s="126" t="s">
        <v>4</v>
      </c>
      <c r="C75" s="126" t="s">
        <v>1010</v>
      </c>
      <c r="D75" s="126" t="s">
        <v>1011</v>
      </c>
      <c r="E75" s="131">
        <v>45687</v>
      </c>
      <c r="F75" s="126" t="s">
        <v>844</v>
      </c>
      <c r="G75" s="127" t="s">
        <v>863</v>
      </c>
      <c r="H75" s="132">
        <v>125977.16249999999</v>
      </c>
      <c r="I75" s="106">
        <v>0.20499999999999999</v>
      </c>
      <c r="J75" s="126" t="s">
        <v>831</v>
      </c>
    </row>
    <row r="76" spans="1:11" x14ac:dyDescent="0.3">
      <c r="A76" s="126" t="s">
        <v>390</v>
      </c>
      <c r="B76" s="126" t="s">
        <v>4</v>
      </c>
      <c r="C76" s="126" t="s">
        <v>1012</v>
      </c>
      <c r="D76" s="126" t="s">
        <v>1013</v>
      </c>
      <c r="E76" s="131">
        <v>45687</v>
      </c>
      <c r="F76" s="126" t="s">
        <v>811</v>
      </c>
      <c r="G76" s="127" t="s">
        <v>813</v>
      </c>
      <c r="H76" s="132">
        <v>7712.8874999999998</v>
      </c>
      <c r="I76" s="107">
        <v>0.3</v>
      </c>
      <c r="J76" s="126" t="s">
        <v>832</v>
      </c>
    </row>
    <row r="77" spans="1:11" x14ac:dyDescent="0.3">
      <c r="A77" s="126" t="s">
        <v>390</v>
      </c>
      <c r="B77" s="126" t="s">
        <v>4</v>
      </c>
      <c r="C77" s="126" t="s">
        <v>1014</v>
      </c>
      <c r="D77" s="126" t="s">
        <v>841</v>
      </c>
      <c r="E77" s="131">
        <v>45687</v>
      </c>
      <c r="F77" s="126" t="s">
        <v>811</v>
      </c>
      <c r="G77" s="127" t="s">
        <v>813</v>
      </c>
      <c r="H77" s="132">
        <v>5141.9249999999993</v>
      </c>
      <c r="I77" s="106">
        <v>0.23200000000000001</v>
      </c>
      <c r="J77" s="126" t="s">
        <v>832</v>
      </c>
    </row>
    <row r="78" spans="1:11" x14ac:dyDescent="0.3">
      <c r="A78" s="126" t="s">
        <v>390</v>
      </c>
      <c r="B78" s="126" t="s">
        <v>4</v>
      </c>
      <c r="C78" s="126" t="s">
        <v>1015</v>
      </c>
      <c r="D78" s="126" t="s">
        <v>1016</v>
      </c>
      <c r="E78" s="131">
        <v>45688</v>
      </c>
      <c r="F78" s="126" t="s">
        <v>1017</v>
      </c>
      <c r="G78" s="127" t="s">
        <v>862</v>
      </c>
      <c r="H78" s="132">
        <v>1230867.443</v>
      </c>
      <c r="I78" s="137">
        <v>-0.36399999999999999</v>
      </c>
      <c r="J78" s="126" t="s">
        <v>1018</v>
      </c>
    </row>
    <row r="79" spans="1:11" x14ac:dyDescent="0.3">
      <c r="A79" s="126" t="s">
        <v>390</v>
      </c>
      <c r="B79" s="126" t="s">
        <v>1019</v>
      </c>
      <c r="C79" s="53" t="s">
        <v>1020</v>
      </c>
      <c r="D79" s="53" t="s">
        <v>1009</v>
      </c>
      <c r="E79" s="131">
        <v>45694</v>
      </c>
      <c r="F79" s="127" t="s">
        <v>372</v>
      </c>
      <c r="G79" s="127" t="s">
        <v>10</v>
      </c>
      <c r="H79" s="54">
        <v>107360.24</v>
      </c>
      <c r="I79" s="137">
        <v>0.27100000000000002</v>
      </c>
      <c r="J79" s="44" t="s">
        <v>833</v>
      </c>
    </row>
    <row r="80" spans="1:11" x14ac:dyDescent="0.3">
      <c r="A80" s="126" t="s">
        <v>390</v>
      </c>
      <c r="B80" s="126" t="s">
        <v>1019</v>
      </c>
      <c r="C80" s="53" t="s">
        <v>1021</v>
      </c>
      <c r="D80" s="53" t="s">
        <v>1022</v>
      </c>
      <c r="E80" s="131">
        <v>45694</v>
      </c>
      <c r="F80" s="127" t="s">
        <v>372</v>
      </c>
      <c r="G80" s="127" t="s">
        <v>10</v>
      </c>
      <c r="H80" s="54">
        <v>73868.289999999994</v>
      </c>
      <c r="I80" s="137">
        <v>0.28799999999999998</v>
      </c>
      <c r="J80" s="44" t="s">
        <v>833</v>
      </c>
    </row>
    <row r="81" spans="1:10" x14ac:dyDescent="0.3">
      <c r="A81" s="126" t="s">
        <v>390</v>
      </c>
      <c r="B81" s="126" t="s">
        <v>1019</v>
      </c>
      <c r="C81" s="53" t="s">
        <v>1023</v>
      </c>
      <c r="D81" s="53" t="s">
        <v>1024</v>
      </c>
      <c r="E81" s="131">
        <v>45694</v>
      </c>
      <c r="F81" s="53" t="s">
        <v>371</v>
      </c>
      <c r="G81" s="127" t="s">
        <v>864</v>
      </c>
      <c r="H81" s="54">
        <v>13293.3</v>
      </c>
      <c r="I81" s="137">
        <v>0.41399999999999998</v>
      </c>
      <c r="J81" s="44" t="s">
        <v>832</v>
      </c>
    </row>
    <row r="82" spans="1:10" x14ac:dyDescent="0.3">
      <c r="A82" s="126" t="s">
        <v>390</v>
      </c>
      <c r="B82" s="126" t="s">
        <v>1019</v>
      </c>
      <c r="C82" s="53" t="s">
        <v>1025</v>
      </c>
      <c r="D82" s="53" t="s">
        <v>1026</v>
      </c>
      <c r="E82" s="131">
        <v>45694</v>
      </c>
      <c r="F82" s="127" t="s">
        <v>375</v>
      </c>
      <c r="G82" s="127" t="s">
        <v>62</v>
      </c>
      <c r="H82" s="54">
        <v>143742.45000000001</v>
      </c>
      <c r="I82" s="137">
        <v>0.36099999999999999</v>
      </c>
      <c r="J82" s="44" t="s">
        <v>831</v>
      </c>
    </row>
    <row r="83" spans="1:10" x14ac:dyDescent="0.3">
      <c r="A83" s="126" t="s">
        <v>392</v>
      </c>
      <c r="B83" s="126" t="s">
        <v>1019</v>
      </c>
      <c r="C83" s="53" t="s">
        <v>1027</v>
      </c>
      <c r="D83" s="53" t="s">
        <v>1028</v>
      </c>
      <c r="E83" s="131">
        <v>45695</v>
      </c>
      <c r="F83" s="127" t="s">
        <v>372</v>
      </c>
      <c r="G83" s="127" t="s">
        <v>10</v>
      </c>
      <c r="H83" s="54">
        <v>26000.04</v>
      </c>
      <c r="I83" s="138">
        <v>0.38600000000000001</v>
      </c>
      <c r="J83" s="44" t="s">
        <v>848</v>
      </c>
    </row>
    <row r="84" spans="1:10" x14ac:dyDescent="0.3">
      <c r="A84" s="126" t="s">
        <v>392</v>
      </c>
      <c r="B84" s="126" t="s">
        <v>1019</v>
      </c>
      <c r="C84" s="53" t="s">
        <v>1029</v>
      </c>
      <c r="D84" s="63" t="s">
        <v>1030</v>
      </c>
      <c r="E84" s="131">
        <v>45695</v>
      </c>
      <c r="F84" s="127" t="s">
        <v>371</v>
      </c>
      <c r="G84" s="127" t="s">
        <v>864</v>
      </c>
      <c r="H84" s="54">
        <v>15295.72</v>
      </c>
      <c r="I84" s="137">
        <v>0.85599999999999998</v>
      </c>
      <c r="J84" s="44" t="s">
        <v>848</v>
      </c>
    </row>
    <row r="85" spans="1:10" x14ac:dyDescent="0.3">
      <c r="A85" s="126" t="s">
        <v>390</v>
      </c>
      <c r="B85" s="126" t="s">
        <v>1019</v>
      </c>
      <c r="C85" s="53" t="s">
        <v>1031</v>
      </c>
      <c r="D85" s="53" t="s">
        <v>1032</v>
      </c>
      <c r="E85" s="131">
        <v>45699</v>
      </c>
      <c r="F85" s="127" t="s">
        <v>844</v>
      </c>
      <c r="G85" s="127" t="s">
        <v>863</v>
      </c>
      <c r="H85" s="54">
        <v>21320.23</v>
      </c>
      <c r="I85" s="137">
        <v>0.25900000000000001</v>
      </c>
      <c r="J85" s="44" t="s">
        <v>831</v>
      </c>
    </row>
    <row r="86" spans="1:10" x14ac:dyDescent="0.3">
      <c r="A86" s="126" t="s">
        <v>392</v>
      </c>
      <c r="B86" s="126" t="s">
        <v>1019</v>
      </c>
      <c r="C86" s="53" t="s">
        <v>1033</v>
      </c>
      <c r="D86" s="53" t="s">
        <v>1034</v>
      </c>
      <c r="E86" s="131">
        <v>45699</v>
      </c>
      <c r="F86" s="127" t="s">
        <v>842</v>
      </c>
      <c r="G86" s="127" t="s">
        <v>843</v>
      </c>
      <c r="H86" s="54">
        <v>66000</v>
      </c>
      <c r="I86" s="138">
        <v>0.438</v>
      </c>
      <c r="J86" s="44" t="s">
        <v>832</v>
      </c>
    </row>
    <row r="87" spans="1:10" x14ac:dyDescent="0.3">
      <c r="A87" s="126" t="s">
        <v>392</v>
      </c>
      <c r="B87" s="126" t="s">
        <v>1019</v>
      </c>
      <c r="C87" s="53" t="s">
        <v>1035</v>
      </c>
      <c r="D87" s="53" t="s">
        <v>1036</v>
      </c>
      <c r="E87" s="131">
        <v>45699</v>
      </c>
      <c r="F87" s="127" t="s">
        <v>370</v>
      </c>
      <c r="G87" s="127" t="s">
        <v>63</v>
      </c>
      <c r="H87" s="54">
        <v>8039.94</v>
      </c>
      <c r="I87" s="137">
        <v>0.74199999999999999</v>
      </c>
      <c r="J87" s="44" t="s">
        <v>830</v>
      </c>
    </row>
    <row r="88" spans="1:10" x14ac:dyDescent="0.3">
      <c r="A88" s="126" t="s">
        <v>392</v>
      </c>
      <c r="B88" s="126" t="s">
        <v>1019</v>
      </c>
      <c r="C88" s="53" t="s">
        <v>1037</v>
      </c>
      <c r="D88" s="53" t="s">
        <v>1038</v>
      </c>
      <c r="E88" s="131">
        <v>45699</v>
      </c>
      <c r="F88" s="127" t="s">
        <v>370</v>
      </c>
      <c r="G88" s="127" t="s">
        <v>63</v>
      </c>
      <c r="H88" s="54">
        <v>4121.3599999999997</v>
      </c>
      <c r="I88" s="137">
        <v>0.56299999999999994</v>
      </c>
      <c r="J88" s="44" t="s">
        <v>830</v>
      </c>
    </row>
    <row r="89" spans="1:10" x14ac:dyDescent="0.3">
      <c r="A89" s="126" t="s">
        <v>392</v>
      </c>
      <c r="B89" s="126" t="s">
        <v>1019</v>
      </c>
      <c r="C89" s="53" t="s">
        <v>1039</v>
      </c>
      <c r="D89" s="53" t="s">
        <v>1040</v>
      </c>
      <c r="E89" s="131">
        <v>45699</v>
      </c>
      <c r="F89" s="127" t="s">
        <v>370</v>
      </c>
      <c r="G89" s="127" t="s">
        <v>63</v>
      </c>
      <c r="H89" s="54">
        <v>8071.36</v>
      </c>
      <c r="I89" s="138">
        <v>0.74299999999999999</v>
      </c>
      <c r="J89" s="44" t="s">
        <v>830</v>
      </c>
    </row>
    <row r="90" spans="1:10" x14ac:dyDescent="0.3">
      <c r="A90" s="126" t="s">
        <v>392</v>
      </c>
      <c r="B90" s="126" t="s">
        <v>1019</v>
      </c>
      <c r="C90" s="53" t="s">
        <v>1041</v>
      </c>
      <c r="D90" s="53" t="s">
        <v>1042</v>
      </c>
      <c r="E90" s="131">
        <v>45699</v>
      </c>
      <c r="F90" s="127" t="s">
        <v>370</v>
      </c>
      <c r="G90" s="127" t="s">
        <v>63</v>
      </c>
      <c r="H90" s="54">
        <v>8035.36</v>
      </c>
      <c r="I90" s="138">
        <v>0.74199999999999999</v>
      </c>
      <c r="J90" s="44" t="s">
        <v>830</v>
      </c>
    </row>
    <row r="91" spans="1:10" x14ac:dyDescent="0.3">
      <c r="A91" s="126" t="s">
        <v>392</v>
      </c>
      <c r="B91" s="126" t="s">
        <v>1019</v>
      </c>
      <c r="C91" s="53" t="s">
        <v>1043</v>
      </c>
      <c r="D91" s="53" t="s">
        <v>1044</v>
      </c>
      <c r="E91" s="131">
        <v>45699</v>
      </c>
      <c r="F91" s="127" t="s">
        <v>370</v>
      </c>
      <c r="G91" s="127" t="s">
        <v>63</v>
      </c>
      <c r="H91" s="54">
        <v>8035.36</v>
      </c>
      <c r="I91" s="138">
        <v>0.74199999999999999</v>
      </c>
      <c r="J91" s="44" t="s">
        <v>830</v>
      </c>
    </row>
    <row r="92" spans="1:10" x14ac:dyDescent="0.3">
      <c r="A92" s="126" t="s">
        <v>392</v>
      </c>
      <c r="B92" s="126" t="s">
        <v>1019</v>
      </c>
      <c r="C92" s="53" t="s">
        <v>1045</v>
      </c>
      <c r="D92" s="63" t="s">
        <v>1046</v>
      </c>
      <c r="E92" s="131">
        <v>45699</v>
      </c>
      <c r="F92" s="127" t="s">
        <v>370</v>
      </c>
      <c r="G92" s="127" t="s">
        <v>63</v>
      </c>
      <c r="H92" s="54">
        <v>8022.43</v>
      </c>
      <c r="I92" s="138">
        <v>0.74099999999999999</v>
      </c>
      <c r="J92" s="44" t="s">
        <v>830</v>
      </c>
    </row>
    <row r="93" spans="1:10" x14ac:dyDescent="0.3">
      <c r="A93" s="126" t="s">
        <v>392</v>
      </c>
      <c r="B93" s="126" t="s">
        <v>1019</v>
      </c>
      <c r="C93" s="53" t="s">
        <v>1047</v>
      </c>
      <c r="D93" s="63" t="s">
        <v>1048</v>
      </c>
      <c r="E93" s="131">
        <v>45699</v>
      </c>
      <c r="F93" s="127" t="s">
        <v>370</v>
      </c>
      <c r="G93" s="127" t="s">
        <v>63</v>
      </c>
      <c r="H93" s="54">
        <v>8025.02</v>
      </c>
      <c r="I93" s="138">
        <v>0.74099999999999999</v>
      </c>
      <c r="J93" s="44" t="s">
        <v>830</v>
      </c>
    </row>
    <row r="94" spans="1:10" x14ac:dyDescent="0.3">
      <c r="A94" s="126" t="s">
        <v>392</v>
      </c>
      <c r="B94" s="126" t="s">
        <v>1019</v>
      </c>
      <c r="C94" s="53" t="s">
        <v>1049</v>
      </c>
      <c r="D94" s="63" t="s">
        <v>1050</v>
      </c>
      <c r="E94" s="131">
        <v>45699</v>
      </c>
      <c r="F94" s="127" t="s">
        <v>372</v>
      </c>
      <c r="G94" s="127" t="s">
        <v>10</v>
      </c>
      <c r="H94" s="54">
        <v>9013.77</v>
      </c>
      <c r="I94" s="138">
        <v>0.42699999999999999</v>
      </c>
      <c r="J94" s="44" t="s">
        <v>848</v>
      </c>
    </row>
    <row r="95" spans="1:10" x14ac:dyDescent="0.3">
      <c r="A95" s="126" t="s">
        <v>392</v>
      </c>
      <c r="B95" s="126" t="s">
        <v>1019</v>
      </c>
      <c r="C95" s="53" t="s">
        <v>1051</v>
      </c>
      <c r="D95" s="63" t="s">
        <v>1052</v>
      </c>
      <c r="E95" s="131">
        <v>45700</v>
      </c>
      <c r="F95" s="127" t="s">
        <v>370</v>
      </c>
      <c r="G95" s="127" t="s">
        <v>63</v>
      </c>
      <c r="H95" s="54">
        <v>9677.26</v>
      </c>
      <c r="I95" s="138">
        <v>0.70299999999999996</v>
      </c>
      <c r="J95" s="44" t="s">
        <v>830</v>
      </c>
    </row>
    <row r="96" spans="1:10" x14ac:dyDescent="0.3">
      <c r="A96" s="126" t="s">
        <v>392</v>
      </c>
      <c r="B96" s="126" t="s">
        <v>1019</v>
      </c>
      <c r="C96" s="53" t="s">
        <v>1053</v>
      </c>
      <c r="D96" s="63" t="s">
        <v>1054</v>
      </c>
      <c r="E96" s="131">
        <v>45700</v>
      </c>
      <c r="F96" s="127" t="s">
        <v>370</v>
      </c>
      <c r="G96" s="127" t="s">
        <v>63</v>
      </c>
      <c r="H96" s="54">
        <v>20291.439999999999</v>
      </c>
      <c r="I96" s="138">
        <v>0.72499999999999998</v>
      </c>
      <c r="J96" s="44" t="s">
        <v>830</v>
      </c>
    </row>
    <row r="97" spans="1:10" x14ac:dyDescent="0.3">
      <c r="A97" s="126" t="s">
        <v>390</v>
      </c>
      <c r="B97" s="126" t="s">
        <v>1019</v>
      </c>
      <c r="C97" s="53" t="s">
        <v>1055</v>
      </c>
      <c r="D97" s="63" t="s">
        <v>1056</v>
      </c>
      <c r="E97" s="131">
        <v>45700</v>
      </c>
      <c r="F97" s="127" t="s">
        <v>372</v>
      </c>
      <c r="G97" s="127" t="s">
        <v>10</v>
      </c>
      <c r="H97" s="54">
        <v>38816.61</v>
      </c>
      <c r="I97" s="138">
        <v>0.25600000000000001</v>
      </c>
      <c r="J97" s="44" t="s">
        <v>833</v>
      </c>
    </row>
    <row r="98" spans="1:10" x14ac:dyDescent="0.3">
      <c r="A98" s="126" t="s">
        <v>392</v>
      </c>
      <c r="B98" s="126" t="s">
        <v>1019</v>
      </c>
      <c r="C98" s="53" t="s">
        <v>1057</v>
      </c>
      <c r="D98" s="63" t="s">
        <v>1058</v>
      </c>
      <c r="E98" s="131">
        <v>45701</v>
      </c>
      <c r="F98" s="127" t="s">
        <v>842</v>
      </c>
      <c r="G98" s="127" t="s">
        <v>843</v>
      </c>
      <c r="H98" s="54">
        <v>22000</v>
      </c>
      <c r="I98" s="138">
        <v>0.443</v>
      </c>
      <c r="J98" s="44" t="s">
        <v>832</v>
      </c>
    </row>
    <row r="99" spans="1:10" x14ac:dyDescent="0.3">
      <c r="A99" s="126" t="s">
        <v>390</v>
      </c>
      <c r="B99" s="126" t="s">
        <v>1019</v>
      </c>
      <c r="C99" s="53" t="s">
        <v>1059</v>
      </c>
      <c r="D99" s="63" t="s">
        <v>1060</v>
      </c>
      <c r="E99" s="131">
        <v>45701</v>
      </c>
      <c r="F99" s="127" t="s">
        <v>619</v>
      </c>
      <c r="G99" s="127" t="s">
        <v>16</v>
      </c>
      <c r="H99" s="54">
        <v>21926.3</v>
      </c>
      <c r="I99" s="138">
        <v>0.36799999999999999</v>
      </c>
      <c r="J99" s="44" t="s">
        <v>831</v>
      </c>
    </row>
    <row r="100" spans="1:10" x14ac:dyDescent="0.3">
      <c r="A100" s="126" t="s">
        <v>390</v>
      </c>
      <c r="B100" s="126" t="s">
        <v>1019</v>
      </c>
      <c r="C100" s="53" t="s">
        <v>1061</v>
      </c>
      <c r="D100" s="53" t="s">
        <v>1062</v>
      </c>
      <c r="E100" s="131">
        <v>45701</v>
      </c>
      <c r="F100" s="127" t="s">
        <v>619</v>
      </c>
      <c r="G100" s="127" t="s">
        <v>16</v>
      </c>
      <c r="H100" s="54">
        <v>22092.27</v>
      </c>
      <c r="I100" s="138">
        <v>0.24299999999999999</v>
      </c>
      <c r="J100" s="44" t="s">
        <v>831</v>
      </c>
    </row>
    <row r="101" spans="1:10" x14ac:dyDescent="0.3">
      <c r="A101" s="126" t="s">
        <v>390</v>
      </c>
      <c r="B101" s="126" t="s">
        <v>1019</v>
      </c>
      <c r="C101" s="53" t="s">
        <v>1063</v>
      </c>
      <c r="D101" s="53" t="s">
        <v>1064</v>
      </c>
      <c r="E101" s="131">
        <v>45701</v>
      </c>
      <c r="F101" s="127" t="s">
        <v>371</v>
      </c>
      <c r="G101" s="127" t="s">
        <v>864</v>
      </c>
      <c r="H101" s="54">
        <v>61555.79</v>
      </c>
      <c r="I101" s="138">
        <v>0.20799999999999999</v>
      </c>
      <c r="J101" s="44" t="s">
        <v>832</v>
      </c>
    </row>
    <row r="102" spans="1:10" x14ac:dyDescent="0.3">
      <c r="A102" s="126" t="s">
        <v>390</v>
      </c>
      <c r="B102" s="126" t="s">
        <v>1019</v>
      </c>
      <c r="C102" s="53" t="s">
        <v>1065</v>
      </c>
      <c r="D102" s="53" t="s">
        <v>1066</v>
      </c>
      <c r="E102" s="131">
        <v>45701</v>
      </c>
      <c r="F102" s="127" t="s">
        <v>371</v>
      </c>
      <c r="G102" s="127" t="s">
        <v>864</v>
      </c>
      <c r="H102" s="54">
        <v>10776.17</v>
      </c>
      <c r="I102" s="138">
        <v>0.57399999999999995</v>
      </c>
      <c r="J102" s="44" t="s">
        <v>832</v>
      </c>
    </row>
    <row r="103" spans="1:10" x14ac:dyDescent="0.3">
      <c r="A103" s="126" t="s">
        <v>390</v>
      </c>
      <c r="B103" s="126" t="s">
        <v>1019</v>
      </c>
      <c r="C103" s="53" t="s">
        <v>1067</v>
      </c>
      <c r="D103" s="53" t="s">
        <v>1068</v>
      </c>
      <c r="E103" s="131">
        <v>45701</v>
      </c>
      <c r="F103" s="127" t="s">
        <v>376</v>
      </c>
      <c r="G103" s="127" t="s">
        <v>14</v>
      </c>
      <c r="H103" s="54">
        <v>9336.15</v>
      </c>
      <c r="I103" s="138">
        <v>0.35699999999999998</v>
      </c>
      <c r="J103" s="44" t="s">
        <v>832</v>
      </c>
    </row>
    <row r="104" spans="1:10" x14ac:dyDescent="0.3">
      <c r="A104" s="126" t="s">
        <v>392</v>
      </c>
      <c r="B104" s="126" t="s">
        <v>1019</v>
      </c>
      <c r="C104" s="53" t="s">
        <v>1069</v>
      </c>
      <c r="D104" s="53" t="s">
        <v>1070</v>
      </c>
      <c r="E104" s="131">
        <v>45701</v>
      </c>
      <c r="F104" s="127" t="s">
        <v>842</v>
      </c>
      <c r="G104" s="127" t="s">
        <v>843</v>
      </c>
      <c r="H104" s="54">
        <v>20000</v>
      </c>
      <c r="I104" s="138">
        <v>0.35</v>
      </c>
      <c r="J104" s="44" t="s">
        <v>832</v>
      </c>
    </row>
    <row r="105" spans="1:10" x14ac:dyDescent="0.3">
      <c r="A105" s="126" t="s">
        <v>392</v>
      </c>
      <c r="B105" s="126" t="s">
        <v>1019</v>
      </c>
      <c r="C105" s="53" t="s">
        <v>1071</v>
      </c>
      <c r="D105" s="53" t="s">
        <v>1072</v>
      </c>
      <c r="E105" s="131">
        <v>45705</v>
      </c>
      <c r="F105" s="127" t="s">
        <v>371</v>
      </c>
      <c r="G105" s="127" t="s">
        <v>864</v>
      </c>
      <c r="H105" s="54">
        <v>100458.15</v>
      </c>
      <c r="I105" s="138">
        <v>0.52800000000000002</v>
      </c>
      <c r="J105" s="44" t="s">
        <v>848</v>
      </c>
    </row>
    <row r="106" spans="1:10" x14ac:dyDescent="0.3">
      <c r="A106" s="126" t="s">
        <v>390</v>
      </c>
      <c r="B106" s="126" t="s">
        <v>1019</v>
      </c>
      <c r="C106" s="53" t="s">
        <v>1073</v>
      </c>
      <c r="D106" s="53" t="s">
        <v>1074</v>
      </c>
      <c r="E106" s="131">
        <v>45705</v>
      </c>
      <c r="F106" s="127" t="s">
        <v>372</v>
      </c>
      <c r="G106" s="127" t="s">
        <v>10</v>
      </c>
      <c r="H106" s="54">
        <v>11406.38</v>
      </c>
      <c r="I106" s="138">
        <v>0.36299999999999999</v>
      </c>
      <c r="J106" s="44" t="s">
        <v>833</v>
      </c>
    </row>
    <row r="107" spans="1:10" x14ac:dyDescent="0.3">
      <c r="A107" s="126" t="s">
        <v>392</v>
      </c>
      <c r="B107" s="126" t="s">
        <v>1019</v>
      </c>
      <c r="C107" s="53" t="s">
        <v>1075</v>
      </c>
      <c r="D107" s="53" t="s">
        <v>1076</v>
      </c>
      <c r="E107" s="131">
        <v>45705</v>
      </c>
      <c r="F107" s="127" t="s">
        <v>372</v>
      </c>
      <c r="G107" s="127" t="s">
        <v>10</v>
      </c>
      <c r="H107" s="54">
        <v>41110.239999999998</v>
      </c>
      <c r="I107" s="138">
        <v>0.314</v>
      </c>
      <c r="J107" s="44" t="s">
        <v>848</v>
      </c>
    </row>
    <row r="108" spans="1:10" x14ac:dyDescent="0.3">
      <c r="A108" s="126" t="s">
        <v>392</v>
      </c>
      <c r="B108" s="126" t="s">
        <v>1019</v>
      </c>
      <c r="C108" s="53" t="s">
        <v>1077</v>
      </c>
      <c r="D108" s="53" t="s">
        <v>1078</v>
      </c>
      <c r="E108" s="131">
        <v>45706</v>
      </c>
      <c r="F108" s="127" t="s">
        <v>370</v>
      </c>
      <c r="G108" s="127" t="s">
        <v>63</v>
      </c>
      <c r="H108" s="54">
        <v>6985.2</v>
      </c>
      <c r="I108" s="138">
        <v>0.48499999999999999</v>
      </c>
      <c r="J108" s="44" t="s">
        <v>830</v>
      </c>
    </row>
    <row r="109" spans="1:10" x14ac:dyDescent="0.3">
      <c r="A109" s="126" t="s">
        <v>392</v>
      </c>
      <c r="B109" s="126" t="s">
        <v>1019</v>
      </c>
      <c r="C109" s="53" t="s">
        <v>1079</v>
      </c>
      <c r="D109" s="53" t="s">
        <v>1080</v>
      </c>
      <c r="E109" s="131">
        <v>45706</v>
      </c>
      <c r="F109" s="127" t="s">
        <v>372</v>
      </c>
      <c r="G109" s="127" t="s">
        <v>10</v>
      </c>
      <c r="H109" s="54">
        <v>41113.599999999999</v>
      </c>
      <c r="I109" s="138">
        <v>0.40300000000000002</v>
      </c>
      <c r="J109" s="44" t="s">
        <v>848</v>
      </c>
    </row>
    <row r="110" spans="1:10" x14ac:dyDescent="0.3">
      <c r="A110" s="126" t="s">
        <v>392</v>
      </c>
      <c r="B110" s="126" t="s">
        <v>1019</v>
      </c>
      <c r="C110" s="53" t="s">
        <v>1081</v>
      </c>
      <c r="D110" s="53" t="s">
        <v>1082</v>
      </c>
      <c r="E110" s="131">
        <v>45706</v>
      </c>
      <c r="F110" s="127" t="s">
        <v>370</v>
      </c>
      <c r="G110" s="127" t="s">
        <v>63</v>
      </c>
      <c r="H110" s="54">
        <v>7045.45</v>
      </c>
      <c r="I110" s="138">
        <v>0.48899999999999999</v>
      </c>
      <c r="J110" s="44" t="s">
        <v>830</v>
      </c>
    </row>
    <row r="111" spans="1:10" x14ac:dyDescent="0.3">
      <c r="A111" s="126" t="s">
        <v>392</v>
      </c>
      <c r="B111" s="126" t="s">
        <v>1019</v>
      </c>
      <c r="C111" s="53" t="s">
        <v>1083</v>
      </c>
      <c r="D111" s="53" t="s">
        <v>1084</v>
      </c>
      <c r="E111" s="131">
        <v>45706</v>
      </c>
      <c r="F111" s="127" t="s">
        <v>370</v>
      </c>
      <c r="G111" s="127" t="s">
        <v>63</v>
      </c>
      <c r="H111" s="54">
        <v>14090.89</v>
      </c>
      <c r="I111" s="138">
        <v>0.42199999999999999</v>
      </c>
      <c r="J111" s="44" t="s">
        <v>830</v>
      </c>
    </row>
    <row r="112" spans="1:10" x14ac:dyDescent="0.3">
      <c r="A112" s="126" t="s">
        <v>390</v>
      </c>
      <c r="B112" s="126" t="s">
        <v>1019</v>
      </c>
      <c r="C112" s="53" t="s">
        <v>1085</v>
      </c>
      <c r="D112" s="53" t="s">
        <v>1086</v>
      </c>
      <c r="E112" s="131">
        <v>45706</v>
      </c>
      <c r="F112" s="127" t="s">
        <v>372</v>
      </c>
      <c r="G112" s="127" t="s">
        <v>10</v>
      </c>
      <c r="H112" s="54">
        <v>16244.3</v>
      </c>
      <c r="I112" s="138">
        <v>0.41799999999999998</v>
      </c>
      <c r="J112" s="44" t="s">
        <v>833</v>
      </c>
    </row>
    <row r="113" spans="1:11" x14ac:dyDescent="0.3">
      <c r="A113" s="126" t="s">
        <v>390</v>
      </c>
      <c r="B113" s="126" t="s">
        <v>1019</v>
      </c>
      <c r="C113" s="53" t="s">
        <v>1087</v>
      </c>
      <c r="D113" s="53" t="s">
        <v>860</v>
      </c>
      <c r="E113" s="131">
        <v>45707</v>
      </c>
      <c r="F113" s="127" t="s">
        <v>619</v>
      </c>
      <c r="G113" s="127" t="s">
        <v>16</v>
      </c>
      <c r="H113" s="54">
        <v>94500</v>
      </c>
      <c r="I113" s="138">
        <v>0.26600000000000001</v>
      </c>
      <c r="J113" s="44" t="s">
        <v>831</v>
      </c>
    </row>
    <row r="114" spans="1:11" x14ac:dyDescent="0.3">
      <c r="A114" s="126" t="s">
        <v>392</v>
      </c>
      <c r="B114" s="126" t="s">
        <v>1019</v>
      </c>
      <c r="C114" s="53" t="s">
        <v>1088</v>
      </c>
      <c r="D114" s="53" t="s">
        <v>1089</v>
      </c>
      <c r="E114" s="131">
        <v>45707</v>
      </c>
      <c r="F114" s="127" t="s">
        <v>370</v>
      </c>
      <c r="G114" s="127" t="s">
        <v>63</v>
      </c>
      <c r="H114" s="54">
        <v>8060.24</v>
      </c>
      <c r="I114" s="138">
        <v>0.64</v>
      </c>
      <c r="J114" s="44" t="s">
        <v>830</v>
      </c>
    </row>
    <row r="115" spans="1:11" x14ac:dyDescent="0.3">
      <c r="A115" s="126" t="s">
        <v>392</v>
      </c>
      <c r="B115" s="126" t="s">
        <v>1019</v>
      </c>
      <c r="C115" s="53" t="s">
        <v>1090</v>
      </c>
      <c r="D115" s="53" t="s">
        <v>1091</v>
      </c>
      <c r="E115" s="131">
        <v>45707</v>
      </c>
      <c r="F115" s="127" t="s">
        <v>370</v>
      </c>
      <c r="G115" s="127" t="s">
        <v>63</v>
      </c>
      <c r="H115" s="54">
        <v>8060.24</v>
      </c>
      <c r="I115" s="138">
        <v>0.64</v>
      </c>
      <c r="J115" s="44" t="s">
        <v>830</v>
      </c>
    </row>
    <row r="116" spans="1:11" x14ac:dyDescent="0.3">
      <c r="A116" s="126" t="s">
        <v>392</v>
      </c>
      <c r="B116" s="126" t="s">
        <v>1019</v>
      </c>
      <c r="C116" s="53" t="s">
        <v>1092</v>
      </c>
      <c r="D116" s="63" t="s">
        <v>1093</v>
      </c>
      <c r="E116" s="131">
        <v>45707</v>
      </c>
      <c r="F116" s="127" t="s">
        <v>370</v>
      </c>
      <c r="G116" s="127" t="s">
        <v>63</v>
      </c>
      <c r="H116" s="54">
        <v>11224.98</v>
      </c>
      <c r="I116" s="138">
        <v>0.72399999999999998</v>
      </c>
      <c r="J116" s="44" t="s">
        <v>830</v>
      </c>
    </row>
    <row r="117" spans="1:11" x14ac:dyDescent="0.3">
      <c r="A117" s="126" t="s">
        <v>392</v>
      </c>
      <c r="B117" s="126" t="s">
        <v>1019</v>
      </c>
      <c r="C117" s="53" t="s">
        <v>1094</v>
      </c>
      <c r="D117" s="63" t="s">
        <v>1095</v>
      </c>
      <c r="E117" s="131">
        <v>45707</v>
      </c>
      <c r="F117" s="127" t="s">
        <v>370</v>
      </c>
      <c r="G117" s="127" t="s">
        <v>63</v>
      </c>
      <c r="H117" s="54">
        <v>14070.4</v>
      </c>
      <c r="I117" s="138">
        <v>0.47399999999999998</v>
      </c>
      <c r="J117" s="44" t="s">
        <v>830</v>
      </c>
    </row>
    <row r="118" spans="1:11" x14ac:dyDescent="0.3">
      <c r="A118" s="126" t="s">
        <v>390</v>
      </c>
      <c r="B118" s="126" t="s">
        <v>1019</v>
      </c>
      <c r="C118" s="53" t="s">
        <v>1096</v>
      </c>
      <c r="D118" s="63" t="s">
        <v>1097</v>
      </c>
      <c r="E118" s="131">
        <v>45707</v>
      </c>
      <c r="F118" s="127" t="s">
        <v>371</v>
      </c>
      <c r="G118" s="127" t="s">
        <v>864</v>
      </c>
      <c r="H118" s="54">
        <v>14879.38</v>
      </c>
      <c r="I118" s="138">
        <v>0.38300000000000001</v>
      </c>
      <c r="J118" s="44" t="s">
        <v>832</v>
      </c>
    </row>
    <row r="119" spans="1:11" x14ac:dyDescent="0.3">
      <c r="A119" s="126" t="s">
        <v>392</v>
      </c>
      <c r="B119" s="126" t="s">
        <v>1019</v>
      </c>
      <c r="C119" s="53" t="s">
        <v>1098</v>
      </c>
      <c r="D119" s="53" t="s">
        <v>1099</v>
      </c>
      <c r="E119" s="131">
        <v>45707</v>
      </c>
      <c r="F119" s="127" t="s">
        <v>844</v>
      </c>
      <c r="G119" s="127" t="s">
        <v>863</v>
      </c>
      <c r="H119" s="54">
        <v>18000</v>
      </c>
      <c r="I119" s="138">
        <v>0.26</v>
      </c>
      <c r="J119" s="44" t="s">
        <v>831</v>
      </c>
    </row>
    <row r="120" spans="1:11" x14ac:dyDescent="0.3">
      <c r="A120" s="126" t="s">
        <v>390</v>
      </c>
      <c r="B120" s="126" t="s">
        <v>1019</v>
      </c>
      <c r="C120" s="134" t="s">
        <v>1100</v>
      </c>
      <c r="D120" s="135" t="s">
        <v>1101</v>
      </c>
      <c r="E120" s="131">
        <v>45707</v>
      </c>
      <c r="F120" s="127" t="s">
        <v>844</v>
      </c>
      <c r="G120" s="127" t="s">
        <v>863</v>
      </c>
      <c r="H120" s="136">
        <v>25000</v>
      </c>
      <c r="I120" s="138">
        <v>0.55900000000000005</v>
      </c>
      <c r="J120" s="44" t="s">
        <v>831</v>
      </c>
    </row>
    <row r="121" spans="1:11" x14ac:dyDescent="0.3">
      <c r="A121" s="126" t="s">
        <v>392</v>
      </c>
      <c r="B121" s="126" t="s">
        <v>1019</v>
      </c>
      <c r="C121" s="53" t="s">
        <v>1102</v>
      </c>
      <c r="D121" s="53" t="s">
        <v>1103</v>
      </c>
      <c r="E121" s="131">
        <v>45708</v>
      </c>
      <c r="F121" s="127" t="s">
        <v>374</v>
      </c>
      <c r="G121" s="127" t="s">
        <v>17</v>
      </c>
      <c r="H121" s="54">
        <v>10275.6</v>
      </c>
      <c r="I121" s="138">
        <v>0.63</v>
      </c>
      <c r="J121" s="44" t="s">
        <v>848</v>
      </c>
    </row>
    <row r="122" spans="1:11" x14ac:dyDescent="0.3">
      <c r="A122" s="126" t="s">
        <v>390</v>
      </c>
      <c r="B122" s="126" t="s">
        <v>1019</v>
      </c>
      <c r="C122" s="53" t="s">
        <v>1104</v>
      </c>
      <c r="D122" s="53" t="s">
        <v>972</v>
      </c>
      <c r="E122" s="131">
        <v>45708</v>
      </c>
      <c r="F122" s="127" t="s">
        <v>375</v>
      </c>
      <c r="G122" s="127" t="s">
        <v>62</v>
      </c>
      <c r="H122" s="54">
        <v>87882.04</v>
      </c>
      <c r="I122" s="138">
        <v>0.30299999999999999</v>
      </c>
      <c r="J122" s="44" t="s">
        <v>831</v>
      </c>
    </row>
    <row r="123" spans="1:11" x14ac:dyDescent="0.3">
      <c r="A123" s="126" t="s">
        <v>392</v>
      </c>
      <c r="B123" s="126" t="s">
        <v>1019</v>
      </c>
      <c r="C123" s="53" t="s">
        <v>1105</v>
      </c>
      <c r="D123" s="53" t="s">
        <v>1106</v>
      </c>
      <c r="E123" s="131">
        <v>45708</v>
      </c>
      <c r="F123" s="127" t="s">
        <v>370</v>
      </c>
      <c r="G123" s="127" t="s">
        <v>63</v>
      </c>
      <c r="H123" s="54">
        <v>4713.54</v>
      </c>
      <c r="I123" s="138">
        <v>0.61799999999999999</v>
      </c>
      <c r="J123" s="44" t="s">
        <v>830</v>
      </c>
    </row>
    <row r="124" spans="1:11" x14ac:dyDescent="0.3">
      <c r="A124" s="126" t="s">
        <v>392</v>
      </c>
      <c r="B124" s="126" t="s">
        <v>1019</v>
      </c>
      <c r="C124" s="53" t="s">
        <v>1107</v>
      </c>
      <c r="D124" s="53" t="s">
        <v>1108</v>
      </c>
      <c r="E124" s="131">
        <v>45708</v>
      </c>
      <c r="F124" s="127" t="s">
        <v>370</v>
      </c>
      <c r="G124" s="127" t="s">
        <v>63</v>
      </c>
      <c r="H124" s="54">
        <v>8047.47</v>
      </c>
      <c r="I124" s="138">
        <v>0.64</v>
      </c>
      <c r="J124" s="44" t="s">
        <v>830</v>
      </c>
    </row>
    <row r="125" spans="1:11" x14ac:dyDescent="0.3">
      <c r="A125" s="126" t="s">
        <v>390</v>
      </c>
      <c r="B125" s="126" t="s">
        <v>1019</v>
      </c>
      <c r="C125" s="134" t="s">
        <v>1109</v>
      </c>
      <c r="D125" s="63" t="s">
        <v>1006</v>
      </c>
      <c r="E125" s="131">
        <v>45709</v>
      </c>
      <c r="F125" s="127" t="s">
        <v>1007</v>
      </c>
      <c r="G125" s="127" t="s">
        <v>865</v>
      </c>
      <c r="H125" s="54">
        <v>95976</v>
      </c>
      <c r="I125" s="138">
        <v>0.34599999999999997</v>
      </c>
      <c r="J125" s="44" t="s">
        <v>831</v>
      </c>
      <c r="K125" s="44" t="s">
        <v>1542</v>
      </c>
    </row>
    <row r="126" spans="1:11" x14ac:dyDescent="0.3">
      <c r="A126" s="126" t="s">
        <v>390</v>
      </c>
      <c r="B126" s="126" t="s">
        <v>1019</v>
      </c>
      <c r="C126" s="53" t="s">
        <v>1110</v>
      </c>
      <c r="D126" s="53" t="s">
        <v>1006</v>
      </c>
      <c r="E126" s="131">
        <v>45709</v>
      </c>
      <c r="F126" s="127" t="s">
        <v>1007</v>
      </c>
      <c r="G126" s="127" t="s">
        <v>865</v>
      </c>
      <c r="H126" s="54">
        <v>1333</v>
      </c>
      <c r="I126" s="138">
        <v>0.34599999999999997</v>
      </c>
      <c r="J126" s="44" t="s">
        <v>831</v>
      </c>
      <c r="K126" s="44" t="s">
        <v>1542</v>
      </c>
    </row>
    <row r="127" spans="1:11" x14ac:dyDescent="0.3">
      <c r="A127" s="126" t="s">
        <v>392</v>
      </c>
      <c r="B127" s="126" t="s">
        <v>1019</v>
      </c>
      <c r="C127" s="53" t="s">
        <v>1111</v>
      </c>
      <c r="D127" s="53" t="s">
        <v>1112</v>
      </c>
      <c r="E127" s="131">
        <v>45709</v>
      </c>
      <c r="F127" s="127" t="s">
        <v>370</v>
      </c>
      <c r="G127" s="127" t="s">
        <v>63</v>
      </c>
      <c r="H127" s="54">
        <v>4133.8599999999997</v>
      </c>
      <c r="I127" s="138">
        <v>0.56499999999999995</v>
      </c>
      <c r="J127" s="44" t="s">
        <v>830</v>
      </c>
    </row>
    <row r="128" spans="1:11" x14ac:dyDescent="0.3">
      <c r="A128" s="126" t="s">
        <v>392</v>
      </c>
      <c r="B128" s="126" t="s">
        <v>1019</v>
      </c>
      <c r="C128" s="53" t="s">
        <v>1113</v>
      </c>
      <c r="D128" s="63" t="s">
        <v>1114</v>
      </c>
      <c r="E128" s="131">
        <v>45709</v>
      </c>
      <c r="F128" s="127" t="s">
        <v>370</v>
      </c>
      <c r="G128" s="127" t="s">
        <v>63</v>
      </c>
      <c r="H128" s="54">
        <v>20348.240000000002</v>
      </c>
      <c r="I128" s="138">
        <v>0.66100000000000003</v>
      </c>
      <c r="J128" s="44" t="s">
        <v>830</v>
      </c>
    </row>
    <row r="129" spans="1:10" x14ac:dyDescent="0.3">
      <c r="A129" s="126" t="s">
        <v>392</v>
      </c>
      <c r="B129" s="126" t="s">
        <v>1019</v>
      </c>
      <c r="C129" s="53" t="s">
        <v>1115</v>
      </c>
      <c r="D129" s="63" t="s">
        <v>1116</v>
      </c>
      <c r="E129" s="131">
        <v>45712</v>
      </c>
      <c r="F129" s="127" t="s">
        <v>372</v>
      </c>
      <c r="G129" s="127" t="s">
        <v>10</v>
      </c>
      <c r="H129" s="54">
        <v>41061.64</v>
      </c>
      <c r="I129" s="138">
        <v>0.35</v>
      </c>
      <c r="J129" s="44" t="s">
        <v>848</v>
      </c>
    </row>
    <row r="130" spans="1:10" x14ac:dyDescent="0.3">
      <c r="A130" s="126" t="s">
        <v>390</v>
      </c>
      <c r="B130" s="126" t="s">
        <v>1019</v>
      </c>
      <c r="C130" s="53" t="s">
        <v>1117</v>
      </c>
      <c r="D130" s="53" t="s">
        <v>1118</v>
      </c>
      <c r="E130" s="131">
        <v>45713</v>
      </c>
      <c r="F130" s="127" t="s">
        <v>372</v>
      </c>
      <c r="G130" s="127" t="s">
        <v>10</v>
      </c>
      <c r="H130" s="54">
        <v>31019.93</v>
      </c>
      <c r="I130" s="138">
        <v>0.20599999999999999</v>
      </c>
      <c r="J130" s="44" t="s">
        <v>833</v>
      </c>
    </row>
    <row r="131" spans="1:10" x14ac:dyDescent="0.3">
      <c r="A131" s="126" t="s">
        <v>392</v>
      </c>
      <c r="B131" s="126" t="s">
        <v>1019</v>
      </c>
      <c r="C131" s="53" t="s">
        <v>1119</v>
      </c>
      <c r="D131" s="63" t="s">
        <v>1120</v>
      </c>
      <c r="E131" s="131">
        <v>45713</v>
      </c>
      <c r="F131" s="127" t="s">
        <v>372</v>
      </c>
      <c r="G131" s="127" t="s">
        <v>10</v>
      </c>
      <c r="H131" s="54">
        <v>2982.36</v>
      </c>
      <c r="I131" s="138">
        <v>0.46400000000000002</v>
      </c>
      <c r="J131" s="44" t="s">
        <v>848</v>
      </c>
    </row>
    <row r="132" spans="1:10" x14ac:dyDescent="0.3">
      <c r="A132" s="126" t="s">
        <v>390</v>
      </c>
      <c r="B132" s="126" t="s">
        <v>1019</v>
      </c>
      <c r="C132" s="53" t="s">
        <v>1121</v>
      </c>
      <c r="D132" s="53" t="s">
        <v>1122</v>
      </c>
      <c r="E132" s="131">
        <v>45713</v>
      </c>
      <c r="F132" s="127" t="s">
        <v>375</v>
      </c>
      <c r="G132" s="127" t="s">
        <v>62</v>
      </c>
      <c r="H132" s="54">
        <v>42337.5</v>
      </c>
      <c r="I132" s="138">
        <v>0.40500000000000003</v>
      </c>
      <c r="J132" s="44" t="s">
        <v>831</v>
      </c>
    </row>
    <row r="133" spans="1:10" x14ac:dyDescent="0.3">
      <c r="A133" s="126" t="s">
        <v>392</v>
      </c>
      <c r="B133" s="126" t="s">
        <v>1019</v>
      </c>
      <c r="C133" s="53" t="s">
        <v>1123</v>
      </c>
      <c r="D133" s="53" t="s">
        <v>1124</v>
      </c>
      <c r="E133" s="131">
        <v>45713</v>
      </c>
      <c r="F133" s="127" t="s">
        <v>842</v>
      </c>
      <c r="G133" s="127" t="s">
        <v>843</v>
      </c>
      <c r="H133" s="54">
        <v>22000</v>
      </c>
      <c r="I133" s="138">
        <v>0.4</v>
      </c>
      <c r="J133" s="44" t="s">
        <v>832</v>
      </c>
    </row>
    <row r="134" spans="1:10" x14ac:dyDescent="0.3">
      <c r="A134" s="126" t="s">
        <v>392</v>
      </c>
      <c r="B134" s="126" t="s">
        <v>1019</v>
      </c>
      <c r="C134" s="53" t="s">
        <v>1125</v>
      </c>
      <c r="D134" s="63" t="s">
        <v>1126</v>
      </c>
      <c r="E134" s="131">
        <v>45714</v>
      </c>
      <c r="F134" s="127" t="s">
        <v>372</v>
      </c>
      <c r="G134" s="127" t="s">
        <v>10</v>
      </c>
      <c r="H134" s="54">
        <v>42268.959999999999</v>
      </c>
      <c r="I134" s="138">
        <v>0.437</v>
      </c>
      <c r="J134" s="44" t="s">
        <v>848</v>
      </c>
    </row>
    <row r="135" spans="1:10" x14ac:dyDescent="0.3">
      <c r="A135" s="126" t="s">
        <v>392</v>
      </c>
      <c r="B135" s="126" t="s">
        <v>1019</v>
      </c>
      <c r="C135" s="53" t="s">
        <v>1127</v>
      </c>
      <c r="D135" s="63" t="s">
        <v>1128</v>
      </c>
      <c r="E135" s="131">
        <v>45714</v>
      </c>
      <c r="F135" s="127" t="s">
        <v>842</v>
      </c>
      <c r="G135" s="127" t="s">
        <v>843</v>
      </c>
      <c r="H135" s="54">
        <v>22000</v>
      </c>
      <c r="I135" s="138">
        <v>0.44700000000000001</v>
      </c>
      <c r="J135" s="44" t="s">
        <v>832</v>
      </c>
    </row>
    <row r="136" spans="1:10" x14ac:dyDescent="0.3">
      <c r="A136" s="126" t="s">
        <v>392</v>
      </c>
      <c r="B136" s="126" t="s">
        <v>1019</v>
      </c>
      <c r="C136" s="53" t="s">
        <v>1129</v>
      </c>
      <c r="D136" s="53" t="s">
        <v>1130</v>
      </c>
      <c r="E136" s="131">
        <v>45714</v>
      </c>
      <c r="F136" s="127" t="s">
        <v>842</v>
      </c>
      <c r="G136" s="127" t="s">
        <v>843</v>
      </c>
      <c r="H136" s="54">
        <v>22000</v>
      </c>
      <c r="I136" s="138">
        <v>0.44700000000000001</v>
      </c>
      <c r="J136" s="44" t="s">
        <v>832</v>
      </c>
    </row>
    <row r="137" spans="1:10" x14ac:dyDescent="0.3">
      <c r="A137" s="126" t="s">
        <v>392</v>
      </c>
      <c r="B137" s="126" t="s">
        <v>1019</v>
      </c>
      <c r="C137" s="53" t="s">
        <v>1131</v>
      </c>
      <c r="D137" s="53" t="s">
        <v>1132</v>
      </c>
      <c r="E137" s="131">
        <v>45714</v>
      </c>
      <c r="F137" s="127" t="s">
        <v>844</v>
      </c>
      <c r="G137" s="127" t="s">
        <v>863</v>
      </c>
      <c r="H137" s="54">
        <v>17000</v>
      </c>
      <c r="I137" s="138">
        <v>0.106</v>
      </c>
      <c r="J137" s="44" t="s">
        <v>831</v>
      </c>
    </row>
    <row r="138" spans="1:10" x14ac:dyDescent="0.3">
      <c r="A138" s="126" t="s">
        <v>392</v>
      </c>
      <c r="B138" s="126" t="s">
        <v>1019</v>
      </c>
      <c r="C138" s="53" t="s">
        <v>1133</v>
      </c>
      <c r="D138" s="53" t="s">
        <v>1134</v>
      </c>
      <c r="E138" s="131">
        <v>45714</v>
      </c>
      <c r="F138" s="127" t="s">
        <v>842</v>
      </c>
      <c r="G138" s="127" t="s">
        <v>843</v>
      </c>
      <c r="H138" s="54">
        <v>22000</v>
      </c>
      <c r="I138" s="138">
        <v>0.44400000000000001</v>
      </c>
      <c r="J138" s="44" t="s">
        <v>832</v>
      </c>
    </row>
    <row r="139" spans="1:10" x14ac:dyDescent="0.3">
      <c r="A139" s="126" t="s">
        <v>392</v>
      </c>
      <c r="B139" s="126" t="s">
        <v>1019</v>
      </c>
      <c r="C139" s="53" t="s">
        <v>1135</v>
      </c>
      <c r="D139" s="53" t="s">
        <v>1136</v>
      </c>
      <c r="E139" s="131">
        <v>45714</v>
      </c>
      <c r="F139" s="127" t="s">
        <v>842</v>
      </c>
      <c r="G139" s="127" t="s">
        <v>843</v>
      </c>
      <c r="H139" s="54">
        <v>22000</v>
      </c>
      <c r="I139" s="138">
        <v>0.44400000000000001</v>
      </c>
      <c r="J139" s="44" t="s">
        <v>832</v>
      </c>
    </row>
    <row r="140" spans="1:10" x14ac:dyDescent="0.3">
      <c r="A140" s="126" t="s">
        <v>392</v>
      </c>
      <c r="B140" s="126" t="s">
        <v>1019</v>
      </c>
      <c r="C140" s="53" t="s">
        <v>1137</v>
      </c>
      <c r="D140" s="53" t="s">
        <v>1138</v>
      </c>
      <c r="E140" s="131">
        <v>45714</v>
      </c>
      <c r="F140" s="127" t="s">
        <v>370</v>
      </c>
      <c r="G140" s="127" t="s">
        <v>63</v>
      </c>
      <c r="H140" s="54">
        <v>4099.5600000000004</v>
      </c>
      <c r="I140" s="138">
        <v>0.56100000000000005</v>
      </c>
      <c r="J140" s="44" t="s">
        <v>830</v>
      </c>
    </row>
    <row r="141" spans="1:10" x14ac:dyDescent="0.3">
      <c r="A141" s="126" t="s">
        <v>392</v>
      </c>
      <c r="B141" s="126" t="s">
        <v>1019</v>
      </c>
      <c r="C141" s="53" t="s">
        <v>1139</v>
      </c>
      <c r="D141" s="53" t="s">
        <v>1140</v>
      </c>
      <c r="E141" s="131">
        <v>45714</v>
      </c>
      <c r="F141" s="127" t="s">
        <v>370</v>
      </c>
      <c r="G141" s="127" t="s">
        <v>63</v>
      </c>
      <c r="H141" s="54">
        <v>6992.45</v>
      </c>
      <c r="I141" s="138">
        <v>0.48499999999999999</v>
      </c>
      <c r="J141" s="44" t="s">
        <v>830</v>
      </c>
    </row>
    <row r="142" spans="1:10" x14ac:dyDescent="0.3">
      <c r="A142" s="126" t="s">
        <v>392</v>
      </c>
      <c r="B142" s="126" t="s">
        <v>1019</v>
      </c>
      <c r="C142" s="53" t="s">
        <v>1141</v>
      </c>
      <c r="D142" s="53" t="s">
        <v>1142</v>
      </c>
      <c r="E142" s="131">
        <v>45714</v>
      </c>
      <c r="F142" s="127" t="s">
        <v>370</v>
      </c>
      <c r="G142" s="127" t="s">
        <v>63</v>
      </c>
      <c r="H142" s="54">
        <v>14034.9</v>
      </c>
      <c r="I142" s="138">
        <v>0.47299999999999998</v>
      </c>
      <c r="J142" s="44" t="s">
        <v>830</v>
      </c>
    </row>
    <row r="143" spans="1:10" x14ac:dyDescent="0.3">
      <c r="A143" s="126" t="s">
        <v>390</v>
      </c>
      <c r="B143" s="126" t="s">
        <v>1019</v>
      </c>
      <c r="C143" s="53" t="s">
        <v>1143</v>
      </c>
      <c r="D143" s="53" t="s">
        <v>1144</v>
      </c>
      <c r="E143" s="131">
        <v>45714</v>
      </c>
      <c r="F143" s="127" t="s">
        <v>372</v>
      </c>
      <c r="G143" s="127" t="s">
        <v>10</v>
      </c>
      <c r="H143" s="54">
        <v>101221.38</v>
      </c>
      <c r="I143" s="138">
        <v>0.36499999999999999</v>
      </c>
      <c r="J143" s="44" t="s">
        <v>833</v>
      </c>
    </row>
    <row r="144" spans="1:10" x14ac:dyDescent="0.3">
      <c r="A144" s="126" t="s">
        <v>390</v>
      </c>
      <c r="B144" s="126" t="s">
        <v>1019</v>
      </c>
      <c r="C144" s="53" t="s">
        <v>1145</v>
      </c>
      <c r="D144" s="53" t="s">
        <v>1146</v>
      </c>
      <c r="E144" s="131">
        <v>45715</v>
      </c>
      <c r="F144" s="127" t="s">
        <v>854</v>
      </c>
      <c r="G144" s="127" t="s">
        <v>855</v>
      </c>
      <c r="H144" s="54">
        <v>11572.07</v>
      </c>
      <c r="I144" s="138">
        <v>0.29899999999999999</v>
      </c>
      <c r="J144" s="44" t="s">
        <v>832</v>
      </c>
    </row>
    <row r="145" spans="1:10" x14ac:dyDescent="0.3">
      <c r="A145" s="126" t="s">
        <v>390</v>
      </c>
      <c r="B145" s="126" t="s">
        <v>1019</v>
      </c>
      <c r="C145" s="53" t="s">
        <v>1147</v>
      </c>
      <c r="D145" s="53" t="s">
        <v>1148</v>
      </c>
      <c r="E145" s="131">
        <v>45715</v>
      </c>
      <c r="F145" s="127" t="s">
        <v>375</v>
      </c>
      <c r="G145" s="127" t="s">
        <v>62</v>
      </c>
      <c r="H145" s="54">
        <v>16149.34</v>
      </c>
      <c r="I145" s="138">
        <v>0.59699999999999998</v>
      </c>
      <c r="J145" s="44" t="s">
        <v>831</v>
      </c>
    </row>
    <row r="146" spans="1:10" x14ac:dyDescent="0.3">
      <c r="A146" s="126" t="s">
        <v>392</v>
      </c>
      <c r="B146" s="126" t="s">
        <v>1019</v>
      </c>
      <c r="C146" s="53" t="s">
        <v>1149</v>
      </c>
      <c r="D146" s="53" t="s">
        <v>1150</v>
      </c>
      <c r="E146" s="131">
        <v>45715</v>
      </c>
      <c r="F146" s="127" t="s">
        <v>370</v>
      </c>
      <c r="G146" s="127" t="s">
        <v>63</v>
      </c>
      <c r="H146" s="54">
        <v>4092.8</v>
      </c>
      <c r="I146" s="138">
        <v>0.56000000000000005</v>
      </c>
      <c r="J146" s="44" t="s">
        <v>830</v>
      </c>
    </row>
    <row r="147" spans="1:10" x14ac:dyDescent="0.3">
      <c r="A147" s="126" t="s">
        <v>392</v>
      </c>
      <c r="B147" s="126" t="s">
        <v>1019</v>
      </c>
      <c r="C147" s="53" t="s">
        <v>1151</v>
      </c>
      <c r="D147" s="53" t="s">
        <v>1152</v>
      </c>
      <c r="E147" s="131">
        <v>45715</v>
      </c>
      <c r="F147" s="127" t="s">
        <v>370</v>
      </c>
      <c r="G147" s="127" t="s">
        <v>63</v>
      </c>
      <c r="H147" s="54">
        <v>20248.64</v>
      </c>
      <c r="I147" s="138">
        <v>0.63</v>
      </c>
      <c r="J147" s="44" t="s">
        <v>830</v>
      </c>
    </row>
    <row r="148" spans="1:10" x14ac:dyDescent="0.3">
      <c r="A148" s="126" t="s">
        <v>392</v>
      </c>
      <c r="B148" s="126" t="s">
        <v>1019</v>
      </c>
      <c r="C148" s="53" t="s">
        <v>1153</v>
      </c>
      <c r="D148" s="53" t="s">
        <v>1154</v>
      </c>
      <c r="E148" s="131">
        <v>45715</v>
      </c>
      <c r="F148" s="127" t="s">
        <v>844</v>
      </c>
      <c r="G148" s="127" t="s">
        <v>863</v>
      </c>
      <c r="H148" s="54">
        <v>13605.05</v>
      </c>
      <c r="I148" s="138">
        <v>2.1999999999999999E-2</v>
      </c>
      <c r="J148" s="44" t="s">
        <v>831</v>
      </c>
    </row>
    <row r="149" spans="1:10" x14ac:dyDescent="0.3">
      <c r="A149" s="126" t="s">
        <v>390</v>
      </c>
      <c r="B149" s="126" t="s">
        <v>1019</v>
      </c>
      <c r="C149" s="53" t="s">
        <v>1155</v>
      </c>
      <c r="D149" s="53" t="s">
        <v>1156</v>
      </c>
      <c r="E149" s="131">
        <v>45716</v>
      </c>
      <c r="F149" s="127" t="s">
        <v>375</v>
      </c>
      <c r="G149" s="127" t="s">
        <v>62</v>
      </c>
      <c r="H149" s="54">
        <v>42762.85</v>
      </c>
      <c r="I149" s="138">
        <v>0.32400000000000001</v>
      </c>
      <c r="J149" s="44" t="s">
        <v>831</v>
      </c>
    </row>
    <row r="150" spans="1:10" x14ac:dyDescent="0.3">
      <c r="A150" s="126" t="s">
        <v>392</v>
      </c>
      <c r="B150" s="126" t="s">
        <v>1019</v>
      </c>
      <c r="C150" s="53" t="s">
        <v>1157</v>
      </c>
      <c r="D150" s="53" t="s">
        <v>1158</v>
      </c>
      <c r="E150" s="131">
        <v>45716</v>
      </c>
      <c r="F150" s="127" t="s">
        <v>842</v>
      </c>
      <c r="G150" s="127" t="s">
        <v>843</v>
      </c>
      <c r="H150" s="54">
        <v>22000</v>
      </c>
      <c r="I150" s="138">
        <v>0.44400000000000001</v>
      </c>
      <c r="J150" s="44" t="s">
        <v>832</v>
      </c>
    </row>
    <row r="151" spans="1:10" x14ac:dyDescent="0.3">
      <c r="A151" s="126" t="s">
        <v>390</v>
      </c>
      <c r="B151" s="126" t="s">
        <v>1019</v>
      </c>
      <c r="C151" s="53" t="s">
        <v>1159</v>
      </c>
      <c r="D151" s="53" t="s">
        <v>1026</v>
      </c>
      <c r="E151" s="131">
        <v>45694</v>
      </c>
      <c r="F151" s="127" t="s">
        <v>375</v>
      </c>
      <c r="G151" s="127" t="s">
        <v>62</v>
      </c>
      <c r="H151" s="54">
        <v>6087.7084999999997</v>
      </c>
      <c r="I151" s="138">
        <v>0.36099999999999999</v>
      </c>
      <c r="J151" s="44" t="s">
        <v>831</v>
      </c>
    </row>
    <row r="152" spans="1:10" x14ac:dyDescent="0.3">
      <c r="A152" s="126" t="s">
        <v>390</v>
      </c>
      <c r="B152" s="126" t="s">
        <v>1019</v>
      </c>
      <c r="C152" s="53" t="s">
        <v>1160</v>
      </c>
      <c r="D152" s="53" t="s">
        <v>1161</v>
      </c>
      <c r="E152" s="131">
        <v>45694</v>
      </c>
      <c r="F152" s="127" t="s">
        <v>1174</v>
      </c>
      <c r="G152" s="127" t="s">
        <v>857</v>
      </c>
      <c r="H152" s="54">
        <v>1547.7224999999999</v>
      </c>
      <c r="I152" s="138">
        <v>0.78900000000000003</v>
      </c>
      <c r="J152" s="44" t="s">
        <v>831</v>
      </c>
    </row>
    <row r="153" spans="1:10" x14ac:dyDescent="0.3">
      <c r="A153" s="126" t="s">
        <v>390</v>
      </c>
      <c r="B153" s="126" t="s">
        <v>1019</v>
      </c>
      <c r="C153" s="53" t="s">
        <v>1162</v>
      </c>
      <c r="D153" s="53" t="s">
        <v>1161</v>
      </c>
      <c r="E153" s="131">
        <v>45701</v>
      </c>
      <c r="F153" s="127" t="s">
        <v>1175</v>
      </c>
      <c r="G153" s="127" t="s">
        <v>852</v>
      </c>
      <c r="H153" s="54">
        <v>5020.4665000000005</v>
      </c>
      <c r="I153" s="138">
        <v>0.78900000000000003</v>
      </c>
      <c r="J153" s="44" t="s">
        <v>831</v>
      </c>
    </row>
    <row r="154" spans="1:10" x14ac:dyDescent="0.3">
      <c r="A154" s="126" t="s">
        <v>390</v>
      </c>
      <c r="B154" s="126" t="s">
        <v>1019</v>
      </c>
      <c r="C154" s="53" t="s">
        <v>1163</v>
      </c>
      <c r="D154" s="53" t="s">
        <v>1161</v>
      </c>
      <c r="E154" s="131">
        <v>45701</v>
      </c>
      <c r="F154" s="127" t="s">
        <v>1175</v>
      </c>
      <c r="G154" s="127" t="s">
        <v>852</v>
      </c>
      <c r="H154" s="54">
        <v>2971.2965000000004</v>
      </c>
      <c r="I154" s="138">
        <v>0.78900000000000003</v>
      </c>
      <c r="J154" s="44" t="s">
        <v>831</v>
      </c>
    </row>
    <row r="155" spans="1:10" x14ac:dyDescent="0.3">
      <c r="A155" s="126" t="s">
        <v>390</v>
      </c>
      <c r="B155" s="126" t="s">
        <v>1019</v>
      </c>
      <c r="C155" s="53" t="s">
        <v>1164</v>
      </c>
      <c r="D155" s="53" t="s">
        <v>1165</v>
      </c>
      <c r="E155" s="131">
        <v>45701</v>
      </c>
      <c r="F155" s="127" t="s">
        <v>1176</v>
      </c>
      <c r="G155" s="127" t="s">
        <v>1177</v>
      </c>
      <c r="H155" s="54">
        <v>4815.5495000000001</v>
      </c>
      <c r="I155" s="138">
        <v>0.66600000000000004</v>
      </c>
      <c r="J155" s="44" t="s">
        <v>832</v>
      </c>
    </row>
    <row r="156" spans="1:10" x14ac:dyDescent="0.3">
      <c r="A156" s="126" t="s">
        <v>390</v>
      </c>
      <c r="B156" s="126" t="s">
        <v>1019</v>
      </c>
      <c r="C156" s="53" t="s">
        <v>1166</v>
      </c>
      <c r="D156" s="53" t="s">
        <v>1165</v>
      </c>
      <c r="E156" s="131">
        <v>45707</v>
      </c>
      <c r="F156" s="127" t="s">
        <v>1178</v>
      </c>
      <c r="G156" s="127" t="s">
        <v>1179</v>
      </c>
      <c r="H156" s="54">
        <v>2127.4785000000002</v>
      </c>
      <c r="I156" s="138">
        <v>0.66600000000000004</v>
      </c>
      <c r="J156" s="44" t="s">
        <v>832</v>
      </c>
    </row>
    <row r="157" spans="1:10" x14ac:dyDescent="0.3">
      <c r="A157" s="126" t="s">
        <v>390</v>
      </c>
      <c r="B157" s="126" t="s">
        <v>1019</v>
      </c>
      <c r="C157" s="53" t="s">
        <v>1167</v>
      </c>
      <c r="D157" s="53" t="s">
        <v>1165</v>
      </c>
      <c r="E157" s="131">
        <v>45707</v>
      </c>
      <c r="F157" s="127" t="s">
        <v>1178</v>
      </c>
      <c r="G157" s="127" t="s">
        <v>1179</v>
      </c>
      <c r="H157" s="54">
        <v>1013.085</v>
      </c>
      <c r="I157" s="138">
        <v>0.66600000000000004</v>
      </c>
      <c r="J157" s="44" t="s">
        <v>832</v>
      </c>
    </row>
    <row r="158" spans="1:10" x14ac:dyDescent="0.3">
      <c r="A158" s="126" t="s">
        <v>390</v>
      </c>
      <c r="B158" s="126" t="s">
        <v>1019</v>
      </c>
      <c r="C158" s="53" t="s">
        <v>1168</v>
      </c>
      <c r="D158" s="53" t="s">
        <v>991</v>
      </c>
      <c r="E158" s="131">
        <v>45712</v>
      </c>
      <c r="F158" s="127" t="s">
        <v>854</v>
      </c>
      <c r="G158" s="127" t="s">
        <v>855</v>
      </c>
      <c r="H158" s="54">
        <v>35094.78</v>
      </c>
      <c r="I158" s="138">
        <v>0.33700000000000002</v>
      </c>
      <c r="J158" s="44" t="s">
        <v>831</v>
      </c>
    </row>
    <row r="159" spans="1:10" x14ac:dyDescent="0.3">
      <c r="A159" s="126" t="s">
        <v>392</v>
      </c>
      <c r="B159" s="126" t="s">
        <v>1019</v>
      </c>
      <c r="C159" s="53" t="s">
        <v>1169</v>
      </c>
      <c r="D159" s="53" t="s">
        <v>1170</v>
      </c>
      <c r="E159" s="131">
        <v>45714</v>
      </c>
      <c r="F159" s="127" t="s">
        <v>844</v>
      </c>
      <c r="G159" s="127" t="s">
        <v>863</v>
      </c>
      <c r="H159" s="54">
        <v>125368.33749999999</v>
      </c>
      <c r="I159" s="138">
        <v>0.20799999999999999</v>
      </c>
      <c r="J159" s="44" t="s">
        <v>831</v>
      </c>
    </row>
    <row r="160" spans="1:10" x14ac:dyDescent="0.3">
      <c r="A160" s="126" t="s">
        <v>390</v>
      </c>
      <c r="B160" s="126" t="s">
        <v>1019</v>
      </c>
      <c r="C160" s="53" t="s">
        <v>1171</v>
      </c>
      <c r="D160" s="53" t="s">
        <v>1172</v>
      </c>
      <c r="E160" s="131">
        <v>45715</v>
      </c>
      <c r="F160" s="127" t="s">
        <v>1175</v>
      </c>
      <c r="G160" s="127" t="s">
        <v>852</v>
      </c>
      <c r="H160" s="54">
        <v>5004.7865000000002</v>
      </c>
      <c r="I160" s="138">
        <v>0.65600000000000003</v>
      </c>
      <c r="J160" s="44" t="s">
        <v>831</v>
      </c>
    </row>
    <row r="161" spans="1:10" x14ac:dyDescent="0.3">
      <c r="A161" s="126" t="s">
        <v>390</v>
      </c>
      <c r="B161" s="126" t="s">
        <v>1019</v>
      </c>
      <c r="C161" s="53" t="s">
        <v>1173</v>
      </c>
      <c r="D161" s="53" t="s">
        <v>1172</v>
      </c>
      <c r="E161" s="131">
        <v>45715</v>
      </c>
      <c r="F161" s="127" t="s">
        <v>1175</v>
      </c>
      <c r="G161" s="127" t="s">
        <v>852</v>
      </c>
      <c r="H161" s="54">
        <v>2553.4625000000001</v>
      </c>
      <c r="I161" s="138">
        <v>0.65600000000000003</v>
      </c>
      <c r="J161" s="44" t="s">
        <v>831</v>
      </c>
    </row>
    <row r="162" spans="1:10" x14ac:dyDescent="0.3">
      <c r="A162" s="126" t="s">
        <v>390</v>
      </c>
      <c r="B162" s="126" t="s">
        <v>6</v>
      </c>
      <c r="C162" s="53" t="s">
        <v>1180</v>
      </c>
      <c r="D162" s="53" t="s">
        <v>1181</v>
      </c>
      <c r="E162" s="131">
        <v>45720</v>
      </c>
      <c r="F162" s="127" t="s">
        <v>375</v>
      </c>
      <c r="G162" s="127" t="s">
        <v>62</v>
      </c>
      <c r="H162" s="54">
        <v>27923.01</v>
      </c>
      <c r="I162" s="138">
        <v>0.40400000000000003</v>
      </c>
      <c r="J162" s="44" t="s">
        <v>831</v>
      </c>
    </row>
    <row r="163" spans="1:10" x14ac:dyDescent="0.3">
      <c r="A163" s="126" t="s">
        <v>392</v>
      </c>
      <c r="B163" s="126" t="s">
        <v>6</v>
      </c>
      <c r="C163" s="53" t="s">
        <v>1182</v>
      </c>
      <c r="D163" s="53" t="s">
        <v>1183</v>
      </c>
      <c r="E163" s="131">
        <v>45721</v>
      </c>
      <c r="F163" s="127" t="s">
        <v>370</v>
      </c>
      <c r="G163" s="127" t="s">
        <v>1184</v>
      </c>
      <c r="H163" s="54">
        <v>14040.49</v>
      </c>
      <c r="I163" s="138">
        <v>0.47299999999999998</v>
      </c>
      <c r="J163" s="44" t="s">
        <v>830</v>
      </c>
    </row>
    <row r="164" spans="1:10" x14ac:dyDescent="0.3">
      <c r="A164" s="126" t="s">
        <v>392</v>
      </c>
      <c r="B164" s="126" t="s">
        <v>6</v>
      </c>
      <c r="C164" s="53" t="s">
        <v>1185</v>
      </c>
      <c r="D164" s="53" t="s">
        <v>1186</v>
      </c>
      <c r="E164" s="131">
        <v>45721</v>
      </c>
      <c r="F164" s="127" t="s">
        <v>370</v>
      </c>
      <c r="G164" s="127" t="s">
        <v>1184</v>
      </c>
      <c r="H164" s="54">
        <v>14040.49</v>
      </c>
      <c r="I164" s="138">
        <v>0.47299999999999998</v>
      </c>
      <c r="J164" s="44" t="s">
        <v>830</v>
      </c>
    </row>
    <row r="165" spans="1:10" x14ac:dyDescent="0.3">
      <c r="A165" s="126" t="s">
        <v>390</v>
      </c>
      <c r="B165" s="126" t="s">
        <v>6</v>
      </c>
      <c r="C165" s="53" t="s">
        <v>1187</v>
      </c>
      <c r="D165" s="53" t="s">
        <v>1188</v>
      </c>
      <c r="E165" s="131">
        <v>45722</v>
      </c>
      <c r="F165" s="127" t="s">
        <v>372</v>
      </c>
      <c r="G165" s="127" t="s">
        <v>10</v>
      </c>
      <c r="H165" s="54">
        <v>73861.990000000005</v>
      </c>
      <c r="I165" s="138">
        <v>0.22900000000000001</v>
      </c>
      <c r="J165" s="44" t="s">
        <v>833</v>
      </c>
    </row>
    <row r="166" spans="1:10" x14ac:dyDescent="0.3">
      <c r="A166" s="126" t="s">
        <v>392</v>
      </c>
      <c r="B166" s="126" t="s">
        <v>6</v>
      </c>
      <c r="C166" s="53" t="s">
        <v>1189</v>
      </c>
      <c r="D166" s="53" t="s">
        <v>1190</v>
      </c>
      <c r="E166" s="131">
        <v>45722</v>
      </c>
      <c r="F166" s="127" t="s">
        <v>370</v>
      </c>
      <c r="G166" s="127" t="s">
        <v>1184</v>
      </c>
      <c r="H166" s="54">
        <v>14163.85</v>
      </c>
      <c r="I166" s="138">
        <v>0.57599999999999996</v>
      </c>
      <c r="J166" s="44" t="s">
        <v>830</v>
      </c>
    </row>
    <row r="167" spans="1:10" x14ac:dyDescent="0.3">
      <c r="A167" s="126" t="s">
        <v>392</v>
      </c>
      <c r="B167" s="126" t="s">
        <v>6</v>
      </c>
      <c r="C167" s="53" t="s">
        <v>1191</v>
      </c>
      <c r="D167" s="53" t="s">
        <v>1192</v>
      </c>
      <c r="E167" s="131">
        <v>45722</v>
      </c>
      <c r="F167" s="127" t="s">
        <v>374</v>
      </c>
      <c r="G167" s="127" t="s">
        <v>17</v>
      </c>
      <c r="H167" s="54">
        <v>7700.77</v>
      </c>
      <c r="I167" s="138">
        <v>0.70099999999999996</v>
      </c>
      <c r="J167" s="44" t="s">
        <v>848</v>
      </c>
    </row>
    <row r="168" spans="1:10" x14ac:dyDescent="0.3">
      <c r="A168" s="126" t="s">
        <v>390</v>
      </c>
      <c r="B168" s="126" t="s">
        <v>6</v>
      </c>
      <c r="C168" s="53" t="s">
        <v>1193</v>
      </c>
      <c r="D168" s="53" t="s">
        <v>1194</v>
      </c>
      <c r="E168" s="131">
        <v>45722</v>
      </c>
      <c r="F168" s="127" t="s">
        <v>587</v>
      </c>
      <c r="G168" s="127" t="s">
        <v>11</v>
      </c>
      <c r="H168" s="54">
        <v>34700</v>
      </c>
      <c r="I168" s="138">
        <v>0.52600000000000002</v>
      </c>
      <c r="J168" s="44" t="s">
        <v>831</v>
      </c>
    </row>
    <row r="169" spans="1:10" x14ac:dyDescent="0.3">
      <c r="A169" s="126" t="s">
        <v>390</v>
      </c>
      <c r="B169" s="126" t="s">
        <v>6</v>
      </c>
      <c r="C169" s="53" t="s">
        <v>1195</v>
      </c>
      <c r="D169" s="53" t="s">
        <v>1196</v>
      </c>
      <c r="E169" s="131">
        <v>45726</v>
      </c>
      <c r="F169" s="127" t="s">
        <v>372</v>
      </c>
      <c r="G169" s="127" t="s">
        <v>10</v>
      </c>
      <c r="H169" s="54">
        <v>11340.08</v>
      </c>
      <c r="I169" s="138">
        <v>0.30299999999999999</v>
      </c>
      <c r="J169" s="44" t="s">
        <v>833</v>
      </c>
    </row>
    <row r="170" spans="1:10" x14ac:dyDescent="0.3">
      <c r="A170" s="126" t="s">
        <v>390</v>
      </c>
      <c r="B170" s="126" t="s">
        <v>6</v>
      </c>
      <c r="C170" s="53" t="s">
        <v>1197</v>
      </c>
      <c r="D170" s="53" t="s">
        <v>1198</v>
      </c>
      <c r="E170" s="131">
        <v>45728</v>
      </c>
      <c r="F170" s="127" t="s">
        <v>372</v>
      </c>
      <c r="G170" s="127" t="s">
        <v>10</v>
      </c>
      <c r="H170" s="54">
        <v>3540</v>
      </c>
      <c r="I170" s="138">
        <v>0.25900000000000001</v>
      </c>
      <c r="J170" s="44" t="s">
        <v>833</v>
      </c>
    </row>
    <row r="171" spans="1:10" x14ac:dyDescent="0.3">
      <c r="A171" s="126" t="s">
        <v>392</v>
      </c>
      <c r="B171" s="126" t="s">
        <v>6</v>
      </c>
      <c r="C171" s="53" t="s">
        <v>1199</v>
      </c>
      <c r="D171" s="53" t="s">
        <v>1200</v>
      </c>
      <c r="E171" s="131">
        <v>45729</v>
      </c>
      <c r="F171" s="127" t="s">
        <v>370</v>
      </c>
      <c r="G171" s="127" t="s">
        <v>1184</v>
      </c>
      <c r="H171" s="54">
        <v>4101.6000000000004</v>
      </c>
      <c r="I171" s="138">
        <v>0.56100000000000005</v>
      </c>
      <c r="J171" s="44" t="s">
        <v>830</v>
      </c>
    </row>
    <row r="172" spans="1:10" x14ac:dyDescent="0.3">
      <c r="A172" s="126" t="s">
        <v>392</v>
      </c>
      <c r="B172" s="126" t="s">
        <v>6</v>
      </c>
      <c r="C172" s="53" t="s">
        <v>1201</v>
      </c>
      <c r="D172" s="53" t="s">
        <v>1202</v>
      </c>
      <c r="E172" s="131">
        <v>45729</v>
      </c>
      <c r="F172" s="127" t="s">
        <v>370</v>
      </c>
      <c r="G172" s="127" t="s">
        <v>1184</v>
      </c>
      <c r="H172" s="54">
        <v>14155.54</v>
      </c>
      <c r="I172" s="138">
        <v>0.49099999999999999</v>
      </c>
      <c r="J172" s="44" t="s">
        <v>830</v>
      </c>
    </row>
    <row r="173" spans="1:10" x14ac:dyDescent="0.3">
      <c r="A173" s="126" t="s">
        <v>392</v>
      </c>
      <c r="B173" s="126" t="s">
        <v>6</v>
      </c>
      <c r="C173" s="53" t="s">
        <v>1203</v>
      </c>
      <c r="D173" s="53" t="s">
        <v>1204</v>
      </c>
      <c r="E173" s="131">
        <v>45729</v>
      </c>
      <c r="F173" s="127" t="s">
        <v>370</v>
      </c>
      <c r="G173" s="127" t="s">
        <v>1184</v>
      </c>
      <c r="H173" s="54">
        <v>8120.36</v>
      </c>
      <c r="I173" s="138">
        <v>0.68799999999999994</v>
      </c>
      <c r="J173" s="44" t="s">
        <v>830</v>
      </c>
    </row>
    <row r="174" spans="1:10" x14ac:dyDescent="0.3">
      <c r="A174" s="126" t="s">
        <v>392</v>
      </c>
      <c r="B174" s="126" t="s">
        <v>6</v>
      </c>
      <c r="C174" s="53" t="s">
        <v>1205</v>
      </c>
      <c r="D174" s="53" t="s">
        <v>1206</v>
      </c>
      <c r="E174" s="131">
        <v>45729</v>
      </c>
      <c r="F174" s="127" t="s">
        <v>370</v>
      </c>
      <c r="G174" s="127" t="s">
        <v>1184</v>
      </c>
      <c r="H174" s="54">
        <v>8120.36</v>
      </c>
      <c r="I174" s="138">
        <v>0.68799999999999994</v>
      </c>
      <c r="J174" s="44" t="s">
        <v>830</v>
      </c>
    </row>
    <row r="175" spans="1:10" x14ac:dyDescent="0.3">
      <c r="A175" s="126" t="s">
        <v>392</v>
      </c>
      <c r="B175" s="126" t="s">
        <v>6</v>
      </c>
      <c r="C175" s="53" t="s">
        <v>1207</v>
      </c>
      <c r="D175" s="53" t="s">
        <v>1208</v>
      </c>
      <c r="E175" s="131">
        <v>45729</v>
      </c>
      <c r="F175" s="127" t="s">
        <v>370</v>
      </c>
      <c r="G175" s="127" t="s">
        <v>1184</v>
      </c>
      <c r="H175" s="54">
        <v>8120.36</v>
      </c>
      <c r="I175" s="138">
        <v>0.68799999999999994</v>
      </c>
      <c r="J175" s="44" t="s">
        <v>830</v>
      </c>
    </row>
    <row r="176" spans="1:10" x14ac:dyDescent="0.3">
      <c r="A176" s="126" t="s">
        <v>392</v>
      </c>
      <c r="B176" s="126" t="s">
        <v>6</v>
      </c>
      <c r="C176" s="53" t="s">
        <v>1209</v>
      </c>
      <c r="D176" s="53" t="s">
        <v>1210</v>
      </c>
      <c r="E176" s="131">
        <v>45729</v>
      </c>
      <c r="F176" s="127" t="s">
        <v>370</v>
      </c>
      <c r="G176" s="127" t="s">
        <v>1184</v>
      </c>
      <c r="H176" s="54">
        <v>14155.54</v>
      </c>
      <c r="I176" s="138">
        <v>0.49099999999999999</v>
      </c>
      <c r="J176" s="44" t="s">
        <v>830</v>
      </c>
    </row>
    <row r="177" spans="1:10" x14ac:dyDescent="0.3">
      <c r="A177" s="126" t="s">
        <v>390</v>
      </c>
      <c r="B177" s="126" t="s">
        <v>6</v>
      </c>
      <c r="C177" s="53" t="s">
        <v>1211</v>
      </c>
      <c r="D177" s="53" t="s">
        <v>1212</v>
      </c>
      <c r="E177" s="131">
        <v>45730</v>
      </c>
      <c r="F177" s="127" t="s">
        <v>372</v>
      </c>
      <c r="G177" s="127" t="s">
        <v>10</v>
      </c>
      <c r="H177" s="54">
        <v>9517.7999999999993</v>
      </c>
      <c r="I177" s="138">
        <v>0.38600000000000001</v>
      </c>
      <c r="J177" s="44" t="s">
        <v>833</v>
      </c>
    </row>
    <row r="178" spans="1:10" x14ac:dyDescent="0.3">
      <c r="A178" s="126" t="s">
        <v>392</v>
      </c>
      <c r="B178" s="126" t="s">
        <v>6</v>
      </c>
      <c r="C178" s="53" t="s">
        <v>1213</v>
      </c>
      <c r="D178" s="53" t="s">
        <v>1214</v>
      </c>
      <c r="E178" s="131">
        <v>45730</v>
      </c>
      <c r="F178" s="127" t="s">
        <v>371</v>
      </c>
      <c r="G178" s="127" t="s">
        <v>864</v>
      </c>
      <c r="H178" s="54">
        <v>15356</v>
      </c>
      <c r="I178" s="138">
        <v>0.65</v>
      </c>
      <c r="J178" s="44" t="s">
        <v>848</v>
      </c>
    </row>
    <row r="179" spans="1:10" x14ac:dyDescent="0.3">
      <c r="A179" s="126" t="s">
        <v>390</v>
      </c>
      <c r="B179" s="126" t="s">
        <v>6</v>
      </c>
      <c r="C179" s="53" t="s">
        <v>1215</v>
      </c>
      <c r="D179" s="53" t="s">
        <v>1216</v>
      </c>
      <c r="E179" s="131">
        <v>45730</v>
      </c>
      <c r="F179" s="127" t="s">
        <v>375</v>
      </c>
      <c r="G179" s="127" t="s">
        <v>62</v>
      </c>
      <c r="H179" s="54">
        <v>16078.51</v>
      </c>
      <c r="I179" s="138">
        <v>0.39700000000000002</v>
      </c>
      <c r="J179" s="44" t="s">
        <v>831</v>
      </c>
    </row>
    <row r="180" spans="1:10" x14ac:dyDescent="0.3">
      <c r="A180" s="126" t="s">
        <v>392</v>
      </c>
      <c r="B180" s="126" t="s">
        <v>6</v>
      </c>
      <c r="C180" s="53" t="s">
        <v>1217</v>
      </c>
      <c r="D180" s="53" t="s">
        <v>1218</v>
      </c>
      <c r="E180" s="131">
        <v>45735</v>
      </c>
      <c r="F180" s="127" t="s">
        <v>842</v>
      </c>
      <c r="G180" s="127" t="s">
        <v>843</v>
      </c>
      <c r="H180" s="54">
        <v>22000</v>
      </c>
      <c r="I180" s="138">
        <v>0.44700000000000001</v>
      </c>
      <c r="J180" s="44" t="s">
        <v>832</v>
      </c>
    </row>
    <row r="181" spans="1:10" x14ac:dyDescent="0.3">
      <c r="A181" s="126" t="s">
        <v>392</v>
      </c>
      <c r="B181" s="126" t="s">
        <v>6</v>
      </c>
      <c r="C181" s="53" t="s">
        <v>1219</v>
      </c>
      <c r="D181" s="53" t="s">
        <v>1220</v>
      </c>
      <c r="E181" s="131">
        <v>45735</v>
      </c>
      <c r="F181" s="127" t="s">
        <v>842</v>
      </c>
      <c r="G181" s="127" t="s">
        <v>843</v>
      </c>
      <c r="H181" s="54">
        <v>22000</v>
      </c>
      <c r="I181" s="138">
        <v>0.44700000000000001</v>
      </c>
      <c r="J181" s="44" t="s">
        <v>832</v>
      </c>
    </row>
    <row r="182" spans="1:10" x14ac:dyDescent="0.3">
      <c r="A182" s="126" t="s">
        <v>392</v>
      </c>
      <c r="B182" s="126" t="s">
        <v>6</v>
      </c>
      <c r="C182" s="53" t="s">
        <v>1221</v>
      </c>
      <c r="D182" s="53" t="s">
        <v>1222</v>
      </c>
      <c r="E182" s="131">
        <v>45735</v>
      </c>
      <c r="F182" s="127" t="s">
        <v>842</v>
      </c>
      <c r="G182" s="127" t="s">
        <v>843</v>
      </c>
      <c r="H182" s="54">
        <v>22000</v>
      </c>
      <c r="I182" s="138">
        <v>0.44700000000000001</v>
      </c>
      <c r="J182" s="44" t="s">
        <v>832</v>
      </c>
    </row>
    <row r="183" spans="1:10" x14ac:dyDescent="0.3">
      <c r="A183" s="126" t="s">
        <v>392</v>
      </c>
      <c r="B183" s="126" t="s">
        <v>6</v>
      </c>
      <c r="C183" s="53" t="s">
        <v>1223</v>
      </c>
      <c r="D183" s="53" t="s">
        <v>1224</v>
      </c>
      <c r="E183" s="131">
        <v>45735</v>
      </c>
      <c r="F183" s="127" t="s">
        <v>842</v>
      </c>
      <c r="G183" s="127" t="s">
        <v>843</v>
      </c>
      <c r="H183" s="54">
        <v>22000</v>
      </c>
      <c r="I183" s="138">
        <v>0.44700000000000001</v>
      </c>
      <c r="J183" s="44" t="s">
        <v>832</v>
      </c>
    </row>
    <row r="184" spans="1:10" x14ac:dyDescent="0.3">
      <c r="A184" s="126" t="s">
        <v>390</v>
      </c>
      <c r="B184" s="126" t="s">
        <v>6</v>
      </c>
      <c r="C184" s="53" t="s">
        <v>1225</v>
      </c>
      <c r="D184" s="53" t="s">
        <v>1226</v>
      </c>
      <c r="E184" s="131">
        <v>45735</v>
      </c>
      <c r="F184" s="127" t="s">
        <v>376</v>
      </c>
      <c r="G184" s="127" t="s">
        <v>14</v>
      </c>
      <c r="H184" s="54">
        <v>19998</v>
      </c>
      <c r="I184" s="138">
        <v>0.55200000000000005</v>
      </c>
      <c r="J184" s="44" t="s">
        <v>832</v>
      </c>
    </row>
    <row r="185" spans="1:10" x14ac:dyDescent="0.3">
      <c r="A185" s="126" t="s">
        <v>392</v>
      </c>
      <c r="B185" s="126" t="s">
        <v>6</v>
      </c>
      <c r="C185" s="53" t="s">
        <v>1227</v>
      </c>
      <c r="D185" s="53" t="s">
        <v>1228</v>
      </c>
      <c r="E185" s="131">
        <v>45735</v>
      </c>
      <c r="F185" s="127" t="s">
        <v>370</v>
      </c>
      <c r="G185" s="127" t="s">
        <v>1184</v>
      </c>
      <c r="H185" s="54">
        <v>8005.74</v>
      </c>
      <c r="I185" s="138">
        <v>0.7006</v>
      </c>
      <c r="J185" s="44" t="s">
        <v>830</v>
      </c>
    </row>
    <row r="186" spans="1:10" x14ac:dyDescent="0.3">
      <c r="A186" s="126" t="s">
        <v>392</v>
      </c>
      <c r="B186" s="126" t="s">
        <v>6</v>
      </c>
      <c r="C186" s="53" t="s">
        <v>1229</v>
      </c>
      <c r="D186" s="53" t="s">
        <v>1230</v>
      </c>
      <c r="E186" s="131">
        <v>45735</v>
      </c>
      <c r="F186" s="127" t="s">
        <v>370</v>
      </c>
      <c r="G186" s="127" t="s">
        <v>1184</v>
      </c>
      <c r="H186" s="54">
        <v>8036.66</v>
      </c>
      <c r="I186" s="138">
        <v>0.70799999999999996</v>
      </c>
      <c r="J186" s="44" t="s">
        <v>830</v>
      </c>
    </row>
    <row r="187" spans="1:10" x14ac:dyDescent="0.3">
      <c r="A187" s="126" t="s">
        <v>392</v>
      </c>
      <c r="B187" s="126" t="s">
        <v>6</v>
      </c>
      <c r="C187" s="53" t="s">
        <v>1231</v>
      </c>
      <c r="D187" s="53" t="s">
        <v>1232</v>
      </c>
      <c r="E187" s="131">
        <v>45735</v>
      </c>
      <c r="F187" s="127" t="s">
        <v>370</v>
      </c>
      <c r="G187" s="127" t="s">
        <v>1184</v>
      </c>
      <c r="H187" s="54">
        <v>8008.44</v>
      </c>
      <c r="I187" s="138">
        <v>0.70699999999999996</v>
      </c>
      <c r="J187" s="44" t="s">
        <v>830</v>
      </c>
    </row>
    <row r="188" spans="1:10" x14ac:dyDescent="0.3">
      <c r="A188" s="126" t="s">
        <v>392</v>
      </c>
      <c r="B188" s="126" t="s">
        <v>6</v>
      </c>
      <c r="C188" s="53" t="s">
        <v>1233</v>
      </c>
      <c r="D188" s="53" t="s">
        <v>1234</v>
      </c>
      <c r="E188" s="131">
        <v>45735</v>
      </c>
      <c r="F188" s="127" t="s">
        <v>370</v>
      </c>
      <c r="G188" s="127" t="s">
        <v>1184</v>
      </c>
      <c r="H188" s="54">
        <v>8008.44</v>
      </c>
      <c r="I188" s="138">
        <v>0.70699999999999996</v>
      </c>
      <c r="J188" s="44" t="s">
        <v>830</v>
      </c>
    </row>
    <row r="189" spans="1:10" x14ac:dyDescent="0.3">
      <c r="A189" s="126" t="s">
        <v>392</v>
      </c>
      <c r="B189" s="126" t="s">
        <v>6</v>
      </c>
      <c r="C189" s="53" t="s">
        <v>1235</v>
      </c>
      <c r="D189" s="53" t="s">
        <v>1236</v>
      </c>
      <c r="E189" s="131">
        <v>45735</v>
      </c>
      <c r="F189" s="127" t="s">
        <v>370</v>
      </c>
      <c r="G189" s="127" t="s">
        <v>1184</v>
      </c>
      <c r="H189" s="54">
        <v>8008.44</v>
      </c>
      <c r="I189" s="138">
        <v>0.70699999999999996</v>
      </c>
      <c r="J189" s="44" t="s">
        <v>830</v>
      </c>
    </row>
    <row r="190" spans="1:10" x14ac:dyDescent="0.3">
      <c r="A190" s="126" t="s">
        <v>392</v>
      </c>
      <c r="B190" s="126" t="s">
        <v>6</v>
      </c>
      <c r="C190" s="53" t="s">
        <v>1237</v>
      </c>
      <c r="D190" s="53" t="s">
        <v>1238</v>
      </c>
      <c r="E190" s="131">
        <v>45735</v>
      </c>
      <c r="F190" s="127" t="s">
        <v>370</v>
      </c>
      <c r="G190" s="127" t="s">
        <v>1184</v>
      </c>
      <c r="H190" s="54">
        <v>8017.76</v>
      </c>
      <c r="I190" s="138">
        <v>0.70699999999999996</v>
      </c>
      <c r="J190" s="44" t="s">
        <v>830</v>
      </c>
    </row>
    <row r="191" spans="1:10" x14ac:dyDescent="0.3">
      <c r="A191" s="126" t="s">
        <v>392</v>
      </c>
      <c r="B191" s="126" t="s">
        <v>6</v>
      </c>
      <c r="C191" s="53" t="s">
        <v>1239</v>
      </c>
      <c r="D191" s="53" t="s">
        <v>1240</v>
      </c>
      <c r="E191" s="131">
        <v>45735</v>
      </c>
      <c r="F191" s="127" t="s">
        <v>370</v>
      </c>
      <c r="G191" s="127" t="s">
        <v>1184</v>
      </c>
      <c r="H191" s="54">
        <v>8017.76</v>
      </c>
      <c r="I191" s="138">
        <v>0.70699999999999996</v>
      </c>
      <c r="J191" s="44" t="s">
        <v>830</v>
      </c>
    </row>
    <row r="192" spans="1:10" x14ac:dyDescent="0.3">
      <c r="A192" s="126" t="s">
        <v>390</v>
      </c>
      <c r="B192" s="126" t="s">
        <v>6</v>
      </c>
      <c r="C192" s="53" t="s">
        <v>1241</v>
      </c>
      <c r="D192" s="53" t="s">
        <v>1242</v>
      </c>
      <c r="E192" s="131">
        <v>45736</v>
      </c>
      <c r="F192" s="127" t="s">
        <v>371</v>
      </c>
      <c r="G192" s="127" t="s">
        <v>864</v>
      </c>
      <c r="H192" s="54">
        <v>30790.959999999999</v>
      </c>
      <c r="I192" s="138">
        <v>0.23300000000000001</v>
      </c>
      <c r="J192" s="44" t="s">
        <v>833</v>
      </c>
    </row>
    <row r="193" spans="1:10" x14ac:dyDescent="0.3">
      <c r="A193" s="126" t="s">
        <v>392</v>
      </c>
      <c r="B193" s="126" t="s">
        <v>6</v>
      </c>
      <c r="C193" s="53" t="s">
        <v>1243</v>
      </c>
      <c r="D193" s="53" t="s">
        <v>1244</v>
      </c>
      <c r="E193" s="131">
        <v>45736</v>
      </c>
      <c r="F193" s="127" t="s">
        <v>370</v>
      </c>
      <c r="G193" s="127" t="s">
        <v>1184</v>
      </c>
      <c r="H193" s="54">
        <v>20221.04</v>
      </c>
      <c r="I193" s="138">
        <v>0.68600000000000005</v>
      </c>
      <c r="J193" s="44" t="s">
        <v>830</v>
      </c>
    </row>
    <row r="194" spans="1:10" x14ac:dyDescent="0.3">
      <c r="A194" s="126" t="s">
        <v>392</v>
      </c>
      <c r="B194" s="126" t="s">
        <v>6</v>
      </c>
      <c r="C194" s="53" t="s">
        <v>1245</v>
      </c>
      <c r="D194" s="53" t="s">
        <v>1246</v>
      </c>
      <c r="E194" s="131">
        <v>45736</v>
      </c>
      <c r="F194" s="127" t="s">
        <v>370</v>
      </c>
      <c r="G194" s="127" t="s">
        <v>1184</v>
      </c>
      <c r="H194" s="54">
        <v>14001.64</v>
      </c>
      <c r="I194" s="138">
        <v>0.55000000000000004</v>
      </c>
      <c r="J194" s="44" t="s">
        <v>830</v>
      </c>
    </row>
    <row r="195" spans="1:10" x14ac:dyDescent="0.3">
      <c r="A195" s="126" t="s">
        <v>390</v>
      </c>
      <c r="B195" s="126" t="s">
        <v>6</v>
      </c>
      <c r="C195" s="53" t="s">
        <v>1247</v>
      </c>
      <c r="D195" s="53" t="s">
        <v>1181</v>
      </c>
      <c r="E195" s="131">
        <v>45736</v>
      </c>
      <c r="F195" s="127" t="s">
        <v>375</v>
      </c>
      <c r="G195" s="127" t="s">
        <v>62</v>
      </c>
      <c r="H195" s="54">
        <v>11000</v>
      </c>
      <c r="I195" s="138">
        <v>0.40400000000000003</v>
      </c>
      <c r="J195" s="44" t="s">
        <v>831</v>
      </c>
    </row>
    <row r="196" spans="1:10" x14ac:dyDescent="0.3">
      <c r="A196" s="126" t="s">
        <v>390</v>
      </c>
      <c r="B196" s="126" t="s">
        <v>6</v>
      </c>
      <c r="C196" s="53" t="s">
        <v>1248</v>
      </c>
      <c r="D196" s="53" t="s">
        <v>1249</v>
      </c>
      <c r="E196" s="131">
        <v>45736</v>
      </c>
      <c r="F196" s="127" t="s">
        <v>844</v>
      </c>
      <c r="G196" s="127" t="s">
        <v>863</v>
      </c>
      <c r="H196" s="54">
        <v>15556</v>
      </c>
      <c r="I196" s="138">
        <v>0.25900000000000001</v>
      </c>
      <c r="J196" s="44" t="s">
        <v>831</v>
      </c>
    </row>
    <row r="197" spans="1:10" x14ac:dyDescent="0.3">
      <c r="A197" s="126" t="s">
        <v>390</v>
      </c>
      <c r="B197" s="126" t="s">
        <v>6</v>
      </c>
      <c r="C197" s="53" t="s">
        <v>1250</v>
      </c>
      <c r="D197" s="53" t="s">
        <v>1251</v>
      </c>
      <c r="E197" s="131">
        <v>45736</v>
      </c>
      <c r="F197" s="127" t="s">
        <v>371</v>
      </c>
      <c r="G197" s="127" t="s">
        <v>864</v>
      </c>
      <c r="H197" s="54">
        <v>13943.68</v>
      </c>
      <c r="I197" s="138">
        <v>0.51</v>
      </c>
      <c r="J197" s="44" t="s">
        <v>832</v>
      </c>
    </row>
    <row r="198" spans="1:10" x14ac:dyDescent="0.3">
      <c r="A198" s="126" t="s">
        <v>392</v>
      </c>
      <c r="B198" s="126" t="s">
        <v>6</v>
      </c>
      <c r="C198" s="53" t="s">
        <v>1252</v>
      </c>
      <c r="D198" s="53" t="s">
        <v>1253</v>
      </c>
      <c r="E198" s="131">
        <v>45737</v>
      </c>
      <c r="F198" s="127" t="s">
        <v>372</v>
      </c>
      <c r="G198" s="127" t="s">
        <v>10</v>
      </c>
      <c r="H198" s="54">
        <v>3041.66</v>
      </c>
      <c r="I198" s="138">
        <v>0.41</v>
      </c>
      <c r="J198" s="44" t="s">
        <v>848</v>
      </c>
    </row>
    <row r="199" spans="1:10" x14ac:dyDescent="0.3">
      <c r="A199" s="126" t="s">
        <v>392</v>
      </c>
      <c r="B199" s="126" t="s">
        <v>6</v>
      </c>
      <c r="C199" s="53" t="s">
        <v>1254</v>
      </c>
      <c r="D199" s="53" t="s">
        <v>1255</v>
      </c>
      <c r="E199" s="131">
        <v>45737</v>
      </c>
      <c r="F199" s="127" t="s">
        <v>370</v>
      </c>
      <c r="G199" s="127" t="s">
        <v>1184</v>
      </c>
      <c r="H199" s="54">
        <v>14001.64</v>
      </c>
      <c r="I199" s="138">
        <v>0.55000000000000004</v>
      </c>
      <c r="J199" s="44" t="s">
        <v>830</v>
      </c>
    </row>
    <row r="200" spans="1:10" x14ac:dyDescent="0.3">
      <c r="A200" s="126" t="s">
        <v>392</v>
      </c>
      <c r="B200" s="126" t="s">
        <v>6</v>
      </c>
      <c r="C200" s="53" t="s">
        <v>1256</v>
      </c>
      <c r="D200" s="53" t="s">
        <v>1257</v>
      </c>
      <c r="E200" s="131">
        <v>45737</v>
      </c>
      <c r="F200" s="127" t="s">
        <v>844</v>
      </c>
      <c r="G200" s="127" t="s">
        <v>863</v>
      </c>
      <c r="H200" s="54">
        <v>15525</v>
      </c>
      <c r="I200" s="138">
        <v>3.4000000000000002E-2</v>
      </c>
      <c r="J200" s="44" t="s">
        <v>831</v>
      </c>
    </row>
    <row r="201" spans="1:10" x14ac:dyDescent="0.3">
      <c r="A201" s="126" t="s">
        <v>390</v>
      </c>
      <c r="B201" s="126" t="s">
        <v>6</v>
      </c>
      <c r="C201" s="53" t="s">
        <v>1258</v>
      </c>
      <c r="D201" s="53" t="s">
        <v>1259</v>
      </c>
      <c r="E201" s="131">
        <v>45737</v>
      </c>
      <c r="F201" s="127" t="s">
        <v>371</v>
      </c>
      <c r="G201" s="127" t="s">
        <v>864</v>
      </c>
      <c r="H201" s="54">
        <v>13193.61</v>
      </c>
      <c r="I201" s="138">
        <v>0.52700000000000002</v>
      </c>
      <c r="J201" s="44" t="s">
        <v>832</v>
      </c>
    </row>
    <row r="202" spans="1:10" x14ac:dyDescent="0.3">
      <c r="A202" s="126" t="s">
        <v>392</v>
      </c>
      <c r="B202" s="126" t="s">
        <v>6</v>
      </c>
      <c r="C202" s="53" t="s">
        <v>1260</v>
      </c>
      <c r="D202" s="53" t="s">
        <v>1261</v>
      </c>
      <c r="E202" s="131">
        <v>45737</v>
      </c>
      <c r="F202" s="127" t="s">
        <v>842</v>
      </c>
      <c r="G202" s="127" t="s">
        <v>843</v>
      </c>
      <c r="H202" s="54">
        <v>22000</v>
      </c>
      <c r="I202" s="138">
        <v>0.442</v>
      </c>
      <c r="J202" s="44" t="s">
        <v>832</v>
      </c>
    </row>
    <row r="203" spans="1:10" x14ac:dyDescent="0.3">
      <c r="A203" s="126" t="s">
        <v>392</v>
      </c>
      <c r="B203" s="126" t="s">
        <v>6</v>
      </c>
      <c r="C203" s="53" t="s">
        <v>1262</v>
      </c>
      <c r="D203" s="53" t="s">
        <v>1263</v>
      </c>
      <c r="E203" s="131">
        <v>45737</v>
      </c>
      <c r="F203" s="127" t="s">
        <v>842</v>
      </c>
      <c r="G203" s="127" t="s">
        <v>843</v>
      </c>
      <c r="H203" s="54">
        <v>22000</v>
      </c>
      <c r="I203" s="138">
        <v>0.441</v>
      </c>
      <c r="J203" s="44" t="s">
        <v>832</v>
      </c>
    </row>
    <row r="204" spans="1:10" x14ac:dyDescent="0.3">
      <c r="A204" s="126" t="s">
        <v>392</v>
      </c>
      <c r="B204" s="126" t="s">
        <v>6</v>
      </c>
      <c r="C204" s="53" t="s">
        <v>1264</v>
      </c>
      <c r="D204" s="53" t="s">
        <v>1265</v>
      </c>
      <c r="E204" s="131">
        <v>45737</v>
      </c>
      <c r="F204" s="127" t="s">
        <v>842</v>
      </c>
      <c r="G204" s="127" t="s">
        <v>843</v>
      </c>
      <c r="H204" s="54">
        <v>22000</v>
      </c>
      <c r="I204" s="138">
        <v>0.443</v>
      </c>
      <c r="J204" s="44" t="s">
        <v>832</v>
      </c>
    </row>
    <row r="205" spans="1:10" x14ac:dyDescent="0.3">
      <c r="A205" s="126" t="s">
        <v>392</v>
      </c>
      <c r="B205" s="126" t="s">
        <v>6</v>
      </c>
      <c r="C205" s="53" t="s">
        <v>1266</v>
      </c>
      <c r="D205" s="53" t="s">
        <v>1267</v>
      </c>
      <c r="E205" s="131">
        <v>45737</v>
      </c>
      <c r="F205" s="127" t="s">
        <v>842</v>
      </c>
      <c r="G205" s="127" t="s">
        <v>843</v>
      </c>
      <c r="H205" s="54">
        <v>22000</v>
      </c>
      <c r="I205" s="138">
        <v>0.441</v>
      </c>
      <c r="J205" s="44" t="s">
        <v>832</v>
      </c>
    </row>
    <row r="206" spans="1:10" x14ac:dyDescent="0.3">
      <c r="A206" s="126" t="s">
        <v>392</v>
      </c>
      <c r="B206" s="126" t="s">
        <v>6</v>
      </c>
      <c r="C206" s="53" t="s">
        <v>1268</v>
      </c>
      <c r="D206" s="53" t="s">
        <v>1269</v>
      </c>
      <c r="E206" s="131">
        <v>45737</v>
      </c>
      <c r="F206" s="127" t="s">
        <v>842</v>
      </c>
      <c r="G206" s="127" t="s">
        <v>843</v>
      </c>
      <c r="H206" s="54">
        <v>22000</v>
      </c>
      <c r="I206" s="138">
        <v>0.43099999999999999</v>
      </c>
      <c r="J206" s="44" t="s">
        <v>832</v>
      </c>
    </row>
    <row r="207" spans="1:10" x14ac:dyDescent="0.3">
      <c r="A207" s="126" t="s">
        <v>392</v>
      </c>
      <c r="B207" s="126" t="s">
        <v>6</v>
      </c>
      <c r="C207" s="53" t="s">
        <v>1270</v>
      </c>
      <c r="D207" s="53" t="s">
        <v>1271</v>
      </c>
      <c r="E207" s="131">
        <v>45737</v>
      </c>
      <c r="F207" s="127" t="s">
        <v>842</v>
      </c>
      <c r="G207" s="127" t="s">
        <v>843</v>
      </c>
      <c r="H207" s="54">
        <v>22000</v>
      </c>
      <c r="I207" s="138">
        <v>0.43099999999999999</v>
      </c>
      <c r="J207" s="44" t="s">
        <v>832</v>
      </c>
    </row>
    <row r="208" spans="1:10" x14ac:dyDescent="0.3">
      <c r="A208" s="126" t="s">
        <v>392</v>
      </c>
      <c r="B208" s="126" t="s">
        <v>6</v>
      </c>
      <c r="C208" s="53" t="s">
        <v>1272</v>
      </c>
      <c r="D208" s="53" t="s">
        <v>1273</v>
      </c>
      <c r="E208" s="131">
        <v>45737</v>
      </c>
      <c r="F208" s="127" t="s">
        <v>842</v>
      </c>
      <c r="G208" s="127" t="s">
        <v>843</v>
      </c>
      <c r="H208" s="54">
        <v>22000</v>
      </c>
      <c r="I208" s="138">
        <v>0.43099999999999999</v>
      </c>
      <c r="J208" s="44" t="s">
        <v>832</v>
      </c>
    </row>
    <row r="209" spans="1:10" x14ac:dyDescent="0.3">
      <c r="A209" s="126" t="s">
        <v>390</v>
      </c>
      <c r="B209" s="126" t="s">
        <v>6</v>
      </c>
      <c r="C209" s="53" t="s">
        <v>1274</v>
      </c>
      <c r="D209" s="53" t="s">
        <v>1275</v>
      </c>
      <c r="E209" s="131">
        <v>45737</v>
      </c>
      <c r="F209" s="127" t="s">
        <v>372</v>
      </c>
      <c r="G209" s="127" t="s">
        <v>10</v>
      </c>
      <c r="H209" s="54">
        <v>73837.66</v>
      </c>
      <c r="I209" s="138">
        <v>0.23100000000000001</v>
      </c>
      <c r="J209" s="44" t="s">
        <v>833</v>
      </c>
    </row>
    <row r="210" spans="1:10" x14ac:dyDescent="0.3">
      <c r="A210" s="126" t="s">
        <v>392</v>
      </c>
      <c r="B210" s="126" t="s">
        <v>6</v>
      </c>
      <c r="C210" s="53" t="s">
        <v>1276</v>
      </c>
      <c r="D210" s="53" t="s">
        <v>1277</v>
      </c>
      <c r="E210" s="131">
        <v>45740</v>
      </c>
      <c r="F210" s="127" t="s">
        <v>372</v>
      </c>
      <c r="G210" s="127" t="s">
        <v>10</v>
      </c>
      <c r="H210" s="54">
        <v>22496.9</v>
      </c>
      <c r="I210" s="138">
        <v>0.45300000000000001</v>
      </c>
      <c r="J210" s="44" t="s">
        <v>848</v>
      </c>
    </row>
    <row r="211" spans="1:10" x14ac:dyDescent="0.3">
      <c r="A211" s="126" t="s">
        <v>392</v>
      </c>
      <c r="B211" s="126" t="s">
        <v>6</v>
      </c>
      <c r="C211" s="53" t="s">
        <v>1278</v>
      </c>
      <c r="D211" s="53" t="s">
        <v>1279</v>
      </c>
      <c r="E211" s="131">
        <v>45740</v>
      </c>
      <c r="F211" s="127" t="s">
        <v>372</v>
      </c>
      <c r="G211" s="127" t="s">
        <v>10</v>
      </c>
      <c r="H211" s="54">
        <v>22473.86</v>
      </c>
      <c r="I211" s="138">
        <v>0.45300000000000001</v>
      </c>
      <c r="J211" s="44" t="s">
        <v>848</v>
      </c>
    </row>
    <row r="212" spans="1:10" x14ac:dyDescent="0.3">
      <c r="A212" s="126" t="s">
        <v>390</v>
      </c>
      <c r="B212" s="126" t="s">
        <v>6</v>
      </c>
      <c r="C212" s="53" t="s">
        <v>1280</v>
      </c>
      <c r="D212" s="53" t="s">
        <v>1281</v>
      </c>
      <c r="E212" s="131">
        <v>45740</v>
      </c>
      <c r="F212" s="127" t="s">
        <v>370</v>
      </c>
      <c r="G212" s="127" t="s">
        <v>1184</v>
      </c>
      <c r="H212" s="54">
        <v>49156.6</v>
      </c>
      <c r="I212" s="138">
        <v>0.23799999999999999</v>
      </c>
      <c r="J212" s="44" t="s">
        <v>833</v>
      </c>
    </row>
    <row r="213" spans="1:10" x14ac:dyDescent="0.3">
      <c r="A213" s="126" t="s">
        <v>390</v>
      </c>
      <c r="B213" s="126" t="s">
        <v>6</v>
      </c>
      <c r="C213" s="53" t="s">
        <v>1282</v>
      </c>
      <c r="D213" s="53" t="s">
        <v>1281</v>
      </c>
      <c r="E213" s="131">
        <v>45740</v>
      </c>
      <c r="F213" s="127" t="s">
        <v>370</v>
      </c>
      <c r="G213" s="127" t="s">
        <v>1184</v>
      </c>
      <c r="H213" s="54">
        <v>80600.87</v>
      </c>
      <c r="I213" s="138">
        <v>0.23799999999999999</v>
      </c>
      <c r="J213" s="44" t="s">
        <v>833</v>
      </c>
    </row>
    <row r="214" spans="1:10" x14ac:dyDescent="0.3">
      <c r="A214" s="126" t="s">
        <v>390</v>
      </c>
      <c r="B214" s="126" t="s">
        <v>6</v>
      </c>
      <c r="C214" s="53" t="s">
        <v>1283</v>
      </c>
      <c r="D214" s="53" t="s">
        <v>1284</v>
      </c>
      <c r="E214" s="131">
        <v>45741</v>
      </c>
      <c r="F214" s="127" t="s">
        <v>811</v>
      </c>
      <c r="G214" s="127" t="s">
        <v>813</v>
      </c>
      <c r="H214" s="54">
        <v>25217.02</v>
      </c>
      <c r="I214" s="138">
        <v>0.254</v>
      </c>
      <c r="J214" s="44" t="s">
        <v>832</v>
      </c>
    </row>
    <row r="215" spans="1:10" x14ac:dyDescent="0.3">
      <c r="A215" s="126" t="s">
        <v>392</v>
      </c>
      <c r="B215" s="126" t="s">
        <v>6</v>
      </c>
      <c r="C215" s="53" t="s">
        <v>1285</v>
      </c>
      <c r="D215" s="53" t="s">
        <v>1286</v>
      </c>
      <c r="E215" s="131">
        <v>45741</v>
      </c>
      <c r="F215" s="127" t="s">
        <v>370</v>
      </c>
      <c r="G215" s="127" t="s">
        <v>1184</v>
      </c>
      <c r="H215" s="54">
        <v>7961.06</v>
      </c>
      <c r="I215" s="138">
        <v>0.70499999999999996</v>
      </c>
      <c r="J215" s="44" t="s">
        <v>830</v>
      </c>
    </row>
    <row r="216" spans="1:10" x14ac:dyDescent="0.3">
      <c r="A216" s="126" t="s">
        <v>392</v>
      </c>
      <c r="B216" s="126" t="s">
        <v>6</v>
      </c>
      <c r="C216" s="53" t="s">
        <v>1287</v>
      </c>
      <c r="D216" s="53" t="s">
        <v>1288</v>
      </c>
      <c r="E216" s="131">
        <v>45741</v>
      </c>
      <c r="F216" s="127" t="s">
        <v>370</v>
      </c>
      <c r="G216" s="127" t="s">
        <v>1184</v>
      </c>
      <c r="H216" s="54">
        <v>7961.06</v>
      </c>
      <c r="I216" s="138">
        <v>0.70499999999999996</v>
      </c>
      <c r="J216" s="44" t="s">
        <v>830</v>
      </c>
    </row>
    <row r="217" spans="1:10" x14ac:dyDescent="0.3">
      <c r="A217" s="126" t="s">
        <v>392</v>
      </c>
      <c r="B217" s="126" t="s">
        <v>6</v>
      </c>
      <c r="C217" s="53" t="s">
        <v>1289</v>
      </c>
      <c r="D217" s="53" t="s">
        <v>1290</v>
      </c>
      <c r="E217" s="131">
        <v>45741</v>
      </c>
      <c r="F217" s="127" t="s">
        <v>370</v>
      </c>
      <c r="G217" s="127" t="s">
        <v>1184</v>
      </c>
      <c r="H217" s="54">
        <v>7961.06</v>
      </c>
      <c r="I217" s="138">
        <v>0.70499999999999996</v>
      </c>
      <c r="J217" s="44" t="s">
        <v>830</v>
      </c>
    </row>
    <row r="218" spans="1:10" x14ac:dyDescent="0.3">
      <c r="A218" s="126" t="s">
        <v>392</v>
      </c>
      <c r="B218" s="126" t="s">
        <v>6</v>
      </c>
      <c r="C218" s="53" t="s">
        <v>1291</v>
      </c>
      <c r="D218" s="53" t="s">
        <v>1292</v>
      </c>
      <c r="E218" s="131">
        <v>45741</v>
      </c>
      <c r="F218" s="127" t="s">
        <v>370</v>
      </c>
      <c r="G218" s="127" t="s">
        <v>1184</v>
      </c>
      <c r="H218" s="54">
        <v>6947.67</v>
      </c>
      <c r="I218" s="138">
        <v>0.48199999999999998</v>
      </c>
      <c r="J218" s="44" t="s">
        <v>830</v>
      </c>
    </row>
    <row r="219" spans="1:10" x14ac:dyDescent="0.3">
      <c r="A219" s="126" t="s">
        <v>392</v>
      </c>
      <c r="B219" s="126" t="s">
        <v>6</v>
      </c>
      <c r="C219" s="53" t="s">
        <v>1293</v>
      </c>
      <c r="D219" s="53" t="s">
        <v>1294</v>
      </c>
      <c r="E219" s="131">
        <v>45741</v>
      </c>
      <c r="F219" s="127" t="s">
        <v>370</v>
      </c>
      <c r="G219" s="127" t="s">
        <v>1184</v>
      </c>
      <c r="H219" s="54">
        <v>6947.67</v>
      </c>
      <c r="I219" s="138">
        <v>0.48199999999999998</v>
      </c>
      <c r="J219" s="44" t="s">
        <v>830</v>
      </c>
    </row>
    <row r="220" spans="1:10" x14ac:dyDescent="0.3">
      <c r="A220" s="126" t="s">
        <v>392</v>
      </c>
      <c r="B220" s="126" t="s">
        <v>6</v>
      </c>
      <c r="C220" s="53" t="s">
        <v>1295</v>
      </c>
      <c r="D220" s="53" t="s">
        <v>1296</v>
      </c>
      <c r="E220" s="131">
        <v>45741</v>
      </c>
      <c r="F220" s="127" t="s">
        <v>370</v>
      </c>
      <c r="G220" s="127" t="s">
        <v>1184</v>
      </c>
      <c r="H220" s="54">
        <v>3996.9</v>
      </c>
      <c r="I220" s="138">
        <v>0.55000000000000004</v>
      </c>
      <c r="J220" s="44" t="s">
        <v>830</v>
      </c>
    </row>
    <row r="221" spans="1:10" x14ac:dyDescent="0.3">
      <c r="A221" s="126" t="s">
        <v>390</v>
      </c>
      <c r="B221" s="126" t="s">
        <v>6</v>
      </c>
      <c r="C221" s="53" t="s">
        <v>1297</v>
      </c>
      <c r="D221" s="53" t="s">
        <v>1298</v>
      </c>
      <c r="E221" s="131">
        <v>45741</v>
      </c>
      <c r="F221" s="127" t="s">
        <v>370</v>
      </c>
      <c r="G221" s="127" t="s">
        <v>1184</v>
      </c>
      <c r="H221" s="54">
        <v>47558.44</v>
      </c>
      <c r="I221" s="138">
        <v>0.38400000000000001</v>
      </c>
      <c r="J221" s="44" t="s">
        <v>830</v>
      </c>
    </row>
    <row r="222" spans="1:10" x14ac:dyDescent="0.3">
      <c r="A222" s="126" t="s">
        <v>392</v>
      </c>
      <c r="B222" s="126" t="s">
        <v>6</v>
      </c>
      <c r="C222" s="53" t="s">
        <v>1299</v>
      </c>
      <c r="D222" s="53" t="s">
        <v>1300</v>
      </c>
      <c r="E222" s="131">
        <v>45741</v>
      </c>
      <c r="F222" s="127" t="s">
        <v>842</v>
      </c>
      <c r="G222" s="127" t="s">
        <v>843</v>
      </c>
      <c r="H222" s="54">
        <v>22000</v>
      </c>
      <c r="I222" s="138">
        <v>0.442</v>
      </c>
      <c r="J222" s="44" t="s">
        <v>832</v>
      </c>
    </row>
    <row r="223" spans="1:10" x14ac:dyDescent="0.3">
      <c r="A223" s="126" t="s">
        <v>392</v>
      </c>
      <c r="B223" s="126" t="s">
        <v>6</v>
      </c>
      <c r="C223" s="53" t="s">
        <v>1301</v>
      </c>
      <c r="D223" s="53" t="s">
        <v>1302</v>
      </c>
      <c r="E223" s="131">
        <v>45741</v>
      </c>
      <c r="F223" s="127" t="s">
        <v>842</v>
      </c>
      <c r="G223" s="127" t="s">
        <v>843</v>
      </c>
      <c r="H223" s="54">
        <v>25200</v>
      </c>
      <c r="I223" s="138">
        <v>0.189</v>
      </c>
      <c r="J223" s="44" t="s">
        <v>832</v>
      </c>
    </row>
    <row r="224" spans="1:10" x14ac:dyDescent="0.3">
      <c r="A224" s="126" t="s">
        <v>390</v>
      </c>
      <c r="B224" s="126" t="s">
        <v>6</v>
      </c>
      <c r="C224" s="53" t="s">
        <v>1303</v>
      </c>
      <c r="D224" s="53" t="s">
        <v>1304</v>
      </c>
      <c r="E224" s="131">
        <v>45741</v>
      </c>
      <c r="F224" s="127" t="s">
        <v>376</v>
      </c>
      <c r="G224" s="127" t="s">
        <v>14</v>
      </c>
      <c r="H224" s="54">
        <v>18450</v>
      </c>
      <c r="I224" s="138">
        <v>0.505</v>
      </c>
      <c r="J224" s="44" t="s">
        <v>832</v>
      </c>
    </row>
    <row r="225" spans="1:10" x14ac:dyDescent="0.3">
      <c r="A225" s="126" t="s">
        <v>390</v>
      </c>
      <c r="B225" s="126" t="s">
        <v>6</v>
      </c>
      <c r="C225" s="53" t="s">
        <v>1305</v>
      </c>
      <c r="D225" s="53" t="s">
        <v>1306</v>
      </c>
      <c r="E225" s="131">
        <v>45741</v>
      </c>
      <c r="F225" s="127" t="s">
        <v>372</v>
      </c>
      <c r="G225" s="127" t="s">
        <v>10</v>
      </c>
      <c r="H225" s="54">
        <v>97364.79</v>
      </c>
      <c r="I225" s="138">
        <v>0.224</v>
      </c>
      <c r="J225" s="44" t="s">
        <v>833</v>
      </c>
    </row>
    <row r="226" spans="1:10" x14ac:dyDescent="0.3">
      <c r="A226" s="126" t="s">
        <v>390</v>
      </c>
      <c r="B226" s="126" t="s">
        <v>6</v>
      </c>
      <c r="C226" s="53" t="s">
        <v>1307</v>
      </c>
      <c r="D226" s="53" t="s">
        <v>1308</v>
      </c>
      <c r="E226" s="131">
        <v>45742</v>
      </c>
      <c r="F226" s="127" t="s">
        <v>372</v>
      </c>
      <c r="G226" s="127" t="s">
        <v>10</v>
      </c>
      <c r="H226" s="54">
        <v>10967.64</v>
      </c>
      <c r="I226" s="138">
        <v>0.34699999999999998</v>
      </c>
      <c r="J226" s="44" t="s">
        <v>833</v>
      </c>
    </row>
    <row r="227" spans="1:10" x14ac:dyDescent="0.3">
      <c r="A227" s="126" t="s">
        <v>392</v>
      </c>
      <c r="B227" s="126" t="s">
        <v>6</v>
      </c>
      <c r="C227" s="53" t="s">
        <v>1309</v>
      </c>
      <c r="D227" s="53" t="s">
        <v>1310</v>
      </c>
      <c r="E227" s="131">
        <v>45742</v>
      </c>
      <c r="F227" s="127" t="s">
        <v>370</v>
      </c>
      <c r="G227" s="127" t="s">
        <v>1184</v>
      </c>
      <c r="H227" s="54">
        <v>4070.24</v>
      </c>
      <c r="I227" s="138">
        <v>0.53700000000000003</v>
      </c>
      <c r="J227" s="44" t="s">
        <v>830</v>
      </c>
    </row>
    <row r="228" spans="1:10" x14ac:dyDescent="0.3">
      <c r="A228" s="126" t="s">
        <v>390</v>
      </c>
      <c r="B228" s="126" t="s">
        <v>6</v>
      </c>
      <c r="C228" s="53" t="s">
        <v>1311</v>
      </c>
      <c r="D228" s="53" t="s">
        <v>1312</v>
      </c>
      <c r="E228" s="131">
        <v>45743</v>
      </c>
      <c r="F228" s="127" t="s">
        <v>372</v>
      </c>
      <c r="G228" s="127" t="s">
        <v>10</v>
      </c>
      <c r="H228" s="54">
        <v>107388.35</v>
      </c>
      <c r="I228" s="138">
        <v>0.27900000000000003</v>
      </c>
      <c r="J228" s="44" t="s">
        <v>833</v>
      </c>
    </row>
    <row r="229" spans="1:10" x14ac:dyDescent="0.3">
      <c r="A229" s="126" t="s">
        <v>390</v>
      </c>
      <c r="B229" s="126" t="s">
        <v>6</v>
      </c>
      <c r="C229" s="53" t="s">
        <v>1313</v>
      </c>
      <c r="D229" s="53" t="s">
        <v>1314</v>
      </c>
      <c r="E229" s="131">
        <v>45743</v>
      </c>
      <c r="F229" s="127" t="s">
        <v>372</v>
      </c>
      <c r="G229" s="127" t="s">
        <v>10</v>
      </c>
      <c r="H229" s="54">
        <v>3540</v>
      </c>
      <c r="I229" s="138">
        <v>0.25900000000000001</v>
      </c>
      <c r="J229" s="44" t="s">
        <v>833</v>
      </c>
    </row>
    <row r="230" spans="1:10" x14ac:dyDescent="0.3">
      <c r="A230" s="126" t="s">
        <v>390</v>
      </c>
      <c r="B230" s="126" t="s">
        <v>6</v>
      </c>
      <c r="C230" s="53" t="s">
        <v>1315</v>
      </c>
      <c r="D230" s="53" t="s">
        <v>1316</v>
      </c>
      <c r="E230" s="131">
        <v>45743</v>
      </c>
      <c r="F230" s="127" t="s">
        <v>372</v>
      </c>
      <c r="G230" s="127" t="s">
        <v>10</v>
      </c>
      <c r="H230" s="54">
        <v>3540</v>
      </c>
      <c r="I230" s="138">
        <v>0.25900000000000001</v>
      </c>
      <c r="J230" s="44" t="s">
        <v>833</v>
      </c>
    </row>
    <row r="231" spans="1:10" x14ac:dyDescent="0.3">
      <c r="A231" s="126" t="s">
        <v>392</v>
      </c>
      <c r="B231" s="126" t="s">
        <v>6</v>
      </c>
      <c r="C231" s="53" t="s">
        <v>1317</v>
      </c>
      <c r="D231" s="53" t="s">
        <v>1318</v>
      </c>
      <c r="E231" s="131">
        <v>45743</v>
      </c>
      <c r="F231" s="127" t="s">
        <v>370</v>
      </c>
      <c r="G231" s="127" t="s">
        <v>1184</v>
      </c>
      <c r="H231" s="54">
        <v>11976.9</v>
      </c>
      <c r="I231" s="138">
        <v>0.70399999999999996</v>
      </c>
      <c r="J231" s="44" t="s">
        <v>830</v>
      </c>
    </row>
    <row r="232" spans="1:10" x14ac:dyDescent="0.3">
      <c r="A232" s="126" t="s">
        <v>392</v>
      </c>
      <c r="B232" s="126" t="s">
        <v>6</v>
      </c>
      <c r="C232" s="53" t="s">
        <v>1319</v>
      </c>
      <c r="D232" s="53" t="s">
        <v>1320</v>
      </c>
      <c r="E232" s="131">
        <v>45743</v>
      </c>
      <c r="F232" s="127" t="s">
        <v>370</v>
      </c>
      <c r="G232" s="127" t="s">
        <v>1184</v>
      </c>
      <c r="H232" s="54">
        <v>7961.06</v>
      </c>
      <c r="I232" s="138">
        <v>0.70499999999999996</v>
      </c>
      <c r="J232" s="44" t="s">
        <v>830</v>
      </c>
    </row>
    <row r="233" spans="1:10" x14ac:dyDescent="0.3">
      <c r="A233" s="126" t="s">
        <v>392</v>
      </c>
      <c r="B233" s="126" t="s">
        <v>6</v>
      </c>
      <c r="C233" s="53" t="s">
        <v>1321</v>
      </c>
      <c r="D233" s="53" t="s">
        <v>1322</v>
      </c>
      <c r="E233" s="131">
        <v>45743</v>
      </c>
      <c r="F233" s="127" t="s">
        <v>370</v>
      </c>
      <c r="G233" s="127" t="s">
        <v>1184</v>
      </c>
      <c r="H233" s="54">
        <v>11976.9</v>
      </c>
      <c r="I233" s="138">
        <v>0.75800000000000001</v>
      </c>
      <c r="J233" s="44" t="s">
        <v>830</v>
      </c>
    </row>
    <row r="234" spans="1:10" x14ac:dyDescent="0.3">
      <c r="A234" s="126" t="s">
        <v>390</v>
      </c>
      <c r="B234" s="126" t="s">
        <v>6</v>
      </c>
      <c r="C234" s="53" t="s">
        <v>1323</v>
      </c>
      <c r="D234" s="53" t="s">
        <v>1324</v>
      </c>
      <c r="E234" s="131">
        <v>45743</v>
      </c>
      <c r="F234" s="127" t="s">
        <v>1325</v>
      </c>
      <c r="G234" s="127" t="s">
        <v>1326</v>
      </c>
      <c r="H234" s="54">
        <v>13718.71</v>
      </c>
      <c r="I234" s="138">
        <v>0.44600000000000001</v>
      </c>
      <c r="J234" s="44" t="s">
        <v>832</v>
      </c>
    </row>
    <row r="235" spans="1:10" x14ac:dyDescent="0.3">
      <c r="A235" s="126" t="s">
        <v>392</v>
      </c>
      <c r="B235" s="126" t="s">
        <v>6</v>
      </c>
      <c r="C235" s="53" t="s">
        <v>1327</v>
      </c>
      <c r="D235" s="53" t="s">
        <v>1328</v>
      </c>
      <c r="E235" s="131">
        <v>45743</v>
      </c>
      <c r="F235" s="127" t="s">
        <v>842</v>
      </c>
      <c r="G235" s="127" t="s">
        <v>843</v>
      </c>
      <c r="H235" s="54">
        <v>22000</v>
      </c>
      <c r="I235" s="138">
        <v>0.45500000000000002</v>
      </c>
      <c r="J235" s="44" t="s">
        <v>832</v>
      </c>
    </row>
    <row r="236" spans="1:10" x14ac:dyDescent="0.3">
      <c r="A236" s="126" t="s">
        <v>392</v>
      </c>
      <c r="B236" s="126" t="s">
        <v>6</v>
      </c>
      <c r="C236" s="53" t="s">
        <v>1329</v>
      </c>
      <c r="D236" s="53" t="s">
        <v>1330</v>
      </c>
      <c r="E236" s="131">
        <v>45743</v>
      </c>
      <c r="F236" s="127" t="s">
        <v>842</v>
      </c>
      <c r="G236" s="127" t="s">
        <v>843</v>
      </c>
      <c r="H236" s="54">
        <v>24940</v>
      </c>
      <c r="I236" s="138">
        <v>0.437</v>
      </c>
      <c r="J236" s="44" t="s">
        <v>832</v>
      </c>
    </row>
    <row r="237" spans="1:10" x14ac:dyDescent="0.3">
      <c r="A237" s="126" t="s">
        <v>392</v>
      </c>
      <c r="B237" s="126" t="s">
        <v>6</v>
      </c>
      <c r="C237" s="53" t="s">
        <v>1331</v>
      </c>
      <c r="D237" s="53" t="s">
        <v>1332</v>
      </c>
      <c r="E237" s="131">
        <v>45743</v>
      </c>
      <c r="F237" s="127" t="s">
        <v>370</v>
      </c>
      <c r="G237" s="127" t="s">
        <v>1184</v>
      </c>
      <c r="H237" s="54">
        <v>49500</v>
      </c>
      <c r="I237" s="138">
        <v>0.45</v>
      </c>
      <c r="J237" s="44" t="s">
        <v>830</v>
      </c>
    </row>
    <row r="238" spans="1:10" x14ac:dyDescent="0.3">
      <c r="A238" s="126" t="s">
        <v>390</v>
      </c>
      <c r="B238" s="126" t="s">
        <v>6</v>
      </c>
      <c r="C238" s="53" t="s">
        <v>1333</v>
      </c>
      <c r="D238" s="53" t="s">
        <v>1334</v>
      </c>
      <c r="E238" s="131">
        <v>45747</v>
      </c>
      <c r="F238" s="127" t="s">
        <v>375</v>
      </c>
      <c r="G238" s="127" t="s">
        <v>62</v>
      </c>
      <c r="H238" s="54">
        <v>189073.15</v>
      </c>
      <c r="I238" s="138">
        <v>0.32500000000000001</v>
      </c>
      <c r="J238" s="44" t="s">
        <v>831</v>
      </c>
    </row>
    <row r="239" spans="1:10" x14ac:dyDescent="0.3">
      <c r="A239" s="126" t="s">
        <v>390</v>
      </c>
      <c r="B239" s="126" t="s">
        <v>6</v>
      </c>
      <c r="C239" s="53" t="s">
        <v>1335</v>
      </c>
      <c r="D239" s="53" t="s">
        <v>1336</v>
      </c>
      <c r="E239" s="131">
        <v>45747</v>
      </c>
      <c r="F239" s="127" t="s">
        <v>375</v>
      </c>
      <c r="G239" s="127" t="s">
        <v>62</v>
      </c>
      <c r="H239" s="54">
        <v>91048.37</v>
      </c>
      <c r="I239" s="138">
        <v>0.29199999999999998</v>
      </c>
      <c r="J239" s="44" t="s">
        <v>831</v>
      </c>
    </row>
    <row r="240" spans="1:10" x14ac:dyDescent="0.3">
      <c r="A240" s="126" t="s">
        <v>390</v>
      </c>
      <c r="B240" s="126" t="s">
        <v>6</v>
      </c>
      <c r="C240" s="53" t="s">
        <v>1337</v>
      </c>
      <c r="D240" s="53" t="s">
        <v>1338</v>
      </c>
      <c r="E240" s="131">
        <v>45747</v>
      </c>
      <c r="F240" s="127" t="s">
        <v>619</v>
      </c>
      <c r="G240" s="127" t="s">
        <v>16</v>
      </c>
      <c r="H240" s="54">
        <v>19500</v>
      </c>
      <c r="I240" s="138">
        <v>0.55600000000000005</v>
      </c>
      <c r="J240" s="44" t="s">
        <v>833</v>
      </c>
    </row>
    <row r="241" spans="1:10" x14ac:dyDescent="0.3">
      <c r="A241" s="126" t="s">
        <v>390</v>
      </c>
      <c r="B241" s="126" t="s">
        <v>6</v>
      </c>
      <c r="C241" s="53" t="s">
        <v>1339</v>
      </c>
      <c r="D241" s="53" t="s">
        <v>1340</v>
      </c>
      <c r="E241" s="131">
        <v>45747</v>
      </c>
      <c r="F241" s="127" t="s">
        <v>370</v>
      </c>
      <c r="G241" s="127" t="s">
        <v>1184</v>
      </c>
      <c r="H241" s="54">
        <v>11800</v>
      </c>
      <c r="I241" s="138">
        <v>0.51800000000000002</v>
      </c>
      <c r="J241" s="44" t="s">
        <v>830</v>
      </c>
    </row>
    <row r="242" spans="1:10" x14ac:dyDescent="0.3">
      <c r="A242" s="126" t="s">
        <v>390</v>
      </c>
      <c r="B242" s="126" t="s">
        <v>6</v>
      </c>
      <c r="C242" s="53" t="s">
        <v>1341</v>
      </c>
      <c r="D242" s="53" t="s">
        <v>1342</v>
      </c>
      <c r="E242" s="131">
        <v>45747</v>
      </c>
      <c r="F242" s="127" t="s">
        <v>375</v>
      </c>
      <c r="G242" s="127" t="s">
        <v>62</v>
      </c>
      <c r="H242" s="54">
        <v>1597.5</v>
      </c>
      <c r="I242" s="138">
        <v>0.254</v>
      </c>
      <c r="J242" s="44" t="s">
        <v>831</v>
      </c>
    </row>
    <row r="243" spans="1:10" x14ac:dyDescent="0.3">
      <c r="A243" s="126" t="s">
        <v>390</v>
      </c>
      <c r="B243" s="126" t="s">
        <v>6</v>
      </c>
      <c r="C243" s="53" t="s">
        <v>1343</v>
      </c>
      <c r="D243" s="53" t="s">
        <v>1342</v>
      </c>
      <c r="E243" s="131">
        <v>45747</v>
      </c>
      <c r="F243" s="127" t="s">
        <v>375</v>
      </c>
      <c r="G243" s="127" t="s">
        <v>62</v>
      </c>
      <c r="H243" s="54">
        <v>110783.16</v>
      </c>
      <c r="I243" s="138">
        <v>0.254</v>
      </c>
      <c r="J243" s="44" t="s">
        <v>831</v>
      </c>
    </row>
    <row r="244" spans="1:10" x14ac:dyDescent="0.3">
      <c r="A244" s="126" t="s">
        <v>390</v>
      </c>
      <c r="B244" s="126" t="s">
        <v>6</v>
      </c>
      <c r="C244" s="53" t="s">
        <v>1344</v>
      </c>
      <c r="D244" s="53" t="s">
        <v>1345</v>
      </c>
      <c r="E244" s="131">
        <v>45747</v>
      </c>
      <c r="F244" s="127" t="s">
        <v>375</v>
      </c>
      <c r="G244" s="127" t="s">
        <v>62</v>
      </c>
      <c r="H244" s="54">
        <v>29420</v>
      </c>
      <c r="I244" s="138">
        <v>0.35299999999999998</v>
      </c>
      <c r="J244" s="44" t="s">
        <v>831</v>
      </c>
    </row>
    <row r="245" spans="1:10" x14ac:dyDescent="0.3">
      <c r="A245" s="126" t="s">
        <v>390</v>
      </c>
      <c r="B245" s="126" t="s">
        <v>6</v>
      </c>
      <c r="C245" s="53" t="s">
        <v>1346</v>
      </c>
      <c r="D245" s="53" t="s">
        <v>1156</v>
      </c>
      <c r="E245" s="131">
        <v>45747</v>
      </c>
      <c r="F245" s="127" t="s">
        <v>375</v>
      </c>
      <c r="G245" s="127" t="s">
        <v>62</v>
      </c>
      <c r="H245" s="54">
        <v>1585.61</v>
      </c>
      <c r="I245" s="138">
        <v>0.253</v>
      </c>
      <c r="J245" s="44" t="s">
        <v>831</v>
      </c>
    </row>
    <row r="246" spans="1:10" x14ac:dyDescent="0.3">
      <c r="A246" s="126" t="s">
        <v>390</v>
      </c>
      <c r="B246" s="126" t="s">
        <v>6</v>
      </c>
      <c r="C246" s="53" t="s">
        <v>1347</v>
      </c>
      <c r="D246" s="53" t="s">
        <v>1348</v>
      </c>
      <c r="E246" s="131">
        <v>45747</v>
      </c>
      <c r="F246" s="127" t="s">
        <v>375</v>
      </c>
      <c r="G246" s="127" t="s">
        <v>62</v>
      </c>
      <c r="H246" s="54">
        <v>44681.77</v>
      </c>
      <c r="I246" s="138">
        <v>0.25700000000000001</v>
      </c>
      <c r="J246" s="44" t="s">
        <v>831</v>
      </c>
    </row>
    <row r="247" spans="1:10" x14ac:dyDescent="0.3">
      <c r="A247" s="126" t="s">
        <v>390</v>
      </c>
      <c r="B247" s="126" t="s">
        <v>6</v>
      </c>
      <c r="C247" s="53" t="s">
        <v>1349</v>
      </c>
      <c r="D247" s="53" t="s">
        <v>1350</v>
      </c>
      <c r="E247" s="131">
        <v>45747</v>
      </c>
      <c r="F247" s="127" t="s">
        <v>375</v>
      </c>
      <c r="G247" s="127" t="s">
        <v>62</v>
      </c>
      <c r="H247" s="54">
        <v>45270.42</v>
      </c>
      <c r="I247" s="138">
        <v>0.25900000000000001</v>
      </c>
      <c r="J247" s="44" t="s">
        <v>831</v>
      </c>
    </row>
    <row r="248" spans="1:10" x14ac:dyDescent="0.3">
      <c r="A248" s="126" t="s">
        <v>390</v>
      </c>
      <c r="B248" s="126" t="s">
        <v>6</v>
      </c>
      <c r="C248" s="53" t="s">
        <v>1351</v>
      </c>
      <c r="D248" s="53" t="s">
        <v>1352</v>
      </c>
      <c r="E248" s="131">
        <v>45747</v>
      </c>
      <c r="F248" s="127" t="s">
        <v>375</v>
      </c>
      <c r="G248" s="127" t="s">
        <v>62</v>
      </c>
      <c r="H248" s="54">
        <v>94014.5</v>
      </c>
      <c r="I248" s="138">
        <v>0.27600000000000002</v>
      </c>
      <c r="J248" s="44" t="s">
        <v>831</v>
      </c>
    </row>
    <row r="249" spans="1:10" x14ac:dyDescent="0.3">
      <c r="A249" s="126" t="s">
        <v>392</v>
      </c>
      <c r="B249" s="126" t="s">
        <v>6</v>
      </c>
      <c r="C249" s="53" t="s">
        <v>1353</v>
      </c>
      <c r="D249" s="53" t="s">
        <v>1354</v>
      </c>
      <c r="E249" s="131">
        <v>45747</v>
      </c>
      <c r="F249" s="127" t="s">
        <v>370</v>
      </c>
      <c r="G249" s="127" t="s">
        <v>1184</v>
      </c>
      <c r="H249" s="54">
        <v>7965.24</v>
      </c>
      <c r="I249" s="138">
        <v>0.498</v>
      </c>
      <c r="J249" s="44" t="s">
        <v>830</v>
      </c>
    </row>
    <row r="250" spans="1:10" x14ac:dyDescent="0.3">
      <c r="A250" s="126" t="s">
        <v>392</v>
      </c>
      <c r="B250" s="126" t="s">
        <v>6</v>
      </c>
      <c r="C250" s="53" t="s">
        <v>1355</v>
      </c>
      <c r="D250" s="53" t="s">
        <v>1356</v>
      </c>
      <c r="E250" s="131">
        <v>45747</v>
      </c>
      <c r="F250" s="127" t="s">
        <v>370</v>
      </c>
      <c r="G250" s="127" t="s">
        <v>1184</v>
      </c>
      <c r="H250" s="54">
        <v>13928.89</v>
      </c>
      <c r="I250" s="138">
        <v>0.46899999999999997</v>
      </c>
      <c r="J250" s="44" t="s">
        <v>830</v>
      </c>
    </row>
    <row r="251" spans="1:10" x14ac:dyDescent="0.3">
      <c r="A251" s="126" t="s">
        <v>392</v>
      </c>
      <c r="B251" s="126" t="s">
        <v>6</v>
      </c>
      <c r="C251" s="53" t="s">
        <v>1357</v>
      </c>
      <c r="D251" s="53" t="s">
        <v>1358</v>
      </c>
      <c r="E251" s="131">
        <v>45747</v>
      </c>
      <c r="F251" s="127" t="s">
        <v>370</v>
      </c>
      <c r="G251" s="127" t="s">
        <v>1184</v>
      </c>
      <c r="H251" s="54">
        <v>6964.45</v>
      </c>
      <c r="I251" s="138">
        <v>0.48299999999999998</v>
      </c>
      <c r="J251" s="44" t="s">
        <v>830</v>
      </c>
    </row>
    <row r="252" spans="1:10" x14ac:dyDescent="0.3">
      <c r="A252" s="126" t="s">
        <v>392</v>
      </c>
      <c r="B252" s="126" t="s">
        <v>6</v>
      </c>
      <c r="C252" s="53" t="s">
        <v>1359</v>
      </c>
      <c r="D252" s="53" t="s">
        <v>1360</v>
      </c>
      <c r="E252" s="131">
        <v>45747</v>
      </c>
      <c r="F252" s="127" t="s">
        <v>370</v>
      </c>
      <c r="G252" s="127" t="s">
        <v>1184</v>
      </c>
      <c r="H252" s="54">
        <v>28084.76</v>
      </c>
      <c r="I252" s="138">
        <v>0.76900000000000002</v>
      </c>
      <c r="J252" s="44" t="s">
        <v>830</v>
      </c>
    </row>
    <row r="253" spans="1:10" x14ac:dyDescent="0.3">
      <c r="A253" s="126" t="s">
        <v>390</v>
      </c>
      <c r="B253" s="126" t="s">
        <v>6</v>
      </c>
      <c r="C253" s="53" t="s">
        <v>1361</v>
      </c>
      <c r="D253" s="53" t="s">
        <v>1362</v>
      </c>
      <c r="E253" s="131">
        <v>45747</v>
      </c>
      <c r="F253" s="127" t="s">
        <v>375</v>
      </c>
      <c r="G253" s="127" t="s">
        <v>62</v>
      </c>
      <c r="H253" s="54">
        <v>103002.37</v>
      </c>
      <c r="I253" s="138">
        <v>0.51600000000000001</v>
      </c>
      <c r="J253" s="44" t="s">
        <v>831</v>
      </c>
    </row>
    <row r="254" spans="1:10" x14ac:dyDescent="0.3">
      <c r="A254" s="126" t="s">
        <v>392</v>
      </c>
      <c r="B254" s="126" t="s">
        <v>6</v>
      </c>
      <c r="C254" s="53" t="s">
        <v>1363</v>
      </c>
      <c r="D254" s="53" t="s">
        <v>1364</v>
      </c>
      <c r="E254" s="131">
        <v>45747</v>
      </c>
      <c r="F254" s="127" t="s">
        <v>842</v>
      </c>
      <c r="G254" s="127" t="s">
        <v>843</v>
      </c>
      <c r="H254" s="54">
        <v>22000</v>
      </c>
      <c r="I254" s="138">
        <v>0.45100000000000001</v>
      </c>
      <c r="J254" s="44" t="s">
        <v>832</v>
      </c>
    </row>
    <row r="255" spans="1:10" x14ac:dyDescent="0.3">
      <c r="A255" s="126" t="s">
        <v>392</v>
      </c>
      <c r="B255" s="126" t="s">
        <v>6</v>
      </c>
      <c r="C255" s="53" t="s">
        <v>1365</v>
      </c>
      <c r="D255" s="53" t="s">
        <v>1366</v>
      </c>
      <c r="E255" s="131">
        <v>45747</v>
      </c>
      <c r="F255" s="127" t="s">
        <v>844</v>
      </c>
      <c r="G255" s="127" t="s">
        <v>863</v>
      </c>
      <c r="H255" s="54">
        <v>10315</v>
      </c>
      <c r="I255" s="138">
        <v>0.25800000000000001</v>
      </c>
      <c r="J255" s="44" t="s">
        <v>848</v>
      </c>
    </row>
    <row r="256" spans="1:10" x14ac:dyDescent="0.3">
      <c r="A256" s="126" t="s">
        <v>392</v>
      </c>
      <c r="B256" s="126" t="s">
        <v>6</v>
      </c>
      <c r="C256" s="53" t="s">
        <v>1367</v>
      </c>
      <c r="D256" s="53" t="s">
        <v>1368</v>
      </c>
      <c r="E256" s="131">
        <v>45747</v>
      </c>
      <c r="F256" s="127" t="s">
        <v>844</v>
      </c>
      <c r="G256" s="127" t="s">
        <v>863</v>
      </c>
      <c r="H256" s="54">
        <v>21000</v>
      </c>
      <c r="I256" s="138">
        <v>0.33100000000000002</v>
      </c>
      <c r="J256" s="44" t="s">
        <v>848</v>
      </c>
    </row>
    <row r="257" spans="1:11" x14ac:dyDescent="0.3">
      <c r="A257" s="126" t="s">
        <v>390</v>
      </c>
      <c r="B257" s="126" t="s">
        <v>6</v>
      </c>
      <c r="C257" s="53" t="s">
        <v>1369</v>
      </c>
      <c r="D257" s="53" t="s">
        <v>1370</v>
      </c>
      <c r="E257" s="131">
        <v>45720</v>
      </c>
      <c r="F257" s="127" t="s">
        <v>1175</v>
      </c>
      <c r="G257" s="127" t="s">
        <v>852</v>
      </c>
      <c r="H257" s="54">
        <v>2022.8967</v>
      </c>
      <c r="I257" s="138">
        <v>0.751</v>
      </c>
      <c r="J257" s="44" t="s">
        <v>831</v>
      </c>
    </row>
    <row r="258" spans="1:11" x14ac:dyDescent="0.3">
      <c r="A258" s="126" t="s">
        <v>390</v>
      </c>
      <c r="B258" s="126" t="s">
        <v>6</v>
      </c>
      <c r="C258" s="53" t="s">
        <v>1371</v>
      </c>
      <c r="D258" s="53" t="s">
        <v>1370</v>
      </c>
      <c r="E258" s="131">
        <v>45720</v>
      </c>
      <c r="F258" s="127" t="s">
        <v>1175</v>
      </c>
      <c r="G258" s="127" t="s">
        <v>852</v>
      </c>
      <c r="H258" s="54">
        <v>4495.326</v>
      </c>
      <c r="I258" s="138">
        <v>0.751</v>
      </c>
      <c r="J258" s="44" t="s">
        <v>831</v>
      </c>
    </row>
    <row r="259" spans="1:11" x14ac:dyDescent="0.3">
      <c r="A259" s="126" t="s">
        <v>390</v>
      </c>
      <c r="B259" s="126" t="s">
        <v>6</v>
      </c>
      <c r="C259" s="53" t="s">
        <v>1372</v>
      </c>
      <c r="D259" s="53" t="s">
        <v>1373</v>
      </c>
      <c r="E259" s="131">
        <v>45723</v>
      </c>
      <c r="F259" s="127" t="s">
        <v>372</v>
      </c>
      <c r="G259" s="127" t="s">
        <v>10</v>
      </c>
      <c r="H259" s="54">
        <v>87065.369394999987</v>
      </c>
      <c r="I259" s="138">
        <v>0.27600000000000002</v>
      </c>
      <c r="J259" s="44" t="s">
        <v>833</v>
      </c>
    </row>
    <row r="260" spans="1:11" x14ac:dyDescent="0.3">
      <c r="A260" s="126" t="s">
        <v>392</v>
      </c>
      <c r="B260" s="126" t="s">
        <v>6</v>
      </c>
      <c r="C260" s="53" t="s">
        <v>1374</v>
      </c>
      <c r="D260" s="53" t="s">
        <v>1375</v>
      </c>
      <c r="E260" s="131">
        <v>45730</v>
      </c>
      <c r="F260" s="127" t="s">
        <v>844</v>
      </c>
      <c r="G260" s="127" t="s">
        <v>863</v>
      </c>
      <c r="H260" s="54">
        <v>123019.40000000001</v>
      </c>
      <c r="I260" s="138">
        <v>0.192</v>
      </c>
      <c r="J260" s="44" t="s">
        <v>831</v>
      </c>
    </row>
    <row r="261" spans="1:11" x14ac:dyDescent="0.3">
      <c r="A261" s="126" t="s">
        <v>390</v>
      </c>
      <c r="B261" s="126" t="s">
        <v>6</v>
      </c>
      <c r="C261" s="53" t="s">
        <v>1376</v>
      </c>
      <c r="D261" s="53" t="s">
        <v>1370</v>
      </c>
      <c r="E261" s="131">
        <v>45735</v>
      </c>
      <c r="F261" s="127" t="s">
        <v>1174</v>
      </c>
      <c r="G261" s="127" t="s">
        <v>857</v>
      </c>
      <c r="H261" s="54">
        <v>1498.8375000000001</v>
      </c>
      <c r="I261" s="138">
        <v>0.751</v>
      </c>
      <c r="J261" s="44" t="s">
        <v>831</v>
      </c>
    </row>
    <row r="262" spans="1:11" x14ac:dyDescent="0.3">
      <c r="A262" s="126" t="s">
        <v>390</v>
      </c>
      <c r="B262" s="126" t="s">
        <v>6</v>
      </c>
      <c r="C262" s="53" t="s">
        <v>1377</v>
      </c>
      <c r="D262" s="53" t="s">
        <v>1378</v>
      </c>
      <c r="E262" s="131">
        <v>45736</v>
      </c>
      <c r="F262" s="127" t="s">
        <v>1007</v>
      </c>
      <c r="G262" s="127" t="s">
        <v>865</v>
      </c>
      <c r="H262" s="54">
        <v>82427.282999999996</v>
      </c>
      <c r="I262" s="138">
        <v>0.33</v>
      </c>
      <c r="J262" s="44" t="s">
        <v>831</v>
      </c>
      <c r="K262" s="44" t="s">
        <v>1542</v>
      </c>
    </row>
    <row r="263" spans="1:11" x14ac:dyDescent="0.3">
      <c r="A263" s="126" t="s">
        <v>392</v>
      </c>
      <c r="B263" s="126" t="s">
        <v>6</v>
      </c>
      <c r="C263" s="53" t="s">
        <v>1379</v>
      </c>
      <c r="D263" s="53" t="s">
        <v>1253</v>
      </c>
      <c r="E263" s="131">
        <v>45737</v>
      </c>
      <c r="F263" s="127" t="s">
        <v>372</v>
      </c>
      <c r="G263" s="127" t="s">
        <v>10</v>
      </c>
      <c r="H263" s="54">
        <v>24066.36</v>
      </c>
      <c r="I263" s="138">
        <v>0.41</v>
      </c>
      <c r="J263" s="44" t="s">
        <v>848</v>
      </c>
    </row>
    <row r="264" spans="1:11" x14ac:dyDescent="0.3">
      <c r="A264" s="126" t="s">
        <v>390</v>
      </c>
      <c r="B264" s="126" t="s">
        <v>6</v>
      </c>
      <c r="C264" s="53" t="s">
        <v>1380</v>
      </c>
      <c r="D264" s="53" t="s">
        <v>1381</v>
      </c>
      <c r="E264" s="131">
        <v>45741</v>
      </c>
      <c r="F264" s="127" t="s">
        <v>1175</v>
      </c>
      <c r="G264" s="127" t="s">
        <v>852</v>
      </c>
      <c r="H264" s="54">
        <v>2514.0375000000004</v>
      </c>
      <c r="I264" s="138">
        <v>0.65100000000000002</v>
      </c>
      <c r="J264" s="44" t="s">
        <v>831</v>
      </c>
    </row>
    <row r="265" spans="1:11" x14ac:dyDescent="0.3">
      <c r="A265" s="126" t="s">
        <v>390</v>
      </c>
      <c r="B265" s="126" t="s">
        <v>6</v>
      </c>
      <c r="C265" s="53" t="s">
        <v>1382</v>
      </c>
      <c r="D265" s="53" t="s">
        <v>1381</v>
      </c>
      <c r="E265" s="131">
        <v>45741</v>
      </c>
      <c r="F265" s="127" t="s">
        <v>1175</v>
      </c>
      <c r="G265" s="127" t="s">
        <v>852</v>
      </c>
      <c r="H265" s="54">
        <v>4927.5135</v>
      </c>
      <c r="I265" s="138">
        <v>0.65100000000000002</v>
      </c>
      <c r="J265" s="44" t="s">
        <v>831</v>
      </c>
    </row>
    <row r="266" spans="1:11" x14ac:dyDescent="0.3">
      <c r="A266" s="126" t="s">
        <v>390</v>
      </c>
      <c r="B266" s="126" t="s">
        <v>6</v>
      </c>
      <c r="C266" s="53" t="s">
        <v>1383</v>
      </c>
      <c r="D266" s="53" t="s">
        <v>1381</v>
      </c>
      <c r="E266" s="131">
        <v>45744</v>
      </c>
      <c r="F266" s="127" t="s">
        <v>1174</v>
      </c>
      <c r="G266" s="127" t="s">
        <v>857</v>
      </c>
      <c r="H266" s="54">
        <v>1523.865</v>
      </c>
      <c r="I266" s="138">
        <v>0.65100000000000002</v>
      </c>
      <c r="J266" s="44" t="s">
        <v>831</v>
      </c>
    </row>
    <row r="267" spans="1:11" x14ac:dyDescent="0.3">
      <c r="A267" s="126" t="s">
        <v>390</v>
      </c>
      <c r="B267" s="126" t="s">
        <v>6</v>
      </c>
      <c r="C267" s="53" t="s">
        <v>1384</v>
      </c>
      <c r="D267" s="53" t="s">
        <v>1172</v>
      </c>
      <c r="E267" s="131">
        <v>45744</v>
      </c>
      <c r="F267" s="127" t="s">
        <v>1174</v>
      </c>
      <c r="G267" s="127" t="s">
        <v>857</v>
      </c>
      <c r="H267" s="54">
        <v>1523.865</v>
      </c>
      <c r="I267" s="138">
        <v>0.65600000000000003</v>
      </c>
      <c r="J267" s="44" t="s">
        <v>831</v>
      </c>
    </row>
    <row r="268" spans="1:11" x14ac:dyDescent="0.3">
      <c r="A268" s="126" t="s">
        <v>392</v>
      </c>
      <c r="B268" s="126" t="s">
        <v>6</v>
      </c>
      <c r="C268" s="53" t="s">
        <v>1385</v>
      </c>
      <c r="D268" s="53" t="s">
        <v>1386</v>
      </c>
      <c r="E268" s="131">
        <v>45747</v>
      </c>
      <c r="F268" s="127" t="s">
        <v>844</v>
      </c>
      <c r="G268" s="127" t="s">
        <v>863</v>
      </c>
      <c r="H268" s="54">
        <v>122401.8</v>
      </c>
      <c r="I268" s="138">
        <v>0.19600000000000001</v>
      </c>
      <c r="J268" s="44" t="s">
        <v>848</v>
      </c>
    </row>
    <row r="269" spans="1:11" x14ac:dyDescent="0.3">
      <c r="A269" s="126" t="s">
        <v>390</v>
      </c>
      <c r="B269" s="126" t="s">
        <v>6</v>
      </c>
      <c r="C269" s="53" t="s">
        <v>1387</v>
      </c>
      <c r="D269" s="53" t="s">
        <v>1016</v>
      </c>
      <c r="E269" s="131">
        <v>45747</v>
      </c>
      <c r="F269" s="127" t="s">
        <v>1017</v>
      </c>
      <c r="G269" s="127" t="s">
        <v>862</v>
      </c>
      <c r="H269" s="54">
        <v>171906.80000400002</v>
      </c>
      <c r="I269" s="138">
        <v>-0.36399999999999999</v>
      </c>
      <c r="J269" s="44" t="s">
        <v>1018</v>
      </c>
    </row>
    <row r="270" spans="1:11" x14ac:dyDescent="0.3">
      <c r="A270" s="126" t="s">
        <v>390</v>
      </c>
      <c r="B270" s="126" t="s">
        <v>7</v>
      </c>
      <c r="C270" s="53" t="s">
        <v>1388</v>
      </c>
      <c r="D270" s="53" t="s">
        <v>1373</v>
      </c>
      <c r="E270" s="131">
        <v>45751</v>
      </c>
      <c r="F270" s="127" t="s">
        <v>372</v>
      </c>
      <c r="G270" s="127" t="s">
        <v>10</v>
      </c>
      <c r="H270" s="54">
        <v>97127.13</v>
      </c>
      <c r="I270" s="138">
        <v>0.27600000000000002</v>
      </c>
      <c r="J270" s="44" t="s">
        <v>833</v>
      </c>
      <c r="K270" s="44" t="s">
        <v>1542</v>
      </c>
    </row>
    <row r="271" spans="1:11" x14ac:dyDescent="0.3">
      <c r="A271" s="126" t="s">
        <v>392</v>
      </c>
      <c r="B271" s="126" t="s">
        <v>7</v>
      </c>
      <c r="C271" s="53" t="s">
        <v>1389</v>
      </c>
      <c r="D271" s="53" t="s">
        <v>1390</v>
      </c>
      <c r="E271" s="131">
        <v>45751</v>
      </c>
      <c r="F271" s="127" t="s">
        <v>370</v>
      </c>
      <c r="G271" s="127" t="s">
        <v>1184</v>
      </c>
      <c r="H271" s="54">
        <v>8013.64</v>
      </c>
      <c r="I271" s="138">
        <v>0.501</v>
      </c>
      <c r="J271" s="44" t="s">
        <v>830</v>
      </c>
      <c r="K271" s="44" t="s">
        <v>1540</v>
      </c>
    </row>
    <row r="272" spans="1:11" x14ac:dyDescent="0.3">
      <c r="A272" s="126" t="s">
        <v>392</v>
      </c>
      <c r="B272" s="126" t="s">
        <v>7</v>
      </c>
      <c r="C272" s="53" t="s">
        <v>1391</v>
      </c>
      <c r="D272" s="53" t="s">
        <v>1392</v>
      </c>
      <c r="E272" s="131">
        <v>45751</v>
      </c>
      <c r="F272" s="127" t="s">
        <v>370</v>
      </c>
      <c r="G272" s="127" t="s">
        <v>1184</v>
      </c>
      <c r="H272" s="54">
        <v>7986.91</v>
      </c>
      <c r="I272" s="138">
        <v>0.499</v>
      </c>
      <c r="J272" s="44" t="s">
        <v>830</v>
      </c>
      <c r="K272" s="44" t="s">
        <v>1540</v>
      </c>
    </row>
    <row r="273" spans="1:11" x14ac:dyDescent="0.3">
      <c r="A273" s="126" t="s">
        <v>390</v>
      </c>
      <c r="B273" s="126" t="s">
        <v>7</v>
      </c>
      <c r="C273" s="53" t="s">
        <v>1393</v>
      </c>
      <c r="D273" s="53" t="s">
        <v>1394</v>
      </c>
      <c r="E273" s="131">
        <v>45751</v>
      </c>
      <c r="F273" s="127" t="s">
        <v>370</v>
      </c>
      <c r="G273" s="127" t="s">
        <v>1184</v>
      </c>
      <c r="H273" s="54">
        <v>11500</v>
      </c>
      <c r="I273" s="138">
        <v>0.51100000000000001</v>
      </c>
      <c r="J273" s="44" t="s">
        <v>830</v>
      </c>
      <c r="K273" s="44" t="s">
        <v>1541</v>
      </c>
    </row>
    <row r="274" spans="1:11" x14ac:dyDescent="0.3">
      <c r="A274" s="126" t="s">
        <v>392</v>
      </c>
      <c r="B274" s="126" t="s">
        <v>7</v>
      </c>
      <c r="C274" s="53" t="s">
        <v>1395</v>
      </c>
      <c r="D274" s="53" t="s">
        <v>1396</v>
      </c>
      <c r="E274" s="131">
        <v>45754</v>
      </c>
      <c r="F274" s="127" t="s">
        <v>370</v>
      </c>
      <c r="G274" s="127" t="s">
        <v>1184</v>
      </c>
      <c r="H274" s="54">
        <v>4087.6</v>
      </c>
      <c r="I274" s="138">
        <v>0.56000000000000005</v>
      </c>
      <c r="J274" s="44" t="s">
        <v>830</v>
      </c>
      <c r="K274" s="44" t="s">
        <v>1540</v>
      </c>
    </row>
    <row r="275" spans="1:11" x14ac:dyDescent="0.3">
      <c r="A275" s="126" t="s">
        <v>390</v>
      </c>
      <c r="B275" s="126" t="s">
        <v>7</v>
      </c>
      <c r="C275" s="53" t="s">
        <v>1397</v>
      </c>
      <c r="D275" s="53" t="s">
        <v>1398</v>
      </c>
      <c r="E275" s="131">
        <v>45754</v>
      </c>
      <c r="F275" s="127" t="s">
        <v>370</v>
      </c>
      <c r="G275" s="127" t="s">
        <v>1184</v>
      </c>
      <c r="H275" s="54">
        <v>17500</v>
      </c>
      <c r="I275" s="138">
        <v>0.56499999999999995</v>
      </c>
      <c r="J275" s="44" t="s">
        <v>830</v>
      </c>
      <c r="K275" s="44" t="s">
        <v>1541</v>
      </c>
    </row>
    <row r="276" spans="1:11" x14ac:dyDescent="0.3">
      <c r="A276" s="126" t="s">
        <v>392</v>
      </c>
      <c r="B276" s="126" t="s">
        <v>7</v>
      </c>
      <c r="C276" s="53" t="s">
        <v>1399</v>
      </c>
      <c r="D276" s="53" t="s">
        <v>1400</v>
      </c>
      <c r="E276" s="131">
        <v>45756</v>
      </c>
      <c r="F276" s="127" t="s">
        <v>371</v>
      </c>
      <c r="G276" s="127" t="s">
        <v>864</v>
      </c>
      <c r="H276" s="54">
        <v>1200</v>
      </c>
      <c r="I276" s="138">
        <v>0.435</v>
      </c>
      <c r="J276" s="44" t="s">
        <v>848</v>
      </c>
      <c r="K276" s="44" t="s">
        <v>1540</v>
      </c>
    </row>
    <row r="277" spans="1:11" x14ac:dyDescent="0.3">
      <c r="A277" s="126" t="s">
        <v>392</v>
      </c>
      <c r="B277" s="126" t="s">
        <v>7</v>
      </c>
      <c r="C277" s="53" t="s">
        <v>1401</v>
      </c>
      <c r="D277" s="53" t="s">
        <v>1400</v>
      </c>
      <c r="E277" s="131">
        <v>45756</v>
      </c>
      <c r="F277" s="127" t="s">
        <v>371</v>
      </c>
      <c r="G277" s="127" t="s">
        <v>864</v>
      </c>
      <c r="H277" s="54">
        <v>15356</v>
      </c>
      <c r="I277" s="138">
        <v>0.435</v>
      </c>
      <c r="J277" s="44" t="s">
        <v>848</v>
      </c>
      <c r="K277" s="44" t="s">
        <v>1540</v>
      </c>
    </row>
    <row r="278" spans="1:11" x14ac:dyDescent="0.3">
      <c r="A278" s="126" t="s">
        <v>392</v>
      </c>
      <c r="B278" s="126" t="s">
        <v>7</v>
      </c>
      <c r="C278" s="53" t="s">
        <v>1402</v>
      </c>
      <c r="D278" s="53" t="s">
        <v>1403</v>
      </c>
      <c r="E278" s="131">
        <v>45756</v>
      </c>
      <c r="F278" s="127" t="s">
        <v>372</v>
      </c>
      <c r="G278" s="127" t="s">
        <v>10</v>
      </c>
      <c r="H278" s="54">
        <v>12779.53</v>
      </c>
      <c r="I278" s="138">
        <v>0.36099999999999999</v>
      </c>
      <c r="J278" s="44" t="s">
        <v>848</v>
      </c>
      <c r="K278" s="44" t="s">
        <v>1540</v>
      </c>
    </row>
    <row r="279" spans="1:11" x14ac:dyDescent="0.3">
      <c r="A279" s="126" t="s">
        <v>390</v>
      </c>
      <c r="B279" s="126" t="s">
        <v>7</v>
      </c>
      <c r="C279" s="53" t="s">
        <v>1404</v>
      </c>
      <c r="D279" s="53" t="s">
        <v>1405</v>
      </c>
      <c r="E279" s="131">
        <v>45756</v>
      </c>
      <c r="F279" s="127" t="s">
        <v>587</v>
      </c>
      <c r="G279" s="127" t="s">
        <v>11</v>
      </c>
      <c r="H279" s="54">
        <v>22200.240000000002</v>
      </c>
      <c r="I279" s="138">
        <v>0.36899999999999999</v>
      </c>
      <c r="J279" s="44" t="s">
        <v>833</v>
      </c>
      <c r="K279" s="44" t="s">
        <v>1541</v>
      </c>
    </row>
    <row r="280" spans="1:11" x14ac:dyDescent="0.3">
      <c r="A280" s="126" t="s">
        <v>390</v>
      </c>
      <c r="B280" s="126" t="s">
        <v>7</v>
      </c>
      <c r="C280" s="53" t="s">
        <v>1406</v>
      </c>
      <c r="D280" s="53" t="s">
        <v>1407</v>
      </c>
      <c r="E280" s="131">
        <v>45756</v>
      </c>
      <c r="F280" s="127" t="s">
        <v>587</v>
      </c>
      <c r="G280" s="127" t="s">
        <v>11</v>
      </c>
      <c r="H280" s="54">
        <v>16046.75</v>
      </c>
      <c r="I280" s="138">
        <v>0.41099999999999998</v>
      </c>
      <c r="J280" s="44" t="s">
        <v>833</v>
      </c>
      <c r="K280" s="44" t="s">
        <v>1541</v>
      </c>
    </row>
    <row r="281" spans="1:11" x14ac:dyDescent="0.3">
      <c r="A281" s="126" t="s">
        <v>392</v>
      </c>
      <c r="B281" s="126" t="s">
        <v>7</v>
      </c>
      <c r="C281" s="53" t="s">
        <v>1408</v>
      </c>
      <c r="D281" s="53" t="s">
        <v>1409</v>
      </c>
      <c r="E281" s="131">
        <v>45756</v>
      </c>
      <c r="F281" s="127" t="s">
        <v>371</v>
      </c>
      <c r="G281" s="127" t="s">
        <v>864</v>
      </c>
      <c r="H281" s="54">
        <v>15247.22</v>
      </c>
      <c r="I281" s="138">
        <v>0.67500000000000004</v>
      </c>
      <c r="J281" s="44" t="s">
        <v>848</v>
      </c>
      <c r="K281" s="44" t="s">
        <v>1540</v>
      </c>
    </row>
    <row r="282" spans="1:11" x14ac:dyDescent="0.3">
      <c r="A282" s="126" t="s">
        <v>390</v>
      </c>
      <c r="B282" s="126" t="s">
        <v>7</v>
      </c>
      <c r="C282" s="53" t="s">
        <v>1410</v>
      </c>
      <c r="D282" s="53" t="s">
        <v>1411</v>
      </c>
      <c r="E282" s="131">
        <v>45756</v>
      </c>
      <c r="F282" s="127" t="s">
        <v>372</v>
      </c>
      <c r="G282" s="127" t="s">
        <v>10</v>
      </c>
      <c r="H282" s="54">
        <v>11255.82</v>
      </c>
      <c r="I282" s="138">
        <v>0.36399999999999999</v>
      </c>
      <c r="J282" s="44" t="s">
        <v>833</v>
      </c>
      <c r="K282" s="44" t="s">
        <v>1541</v>
      </c>
    </row>
    <row r="283" spans="1:11" x14ac:dyDescent="0.3">
      <c r="A283" s="126" t="s">
        <v>392</v>
      </c>
      <c r="B283" s="126" t="s">
        <v>7</v>
      </c>
      <c r="C283" s="53" t="s">
        <v>1412</v>
      </c>
      <c r="D283" s="53" t="s">
        <v>1413</v>
      </c>
      <c r="E283" s="131">
        <v>45757</v>
      </c>
      <c r="F283" s="127" t="s">
        <v>370</v>
      </c>
      <c r="G283" s="127" t="s">
        <v>1184</v>
      </c>
      <c r="H283" s="54">
        <v>18007.61</v>
      </c>
      <c r="I283" s="138">
        <v>0.59699999999999998</v>
      </c>
      <c r="J283" s="44" t="s">
        <v>830</v>
      </c>
      <c r="K283" s="44" t="s">
        <v>1540</v>
      </c>
    </row>
    <row r="284" spans="1:11" x14ac:dyDescent="0.3">
      <c r="A284" s="126" t="s">
        <v>392</v>
      </c>
      <c r="B284" s="126" t="s">
        <v>7</v>
      </c>
      <c r="C284" s="53" t="s">
        <v>1414</v>
      </c>
      <c r="D284" s="53" t="s">
        <v>1415</v>
      </c>
      <c r="E284" s="131">
        <v>45757</v>
      </c>
      <c r="F284" s="127" t="s">
        <v>370</v>
      </c>
      <c r="G284" s="127" t="s">
        <v>1184</v>
      </c>
      <c r="H284" s="54">
        <v>18007.61</v>
      </c>
      <c r="I284" s="138">
        <v>0.73899999999999999</v>
      </c>
      <c r="J284" s="44" t="s">
        <v>830</v>
      </c>
      <c r="K284" s="44" t="s">
        <v>1540</v>
      </c>
    </row>
    <row r="285" spans="1:11" x14ac:dyDescent="0.3">
      <c r="A285" s="126" t="s">
        <v>390</v>
      </c>
      <c r="B285" s="126" t="s">
        <v>7</v>
      </c>
      <c r="C285" s="53" t="s">
        <v>1416</v>
      </c>
      <c r="D285" s="53" t="s">
        <v>1417</v>
      </c>
      <c r="E285" s="131">
        <v>45757</v>
      </c>
      <c r="F285" s="127" t="s">
        <v>372</v>
      </c>
      <c r="G285" s="127" t="s">
        <v>10</v>
      </c>
      <c r="H285" s="54">
        <v>74345.460000000006</v>
      </c>
      <c r="I285" s="138">
        <v>0.23499999999999999</v>
      </c>
      <c r="J285" s="44" t="s">
        <v>833</v>
      </c>
      <c r="K285" s="44" t="s">
        <v>1542</v>
      </c>
    </row>
    <row r="286" spans="1:11" x14ac:dyDescent="0.3">
      <c r="A286" s="126" t="s">
        <v>392</v>
      </c>
      <c r="B286" s="126" t="s">
        <v>7</v>
      </c>
      <c r="C286" s="53" t="s">
        <v>1418</v>
      </c>
      <c r="D286" s="53" t="s">
        <v>1419</v>
      </c>
      <c r="E286" s="131">
        <v>45757</v>
      </c>
      <c r="F286" s="127" t="s">
        <v>842</v>
      </c>
      <c r="G286" s="127" t="s">
        <v>843</v>
      </c>
      <c r="H286" s="54">
        <v>22000</v>
      </c>
      <c r="I286" s="138">
        <v>0.45500000000000002</v>
      </c>
      <c r="J286" s="44" t="s">
        <v>832</v>
      </c>
      <c r="K286" s="44" t="s">
        <v>1540</v>
      </c>
    </row>
    <row r="287" spans="1:11" x14ac:dyDescent="0.3">
      <c r="A287" s="126" t="s">
        <v>390</v>
      </c>
      <c r="B287" s="126" t="s">
        <v>7</v>
      </c>
      <c r="C287" s="53" t="s">
        <v>1420</v>
      </c>
      <c r="D287" s="53" t="s">
        <v>1421</v>
      </c>
      <c r="E287" s="131">
        <v>45758</v>
      </c>
      <c r="F287" s="127" t="s">
        <v>370</v>
      </c>
      <c r="G287" s="127" t="s">
        <v>1184</v>
      </c>
      <c r="H287" s="54">
        <v>49500</v>
      </c>
      <c r="I287" s="138">
        <v>0.61</v>
      </c>
      <c r="J287" s="44" t="s">
        <v>830</v>
      </c>
      <c r="K287" s="44" t="s">
        <v>1541</v>
      </c>
    </row>
    <row r="288" spans="1:11" x14ac:dyDescent="0.3">
      <c r="A288" s="126" t="s">
        <v>392</v>
      </c>
      <c r="B288" s="126" t="s">
        <v>7</v>
      </c>
      <c r="C288" s="53" t="s">
        <v>1422</v>
      </c>
      <c r="D288" s="53" t="s">
        <v>1423</v>
      </c>
      <c r="E288" s="131">
        <v>45758</v>
      </c>
      <c r="F288" s="127" t="s">
        <v>370</v>
      </c>
      <c r="G288" s="127" t="s">
        <v>1184</v>
      </c>
      <c r="H288" s="54">
        <v>15784.7</v>
      </c>
      <c r="I288" s="138">
        <v>0.66400000000000003</v>
      </c>
      <c r="J288" s="44" t="s">
        <v>830</v>
      </c>
      <c r="K288" s="44" t="s">
        <v>1540</v>
      </c>
    </row>
    <row r="289" spans="1:11" x14ac:dyDescent="0.3">
      <c r="A289" s="126" t="s">
        <v>392</v>
      </c>
      <c r="B289" s="126" t="s">
        <v>7</v>
      </c>
      <c r="C289" s="53" t="s">
        <v>1424</v>
      </c>
      <c r="D289" s="53" t="s">
        <v>1425</v>
      </c>
      <c r="E289" s="131">
        <v>45758</v>
      </c>
      <c r="F289" s="127" t="s">
        <v>370</v>
      </c>
      <c r="G289" s="127" t="s">
        <v>1184</v>
      </c>
      <c r="H289" s="54">
        <v>8304.4</v>
      </c>
      <c r="I289" s="138">
        <v>0.51800000000000002</v>
      </c>
      <c r="J289" s="44" t="s">
        <v>830</v>
      </c>
      <c r="K289" s="44" t="s">
        <v>1540</v>
      </c>
    </row>
    <row r="290" spans="1:11" x14ac:dyDescent="0.3">
      <c r="A290" s="126" t="s">
        <v>392</v>
      </c>
      <c r="B290" s="126" t="s">
        <v>7</v>
      </c>
      <c r="C290" s="53" t="s">
        <v>1426</v>
      </c>
      <c r="D290" s="53" t="s">
        <v>1214</v>
      </c>
      <c r="E290" s="131">
        <v>45762</v>
      </c>
      <c r="F290" s="127" t="s">
        <v>371</v>
      </c>
      <c r="G290" s="127" t="s">
        <v>864</v>
      </c>
      <c r="H290" s="54">
        <v>1200</v>
      </c>
      <c r="I290" s="138">
        <v>0.64600000000000002</v>
      </c>
      <c r="J290" s="44" t="s">
        <v>848</v>
      </c>
      <c r="K290" s="44" t="s">
        <v>1540</v>
      </c>
    </row>
    <row r="291" spans="1:11" x14ac:dyDescent="0.3">
      <c r="A291" s="126" t="s">
        <v>392</v>
      </c>
      <c r="B291" s="126" t="s">
        <v>7</v>
      </c>
      <c r="C291" s="53" t="s">
        <v>1427</v>
      </c>
      <c r="D291" s="53" t="s">
        <v>1428</v>
      </c>
      <c r="E291" s="131">
        <v>45762</v>
      </c>
      <c r="F291" s="127" t="s">
        <v>842</v>
      </c>
      <c r="G291" s="127" t="s">
        <v>843</v>
      </c>
      <c r="H291" s="54">
        <v>22000</v>
      </c>
      <c r="I291" s="138">
        <v>0.436</v>
      </c>
      <c r="J291" s="44" t="s">
        <v>832</v>
      </c>
      <c r="K291" s="44" t="s">
        <v>1540</v>
      </c>
    </row>
    <row r="292" spans="1:11" x14ac:dyDescent="0.3">
      <c r="A292" s="126" t="s">
        <v>390</v>
      </c>
      <c r="B292" s="126" t="s">
        <v>7</v>
      </c>
      <c r="C292" s="53" t="s">
        <v>1429</v>
      </c>
      <c r="D292" s="53" t="s">
        <v>1430</v>
      </c>
      <c r="E292" s="131">
        <v>45762</v>
      </c>
      <c r="F292" s="127" t="s">
        <v>372</v>
      </c>
      <c r="G292" s="127" t="s">
        <v>10</v>
      </c>
      <c r="H292" s="54">
        <v>13800.4</v>
      </c>
      <c r="I292" s="138">
        <v>0.4</v>
      </c>
      <c r="J292" s="44" t="s">
        <v>833</v>
      </c>
      <c r="K292" s="44" t="s">
        <v>1541</v>
      </c>
    </row>
    <row r="293" spans="1:11" x14ac:dyDescent="0.3">
      <c r="A293" s="126" t="s">
        <v>390</v>
      </c>
      <c r="B293" s="126" t="s">
        <v>7</v>
      </c>
      <c r="C293" s="53" t="s">
        <v>1431</v>
      </c>
      <c r="D293" s="53" t="s">
        <v>1432</v>
      </c>
      <c r="E293" s="131">
        <v>45762</v>
      </c>
      <c r="F293" s="127" t="s">
        <v>372</v>
      </c>
      <c r="G293" s="127" t="s">
        <v>10</v>
      </c>
      <c r="H293" s="54">
        <v>104527.13</v>
      </c>
      <c r="I293" s="138">
        <v>0.32100000000000001</v>
      </c>
      <c r="J293" s="44" t="s">
        <v>833</v>
      </c>
      <c r="K293" s="44" t="s">
        <v>1542</v>
      </c>
    </row>
    <row r="294" spans="1:11" x14ac:dyDescent="0.3">
      <c r="A294" s="126" t="s">
        <v>392</v>
      </c>
      <c r="B294" s="126" t="s">
        <v>7</v>
      </c>
      <c r="C294" s="53" t="s">
        <v>1433</v>
      </c>
      <c r="D294" s="53" t="s">
        <v>1434</v>
      </c>
      <c r="E294" s="131">
        <v>45762</v>
      </c>
      <c r="F294" s="127" t="s">
        <v>370</v>
      </c>
      <c r="G294" s="127" t="s">
        <v>1184</v>
      </c>
      <c r="H294" s="54">
        <v>4100.2</v>
      </c>
      <c r="I294" s="138">
        <v>0.56100000000000005</v>
      </c>
      <c r="J294" s="44" t="s">
        <v>830</v>
      </c>
      <c r="K294" s="44" t="s">
        <v>1540</v>
      </c>
    </row>
    <row r="295" spans="1:11" x14ac:dyDescent="0.3">
      <c r="A295" s="126" t="s">
        <v>390</v>
      </c>
      <c r="B295" s="126" t="s">
        <v>7</v>
      </c>
      <c r="C295" s="53" t="s">
        <v>1435</v>
      </c>
      <c r="D295" s="53" t="s">
        <v>1436</v>
      </c>
      <c r="E295" s="131">
        <v>45762</v>
      </c>
      <c r="F295" s="127" t="s">
        <v>370</v>
      </c>
      <c r="G295" s="127" t="s">
        <v>1184</v>
      </c>
      <c r="H295" s="54">
        <v>17000</v>
      </c>
      <c r="I295" s="138">
        <v>0.63</v>
      </c>
      <c r="J295" s="44" t="s">
        <v>830</v>
      </c>
      <c r="K295" s="44" t="s">
        <v>1541</v>
      </c>
    </row>
    <row r="296" spans="1:11" x14ac:dyDescent="0.3">
      <c r="A296" s="126" t="s">
        <v>392</v>
      </c>
      <c r="B296" s="126" t="s">
        <v>7</v>
      </c>
      <c r="C296" s="53" t="s">
        <v>1437</v>
      </c>
      <c r="D296" s="53" t="s">
        <v>1438</v>
      </c>
      <c r="E296" s="131">
        <v>45762</v>
      </c>
      <c r="F296" s="127" t="s">
        <v>370</v>
      </c>
      <c r="G296" s="127" t="s">
        <v>1184</v>
      </c>
      <c r="H296" s="54">
        <v>14106.01</v>
      </c>
      <c r="I296" s="138">
        <v>0.47499999999999998</v>
      </c>
      <c r="J296" s="44" t="s">
        <v>830</v>
      </c>
      <c r="K296" s="44" t="s">
        <v>1540</v>
      </c>
    </row>
    <row r="297" spans="1:11" x14ac:dyDescent="0.3">
      <c r="A297" s="126" t="s">
        <v>392</v>
      </c>
      <c r="B297" s="126" t="s">
        <v>7</v>
      </c>
      <c r="C297" s="53" t="s">
        <v>1439</v>
      </c>
      <c r="D297" s="53" t="s">
        <v>1440</v>
      </c>
      <c r="E297" s="131">
        <v>45762</v>
      </c>
      <c r="F297" s="127" t="s">
        <v>370</v>
      </c>
      <c r="G297" s="127" t="s">
        <v>1184</v>
      </c>
      <c r="H297" s="54">
        <v>7053.01</v>
      </c>
      <c r="I297" s="138">
        <v>0.49</v>
      </c>
      <c r="J297" s="44" t="s">
        <v>830</v>
      </c>
      <c r="K297" s="44" t="s">
        <v>1540</v>
      </c>
    </row>
    <row r="298" spans="1:11" x14ac:dyDescent="0.3">
      <c r="A298" s="126" t="s">
        <v>392</v>
      </c>
      <c r="B298" s="126" t="s">
        <v>7</v>
      </c>
      <c r="C298" s="53" t="s">
        <v>1441</v>
      </c>
      <c r="D298" s="53" t="s">
        <v>1442</v>
      </c>
      <c r="E298" s="131">
        <v>45763</v>
      </c>
      <c r="F298" s="127" t="s">
        <v>372</v>
      </c>
      <c r="G298" s="127" t="s">
        <v>10</v>
      </c>
      <c r="H298" s="54">
        <v>22950.06</v>
      </c>
      <c r="I298" s="138">
        <v>0.41299999999999998</v>
      </c>
      <c r="J298" s="44" t="s">
        <v>848</v>
      </c>
      <c r="K298" s="44" t="s">
        <v>1540</v>
      </c>
    </row>
    <row r="299" spans="1:11" x14ac:dyDescent="0.3">
      <c r="A299" s="126" t="s">
        <v>392</v>
      </c>
      <c r="B299" s="126" t="s">
        <v>7</v>
      </c>
      <c r="C299" s="53" t="s">
        <v>1443</v>
      </c>
      <c r="D299" s="53" t="s">
        <v>1444</v>
      </c>
      <c r="E299" s="131">
        <v>45763</v>
      </c>
      <c r="F299" s="127" t="s">
        <v>372</v>
      </c>
      <c r="G299" s="127" t="s">
        <v>10</v>
      </c>
      <c r="H299" s="54">
        <v>22950.06</v>
      </c>
      <c r="I299" s="138">
        <v>0.41299999999999998</v>
      </c>
      <c r="J299" s="44" t="s">
        <v>848</v>
      </c>
      <c r="K299" s="44" t="s">
        <v>1540</v>
      </c>
    </row>
    <row r="300" spans="1:11" x14ac:dyDescent="0.3">
      <c r="A300" s="126" t="s">
        <v>390</v>
      </c>
      <c r="B300" s="126" t="s">
        <v>7</v>
      </c>
      <c r="C300" s="53" t="s">
        <v>1445</v>
      </c>
      <c r="D300" s="53" t="s">
        <v>1446</v>
      </c>
      <c r="E300" s="131">
        <v>45763</v>
      </c>
      <c r="F300" s="127" t="s">
        <v>375</v>
      </c>
      <c r="G300" s="127" t="s">
        <v>62</v>
      </c>
      <c r="H300" s="54">
        <v>42230.6</v>
      </c>
      <c r="I300" s="138">
        <v>0.375</v>
      </c>
      <c r="J300" s="44" t="s">
        <v>831</v>
      </c>
      <c r="K300" s="44" t="s">
        <v>1542</v>
      </c>
    </row>
    <row r="301" spans="1:11" x14ac:dyDescent="0.3">
      <c r="A301" s="126" t="s">
        <v>392</v>
      </c>
      <c r="B301" s="126" t="s">
        <v>7</v>
      </c>
      <c r="C301" s="53" t="s">
        <v>1447</v>
      </c>
      <c r="D301" s="53" t="s">
        <v>1448</v>
      </c>
      <c r="E301" s="131">
        <v>45764</v>
      </c>
      <c r="F301" s="127" t="s">
        <v>842</v>
      </c>
      <c r="G301" s="127" t="s">
        <v>843</v>
      </c>
      <c r="H301" s="54">
        <v>24110.76</v>
      </c>
      <c r="I301" s="138">
        <v>0.49</v>
      </c>
      <c r="J301" s="44" t="s">
        <v>832</v>
      </c>
      <c r="K301" s="44" t="s">
        <v>1540</v>
      </c>
    </row>
    <row r="302" spans="1:11" x14ac:dyDescent="0.3">
      <c r="A302" s="126" t="s">
        <v>390</v>
      </c>
      <c r="B302" s="126" t="s">
        <v>7</v>
      </c>
      <c r="C302" s="53" t="s">
        <v>1449</v>
      </c>
      <c r="D302" s="53" t="s">
        <v>1450</v>
      </c>
      <c r="E302" s="131">
        <v>45764</v>
      </c>
      <c r="F302" s="127" t="s">
        <v>375</v>
      </c>
      <c r="G302" s="127" t="s">
        <v>62</v>
      </c>
      <c r="H302" s="54">
        <v>42440.08</v>
      </c>
      <c r="I302" s="138">
        <v>0.38600000000000001</v>
      </c>
      <c r="J302" s="44" t="s">
        <v>831</v>
      </c>
      <c r="K302" s="44" t="s">
        <v>1542</v>
      </c>
    </row>
    <row r="303" spans="1:11" x14ac:dyDescent="0.3">
      <c r="A303" s="126" t="s">
        <v>392</v>
      </c>
      <c r="B303" s="126" t="s">
        <v>7</v>
      </c>
      <c r="C303" s="53" t="s">
        <v>1451</v>
      </c>
      <c r="D303" s="53" t="s">
        <v>1452</v>
      </c>
      <c r="E303" s="131">
        <v>45764</v>
      </c>
      <c r="F303" s="127" t="s">
        <v>370</v>
      </c>
      <c r="G303" s="127" t="s">
        <v>1184</v>
      </c>
      <c r="H303" s="54">
        <v>4098.3999999999996</v>
      </c>
      <c r="I303" s="138">
        <v>0.56100000000000005</v>
      </c>
      <c r="J303" s="44" t="s">
        <v>830</v>
      </c>
      <c r="K303" s="44" t="s">
        <v>1540</v>
      </c>
    </row>
    <row r="304" spans="1:11" x14ac:dyDescent="0.3">
      <c r="A304" s="126" t="s">
        <v>390</v>
      </c>
      <c r="B304" s="126" t="s">
        <v>7</v>
      </c>
      <c r="C304" s="53" t="s">
        <v>1453</v>
      </c>
      <c r="D304" s="53" t="s">
        <v>1454</v>
      </c>
      <c r="E304" s="131">
        <v>45764</v>
      </c>
      <c r="F304" s="127" t="s">
        <v>370</v>
      </c>
      <c r="G304" s="127" t="s">
        <v>1184</v>
      </c>
      <c r="H304" s="54">
        <v>16500</v>
      </c>
      <c r="I304" s="138">
        <v>0.66700000000000004</v>
      </c>
      <c r="J304" s="44" t="s">
        <v>830</v>
      </c>
      <c r="K304" s="44" t="s">
        <v>1541</v>
      </c>
    </row>
    <row r="305" spans="1:11" x14ac:dyDescent="0.3">
      <c r="A305" s="126" t="s">
        <v>392</v>
      </c>
      <c r="B305" s="126" t="s">
        <v>7</v>
      </c>
      <c r="C305" s="53" t="s">
        <v>1455</v>
      </c>
      <c r="D305" s="53" t="s">
        <v>1456</v>
      </c>
      <c r="E305" s="131">
        <v>45768</v>
      </c>
      <c r="F305" s="127" t="s">
        <v>370</v>
      </c>
      <c r="G305" s="127" t="s">
        <v>1184</v>
      </c>
      <c r="H305" s="54">
        <v>7100</v>
      </c>
      <c r="I305" s="138">
        <v>0.62</v>
      </c>
      <c r="J305" s="44" t="s">
        <v>830</v>
      </c>
      <c r="K305" s="44" t="s">
        <v>1540</v>
      </c>
    </row>
    <row r="306" spans="1:11" x14ac:dyDescent="0.3">
      <c r="A306" s="126" t="s">
        <v>392</v>
      </c>
      <c r="B306" s="126" t="s">
        <v>7</v>
      </c>
      <c r="C306" s="53" t="s">
        <v>1457</v>
      </c>
      <c r="D306" s="53" t="s">
        <v>1458</v>
      </c>
      <c r="E306" s="131">
        <v>45768</v>
      </c>
      <c r="F306" s="127" t="s">
        <v>370</v>
      </c>
      <c r="G306" s="127" t="s">
        <v>1184</v>
      </c>
      <c r="H306" s="54">
        <v>7100</v>
      </c>
      <c r="I306" s="138">
        <v>0.62</v>
      </c>
      <c r="J306" s="44" t="s">
        <v>830</v>
      </c>
      <c r="K306" s="44" t="s">
        <v>1540</v>
      </c>
    </row>
    <row r="307" spans="1:11" x14ac:dyDescent="0.3">
      <c r="A307" s="126" t="s">
        <v>392</v>
      </c>
      <c r="B307" s="126" t="s">
        <v>7</v>
      </c>
      <c r="C307" s="53" t="s">
        <v>1459</v>
      </c>
      <c r="D307" s="53" t="s">
        <v>1460</v>
      </c>
      <c r="E307" s="131">
        <v>45769</v>
      </c>
      <c r="F307" s="127" t="s">
        <v>372</v>
      </c>
      <c r="G307" s="127" t="s">
        <v>10</v>
      </c>
      <c r="H307" s="54">
        <v>22770.5</v>
      </c>
      <c r="I307" s="138">
        <v>0.46</v>
      </c>
      <c r="J307" s="44" t="s">
        <v>848</v>
      </c>
      <c r="K307" s="44" t="s">
        <v>1540</v>
      </c>
    </row>
    <row r="308" spans="1:11" x14ac:dyDescent="0.3">
      <c r="A308" s="126" t="s">
        <v>392</v>
      </c>
      <c r="B308" s="126" t="s">
        <v>7</v>
      </c>
      <c r="C308" s="53" t="s">
        <v>1461</v>
      </c>
      <c r="D308" s="53" t="s">
        <v>1462</v>
      </c>
      <c r="E308" s="131">
        <v>45769</v>
      </c>
      <c r="F308" s="127" t="s">
        <v>372</v>
      </c>
      <c r="G308" s="127" t="s">
        <v>10</v>
      </c>
      <c r="H308" s="54">
        <v>22817.26</v>
      </c>
      <c r="I308" s="138">
        <v>0.46100000000000002</v>
      </c>
      <c r="J308" s="44" t="s">
        <v>848</v>
      </c>
      <c r="K308" s="44" t="s">
        <v>1540</v>
      </c>
    </row>
    <row r="309" spans="1:11" x14ac:dyDescent="0.3">
      <c r="A309" s="126" t="s">
        <v>392</v>
      </c>
      <c r="B309" s="126" t="s">
        <v>7</v>
      </c>
      <c r="C309" s="53" t="s">
        <v>1463</v>
      </c>
      <c r="D309" s="53" t="s">
        <v>1464</v>
      </c>
      <c r="E309" s="131">
        <v>45769</v>
      </c>
      <c r="F309" s="127" t="s">
        <v>370</v>
      </c>
      <c r="G309" s="127" t="s">
        <v>1184</v>
      </c>
      <c r="H309" s="54">
        <v>5604.26</v>
      </c>
      <c r="I309" s="138">
        <v>0.53600000000000003</v>
      </c>
      <c r="J309" s="44" t="s">
        <v>830</v>
      </c>
      <c r="K309" s="44" t="s">
        <v>1540</v>
      </c>
    </row>
    <row r="310" spans="1:11" x14ac:dyDescent="0.3">
      <c r="A310" s="126" t="s">
        <v>390</v>
      </c>
      <c r="B310" s="126" t="s">
        <v>7</v>
      </c>
      <c r="C310" s="53" t="s">
        <v>1465</v>
      </c>
      <c r="D310" s="53" t="s">
        <v>1466</v>
      </c>
      <c r="E310" s="131">
        <v>45769</v>
      </c>
      <c r="F310" s="127" t="s">
        <v>375</v>
      </c>
      <c r="G310" s="127" t="s">
        <v>62</v>
      </c>
      <c r="H310" s="54">
        <v>61356.28</v>
      </c>
      <c r="I310" s="138">
        <v>0.61799999999999999</v>
      </c>
      <c r="J310" s="44" t="s">
        <v>831</v>
      </c>
      <c r="K310" s="44" t="s">
        <v>1542</v>
      </c>
    </row>
    <row r="311" spans="1:11" x14ac:dyDescent="0.3">
      <c r="A311" s="126" t="s">
        <v>390</v>
      </c>
      <c r="B311" s="126" t="s">
        <v>7</v>
      </c>
      <c r="C311" s="53" t="s">
        <v>1467</v>
      </c>
      <c r="D311" s="53" t="s">
        <v>1468</v>
      </c>
      <c r="E311" s="131">
        <v>45770</v>
      </c>
      <c r="F311" s="127" t="s">
        <v>375</v>
      </c>
      <c r="G311" s="127" t="s">
        <v>62</v>
      </c>
      <c r="H311" s="54">
        <v>41216.19</v>
      </c>
      <c r="I311" s="138">
        <v>0.41499999999999998</v>
      </c>
      <c r="J311" s="44" t="s">
        <v>831</v>
      </c>
      <c r="K311" s="44" t="s">
        <v>1541</v>
      </c>
    </row>
    <row r="312" spans="1:11" x14ac:dyDescent="0.3">
      <c r="A312" s="126" t="s">
        <v>392</v>
      </c>
      <c r="B312" s="126" t="s">
        <v>7</v>
      </c>
      <c r="C312" s="53" t="s">
        <v>1469</v>
      </c>
      <c r="D312" s="53" t="s">
        <v>1470</v>
      </c>
      <c r="E312" s="131">
        <v>45771</v>
      </c>
      <c r="F312" s="127" t="s">
        <v>370</v>
      </c>
      <c r="G312" s="127" t="s">
        <v>1184</v>
      </c>
      <c r="H312" s="54">
        <v>4004.26</v>
      </c>
      <c r="I312" s="138">
        <v>0.55000000000000004</v>
      </c>
      <c r="J312" s="44" t="s">
        <v>830</v>
      </c>
      <c r="K312" s="44" t="s">
        <v>1540</v>
      </c>
    </row>
    <row r="313" spans="1:11" x14ac:dyDescent="0.3">
      <c r="A313" s="126" t="s">
        <v>392</v>
      </c>
      <c r="B313" s="126" t="s">
        <v>7</v>
      </c>
      <c r="C313" s="53" t="s">
        <v>1471</v>
      </c>
      <c r="D313" s="53" t="s">
        <v>1472</v>
      </c>
      <c r="E313" s="131">
        <v>45771</v>
      </c>
      <c r="F313" s="127" t="s">
        <v>842</v>
      </c>
      <c r="G313" s="127" t="s">
        <v>843</v>
      </c>
      <c r="H313" s="54">
        <v>22000</v>
      </c>
      <c r="I313" s="138">
        <v>0.44500000000000001</v>
      </c>
      <c r="J313" s="44" t="s">
        <v>832</v>
      </c>
      <c r="K313" s="44" t="s">
        <v>1540</v>
      </c>
    </row>
    <row r="314" spans="1:11" x14ac:dyDescent="0.3">
      <c r="A314" s="126" t="s">
        <v>390</v>
      </c>
      <c r="B314" s="126" t="s">
        <v>7</v>
      </c>
      <c r="C314" s="53" t="s">
        <v>1473</v>
      </c>
      <c r="D314" s="53" t="s">
        <v>1474</v>
      </c>
      <c r="E314" s="131">
        <v>45771</v>
      </c>
      <c r="F314" s="127" t="s">
        <v>375</v>
      </c>
      <c r="G314" s="127" t="s">
        <v>62</v>
      </c>
      <c r="H314" s="54">
        <v>41923.370000000003</v>
      </c>
      <c r="I314" s="138">
        <v>0.378</v>
      </c>
      <c r="J314" s="44" t="s">
        <v>831</v>
      </c>
      <c r="K314" s="44" t="s">
        <v>1542</v>
      </c>
    </row>
    <row r="315" spans="1:11" x14ac:dyDescent="0.3">
      <c r="A315" s="126" t="s">
        <v>390</v>
      </c>
      <c r="B315" s="126" t="s">
        <v>7</v>
      </c>
      <c r="C315" s="53" t="s">
        <v>1475</v>
      </c>
      <c r="D315" s="53" t="s">
        <v>1476</v>
      </c>
      <c r="E315" s="131">
        <v>45772</v>
      </c>
      <c r="F315" s="127" t="s">
        <v>372</v>
      </c>
      <c r="G315" s="127" t="s">
        <v>10</v>
      </c>
      <c r="H315" s="54">
        <v>47161.18</v>
      </c>
      <c r="I315" s="138">
        <v>0.20300000000000001</v>
      </c>
      <c r="J315" s="44" t="s">
        <v>833</v>
      </c>
      <c r="K315" s="44" t="s">
        <v>1541</v>
      </c>
    </row>
    <row r="316" spans="1:11" x14ac:dyDescent="0.3">
      <c r="A316" s="126" t="s">
        <v>392</v>
      </c>
      <c r="B316" s="126" t="s">
        <v>7</v>
      </c>
      <c r="C316" s="53" t="s">
        <v>1477</v>
      </c>
      <c r="D316" s="53" t="s">
        <v>1478</v>
      </c>
      <c r="E316" s="131">
        <v>45775</v>
      </c>
      <c r="F316" s="127" t="s">
        <v>370</v>
      </c>
      <c r="G316" s="127" t="s">
        <v>1184</v>
      </c>
      <c r="H316" s="54">
        <v>3913.76</v>
      </c>
      <c r="I316" s="138">
        <v>0.54</v>
      </c>
      <c r="J316" s="44" t="s">
        <v>830</v>
      </c>
      <c r="K316" s="44" t="s">
        <v>1540</v>
      </c>
    </row>
    <row r="317" spans="1:11" x14ac:dyDescent="0.3">
      <c r="A317" s="126" t="s">
        <v>390</v>
      </c>
      <c r="B317" s="126" t="s">
        <v>7</v>
      </c>
      <c r="C317" s="53" t="s">
        <v>1479</v>
      </c>
      <c r="D317" s="53" t="s">
        <v>1480</v>
      </c>
      <c r="E317" s="131">
        <v>45775</v>
      </c>
      <c r="F317" s="127" t="s">
        <v>370</v>
      </c>
      <c r="G317" s="127" t="s">
        <v>1184</v>
      </c>
      <c r="H317" s="54">
        <v>8500</v>
      </c>
      <c r="I317" s="138">
        <v>0.59099999999999997</v>
      </c>
      <c r="J317" s="44" t="s">
        <v>830</v>
      </c>
      <c r="K317" s="44" t="s">
        <v>1541</v>
      </c>
    </row>
    <row r="318" spans="1:11" x14ac:dyDescent="0.3">
      <c r="A318" s="126" t="s">
        <v>390</v>
      </c>
      <c r="B318" s="126" t="s">
        <v>7</v>
      </c>
      <c r="C318" s="53" t="s">
        <v>1481</v>
      </c>
      <c r="D318" s="53" t="s">
        <v>1482</v>
      </c>
      <c r="E318" s="131">
        <v>45775</v>
      </c>
      <c r="F318" s="127" t="s">
        <v>372</v>
      </c>
      <c r="G318" s="127" t="s">
        <v>10</v>
      </c>
      <c r="H318" s="54">
        <v>3540</v>
      </c>
      <c r="I318" s="138">
        <v>0.25900000000000001</v>
      </c>
      <c r="J318" s="44" t="s">
        <v>833</v>
      </c>
      <c r="K318" s="44" t="s">
        <v>1542</v>
      </c>
    </row>
    <row r="319" spans="1:11" x14ac:dyDescent="0.3">
      <c r="A319" s="126" t="s">
        <v>390</v>
      </c>
      <c r="B319" s="126" t="s">
        <v>7</v>
      </c>
      <c r="C319" s="53" t="s">
        <v>1483</v>
      </c>
      <c r="D319" s="53" t="s">
        <v>1484</v>
      </c>
      <c r="E319" s="131">
        <v>45775</v>
      </c>
      <c r="F319" s="127" t="s">
        <v>372</v>
      </c>
      <c r="G319" s="127" t="s">
        <v>10</v>
      </c>
      <c r="H319" s="54">
        <v>3540</v>
      </c>
      <c r="I319" s="138">
        <v>0.25900000000000001</v>
      </c>
      <c r="J319" s="44" t="s">
        <v>833</v>
      </c>
      <c r="K319" s="44" t="s">
        <v>1542</v>
      </c>
    </row>
    <row r="320" spans="1:11" x14ac:dyDescent="0.3">
      <c r="A320" s="126" t="s">
        <v>392</v>
      </c>
      <c r="B320" s="126" t="s">
        <v>7</v>
      </c>
      <c r="C320" s="53" t="s">
        <v>1485</v>
      </c>
      <c r="D320" s="53" t="s">
        <v>1486</v>
      </c>
      <c r="E320" s="131">
        <v>45775</v>
      </c>
      <c r="F320" s="127" t="s">
        <v>372</v>
      </c>
      <c r="G320" s="127" t="s">
        <v>10</v>
      </c>
      <c r="H320" s="54">
        <v>41500</v>
      </c>
      <c r="I320" s="138">
        <v>0.45100000000000001</v>
      </c>
      <c r="J320" s="44" t="s">
        <v>848</v>
      </c>
      <c r="K320" s="44" t="s">
        <v>1540</v>
      </c>
    </row>
    <row r="321" spans="1:11" x14ac:dyDescent="0.3">
      <c r="A321" s="126" t="s">
        <v>392</v>
      </c>
      <c r="B321" s="126" t="s">
        <v>7</v>
      </c>
      <c r="C321" s="53" t="s">
        <v>1487</v>
      </c>
      <c r="D321" s="53" t="s">
        <v>1488</v>
      </c>
      <c r="E321" s="131">
        <v>45775</v>
      </c>
      <c r="F321" s="127" t="s">
        <v>372</v>
      </c>
      <c r="G321" s="127" t="s">
        <v>10</v>
      </c>
      <c r="H321" s="54">
        <v>5500</v>
      </c>
      <c r="I321" s="138">
        <v>0.42699999999999999</v>
      </c>
      <c r="J321" s="44" t="s">
        <v>848</v>
      </c>
      <c r="K321" s="44" t="s">
        <v>1540</v>
      </c>
    </row>
    <row r="322" spans="1:11" x14ac:dyDescent="0.3">
      <c r="A322" s="126" t="s">
        <v>390</v>
      </c>
      <c r="B322" s="126" t="s">
        <v>7</v>
      </c>
      <c r="C322" s="53" t="s">
        <v>1489</v>
      </c>
      <c r="D322" s="53" t="s">
        <v>1490</v>
      </c>
      <c r="E322" s="131">
        <v>45775</v>
      </c>
      <c r="F322" s="127" t="s">
        <v>372</v>
      </c>
      <c r="G322" s="127" t="s">
        <v>10</v>
      </c>
      <c r="H322" s="54">
        <v>20879.54</v>
      </c>
      <c r="I322" s="138">
        <v>0.251</v>
      </c>
      <c r="J322" s="44" t="s">
        <v>833</v>
      </c>
      <c r="K322" s="44" t="s">
        <v>1541</v>
      </c>
    </row>
    <row r="323" spans="1:11" x14ac:dyDescent="0.3">
      <c r="A323" s="126" t="s">
        <v>392</v>
      </c>
      <c r="B323" s="126" t="s">
        <v>7</v>
      </c>
      <c r="C323" s="53" t="s">
        <v>1491</v>
      </c>
      <c r="D323" s="53" t="s">
        <v>1492</v>
      </c>
      <c r="E323" s="131">
        <v>45775</v>
      </c>
      <c r="F323" s="127" t="s">
        <v>371</v>
      </c>
      <c r="G323" s="127" t="s">
        <v>864</v>
      </c>
      <c r="H323" s="54">
        <v>7781.2</v>
      </c>
      <c r="I323" s="138">
        <v>0.85599999999999998</v>
      </c>
      <c r="J323" s="44" t="s">
        <v>848</v>
      </c>
      <c r="K323" s="44" t="s">
        <v>1540</v>
      </c>
    </row>
    <row r="324" spans="1:11" x14ac:dyDescent="0.3">
      <c r="A324" s="126" t="s">
        <v>392</v>
      </c>
      <c r="B324" s="126" t="s">
        <v>7</v>
      </c>
      <c r="C324" s="53" t="s">
        <v>1493</v>
      </c>
      <c r="D324" s="53" t="s">
        <v>1494</v>
      </c>
      <c r="E324" s="131">
        <v>45775</v>
      </c>
      <c r="F324" s="127" t="s">
        <v>842</v>
      </c>
      <c r="G324" s="127" t="s">
        <v>843</v>
      </c>
      <c r="H324" s="54">
        <v>22000</v>
      </c>
      <c r="I324" s="138">
        <v>0.48399999999999999</v>
      </c>
      <c r="J324" s="44" t="s">
        <v>832</v>
      </c>
      <c r="K324" s="44" t="s">
        <v>1540</v>
      </c>
    </row>
    <row r="325" spans="1:11" x14ac:dyDescent="0.3">
      <c r="A325" s="126" t="s">
        <v>392</v>
      </c>
      <c r="B325" s="126" t="s">
        <v>7</v>
      </c>
      <c r="C325" s="53" t="s">
        <v>1495</v>
      </c>
      <c r="D325" s="53" t="s">
        <v>1496</v>
      </c>
      <c r="E325" s="131">
        <v>45775</v>
      </c>
      <c r="F325" s="127" t="s">
        <v>842</v>
      </c>
      <c r="G325" s="127" t="s">
        <v>843</v>
      </c>
      <c r="H325" s="54">
        <v>22000</v>
      </c>
      <c r="I325" s="138">
        <v>0.48399999999999999</v>
      </c>
      <c r="J325" s="44" t="s">
        <v>832</v>
      </c>
      <c r="K325" s="44" t="s">
        <v>1540</v>
      </c>
    </row>
    <row r="326" spans="1:11" x14ac:dyDescent="0.3">
      <c r="A326" s="126" t="s">
        <v>392</v>
      </c>
      <c r="B326" s="126" t="s">
        <v>7</v>
      </c>
      <c r="C326" s="53" t="s">
        <v>1497</v>
      </c>
      <c r="D326" s="53" t="s">
        <v>1498</v>
      </c>
      <c r="E326" s="131">
        <v>45775</v>
      </c>
      <c r="F326" s="127" t="s">
        <v>842</v>
      </c>
      <c r="G326" s="127" t="s">
        <v>843</v>
      </c>
      <c r="H326" s="54">
        <v>22000</v>
      </c>
      <c r="I326" s="138">
        <v>0.46300000000000002</v>
      </c>
      <c r="J326" s="44" t="s">
        <v>832</v>
      </c>
      <c r="K326" s="44" t="s">
        <v>1540</v>
      </c>
    </row>
    <row r="327" spans="1:11" x14ac:dyDescent="0.3">
      <c r="A327" s="126" t="s">
        <v>392</v>
      </c>
      <c r="B327" s="126" t="s">
        <v>7</v>
      </c>
      <c r="C327" s="53" t="s">
        <v>1499</v>
      </c>
      <c r="D327" s="53" t="s">
        <v>1500</v>
      </c>
      <c r="E327" s="131">
        <v>45775</v>
      </c>
      <c r="F327" s="127" t="s">
        <v>842</v>
      </c>
      <c r="G327" s="127" t="s">
        <v>843</v>
      </c>
      <c r="H327" s="54">
        <v>22000</v>
      </c>
      <c r="I327" s="138">
        <v>0.46300000000000002</v>
      </c>
      <c r="J327" s="44" t="s">
        <v>832</v>
      </c>
      <c r="K327" s="44" t="s">
        <v>1540</v>
      </c>
    </row>
    <row r="328" spans="1:11" x14ac:dyDescent="0.3">
      <c r="A328" s="126" t="s">
        <v>392</v>
      </c>
      <c r="B328" s="126" t="s">
        <v>7</v>
      </c>
      <c r="C328" s="53" t="s">
        <v>1501</v>
      </c>
      <c r="D328" s="53" t="s">
        <v>1502</v>
      </c>
      <c r="E328" s="131">
        <v>45776</v>
      </c>
      <c r="F328" s="127" t="s">
        <v>370</v>
      </c>
      <c r="G328" s="127" t="s">
        <v>1184</v>
      </c>
      <c r="H328" s="54">
        <v>3925.56</v>
      </c>
      <c r="I328" s="138">
        <v>0.54100000000000004</v>
      </c>
      <c r="J328" s="44" t="s">
        <v>830</v>
      </c>
      <c r="K328" s="44" t="s">
        <v>1540</v>
      </c>
    </row>
    <row r="329" spans="1:11" x14ac:dyDescent="0.3">
      <c r="A329" s="126" t="s">
        <v>392</v>
      </c>
      <c r="B329" s="126" t="s">
        <v>7</v>
      </c>
      <c r="C329" s="53" t="s">
        <v>1503</v>
      </c>
      <c r="D329" s="53" t="s">
        <v>1504</v>
      </c>
      <c r="E329" s="131">
        <v>45776</v>
      </c>
      <c r="F329" s="127" t="s">
        <v>370</v>
      </c>
      <c r="G329" s="127" t="s">
        <v>1184</v>
      </c>
      <c r="H329" s="54">
        <v>8856.9500000000007</v>
      </c>
      <c r="I329" s="138">
        <v>0.59399999999999997</v>
      </c>
      <c r="J329" s="44" t="s">
        <v>830</v>
      </c>
      <c r="K329" s="44" t="s">
        <v>1540</v>
      </c>
    </row>
    <row r="330" spans="1:11" x14ac:dyDescent="0.3">
      <c r="A330" s="126" t="s">
        <v>390</v>
      </c>
      <c r="B330" s="126" t="s">
        <v>7</v>
      </c>
      <c r="C330" s="53" t="s">
        <v>1505</v>
      </c>
      <c r="D330" s="53" t="s">
        <v>1506</v>
      </c>
      <c r="E330" s="131">
        <v>45776</v>
      </c>
      <c r="F330" s="127" t="s">
        <v>375</v>
      </c>
      <c r="G330" s="127" t="s">
        <v>62</v>
      </c>
      <c r="H330" s="54">
        <v>101762.78</v>
      </c>
      <c r="I330" s="138">
        <v>0.34399999999999997</v>
      </c>
      <c r="J330" s="44" t="s">
        <v>831</v>
      </c>
      <c r="K330" s="44" t="s">
        <v>1542</v>
      </c>
    </row>
    <row r="331" spans="1:11" x14ac:dyDescent="0.3">
      <c r="A331" s="126" t="s">
        <v>392</v>
      </c>
      <c r="B331" s="126" t="s">
        <v>7</v>
      </c>
      <c r="C331" s="53" t="s">
        <v>1507</v>
      </c>
      <c r="D331" s="53" t="s">
        <v>1508</v>
      </c>
      <c r="E331" s="131">
        <v>45777</v>
      </c>
      <c r="F331" s="127" t="s">
        <v>370</v>
      </c>
      <c r="G331" s="127" t="s">
        <v>1184</v>
      </c>
      <c r="H331" s="54">
        <v>14480.93</v>
      </c>
      <c r="I331" s="138">
        <v>0.63400000000000001</v>
      </c>
      <c r="J331" s="44" t="s">
        <v>830</v>
      </c>
      <c r="K331" s="44" t="s">
        <v>1540</v>
      </c>
    </row>
    <row r="332" spans="1:11" x14ac:dyDescent="0.3">
      <c r="A332" s="126" t="s">
        <v>392</v>
      </c>
      <c r="B332" s="126" t="s">
        <v>7</v>
      </c>
      <c r="C332" s="53" t="s">
        <v>1509</v>
      </c>
      <c r="D332" s="53" t="s">
        <v>1510</v>
      </c>
      <c r="E332" s="131">
        <v>45777</v>
      </c>
      <c r="F332" s="127" t="s">
        <v>842</v>
      </c>
      <c r="G332" s="127" t="s">
        <v>843</v>
      </c>
      <c r="H332" s="54">
        <v>22000</v>
      </c>
      <c r="I332" s="138">
        <v>0.46300000000000002</v>
      </c>
      <c r="J332" s="44" t="s">
        <v>832</v>
      </c>
      <c r="K332" s="44" t="s">
        <v>1540</v>
      </c>
    </row>
    <row r="333" spans="1:11" x14ac:dyDescent="0.3">
      <c r="A333" s="126" t="s">
        <v>392</v>
      </c>
      <c r="B333" s="126" t="s">
        <v>7</v>
      </c>
      <c r="C333" s="53" t="s">
        <v>1511</v>
      </c>
      <c r="D333" s="53" t="s">
        <v>1512</v>
      </c>
      <c r="E333" s="131">
        <v>45777</v>
      </c>
      <c r="F333" s="127" t="s">
        <v>842</v>
      </c>
      <c r="G333" s="127" t="s">
        <v>843</v>
      </c>
      <c r="H333" s="54">
        <v>22000</v>
      </c>
      <c r="I333" s="138">
        <v>0.48399999999999999</v>
      </c>
      <c r="J333" s="44" t="s">
        <v>832</v>
      </c>
      <c r="K333" s="44" t="s">
        <v>1540</v>
      </c>
    </row>
    <row r="334" spans="1:11" x14ac:dyDescent="0.3">
      <c r="A334" s="126" t="s">
        <v>392</v>
      </c>
      <c r="B334" s="126" t="s">
        <v>7</v>
      </c>
      <c r="C334" s="53" t="s">
        <v>1513</v>
      </c>
      <c r="D334" s="53" t="s">
        <v>1514</v>
      </c>
      <c r="E334" s="131">
        <v>45777</v>
      </c>
      <c r="F334" s="127" t="s">
        <v>842</v>
      </c>
      <c r="G334" s="127" t="s">
        <v>843</v>
      </c>
      <c r="H334" s="54">
        <v>22000</v>
      </c>
      <c r="I334" s="138">
        <v>0.46600000000000003</v>
      </c>
      <c r="J334" s="44" t="s">
        <v>832</v>
      </c>
      <c r="K334" s="44" t="s">
        <v>1540</v>
      </c>
    </row>
    <row r="335" spans="1:11" x14ac:dyDescent="0.3">
      <c r="A335" s="126" t="s">
        <v>390</v>
      </c>
      <c r="B335" s="126" t="s">
        <v>7</v>
      </c>
      <c r="C335" s="53" t="s">
        <v>1515</v>
      </c>
      <c r="D335" s="53" t="s">
        <v>1516</v>
      </c>
      <c r="E335" s="131">
        <v>45777</v>
      </c>
      <c r="F335" s="127" t="s">
        <v>371</v>
      </c>
      <c r="G335" s="127" t="s">
        <v>864</v>
      </c>
      <c r="H335" s="54">
        <v>13954.05</v>
      </c>
      <c r="I335" s="138">
        <v>0.51</v>
      </c>
      <c r="J335" s="44" t="s">
        <v>832</v>
      </c>
      <c r="K335" s="44" t="s">
        <v>1541</v>
      </c>
    </row>
    <row r="336" spans="1:11" x14ac:dyDescent="0.3">
      <c r="A336" s="126" t="s">
        <v>390</v>
      </c>
      <c r="B336" s="126" t="s">
        <v>7</v>
      </c>
      <c r="C336" s="53" t="s">
        <v>1517</v>
      </c>
      <c r="D336" s="53" t="s">
        <v>1518</v>
      </c>
      <c r="E336" s="131">
        <v>45777</v>
      </c>
      <c r="F336" s="127" t="s">
        <v>370</v>
      </c>
      <c r="G336" s="127" t="s">
        <v>1184</v>
      </c>
      <c r="H336" s="54">
        <v>15500</v>
      </c>
      <c r="I336" s="138">
        <v>0.57299999999999995</v>
      </c>
      <c r="J336" s="44" t="s">
        <v>830</v>
      </c>
      <c r="K336" s="44" t="s">
        <v>1541</v>
      </c>
    </row>
    <row r="337" spans="1:11" x14ac:dyDescent="0.3">
      <c r="A337" s="126" t="s">
        <v>390</v>
      </c>
      <c r="B337" s="126" t="s">
        <v>7</v>
      </c>
      <c r="C337" s="53" t="s">
        <v>1519</v>
      </c>
      <c r="D337" s="53" t="s">
        <v>1520</v>
      </c>
      <c r="E337" s="131">
        <v>45777</v>
      </c>
      <c r="F337" s="127" t="s">
        <v>375</v>
      </c>
      <c r="G337" s="127" t="s">
        <v>62</v>
      </c>
      <c r="H337" s="54">
        <v>42440.32</v>
      </c>
      <c r="I337" s="138">
        <v>0.51100000000000001</v>
      </c>
      <c r="J337" s="44" t="s">
        <v>831</v>
      </c>
      <c r="K337" s="44" t="s">
        <v>1542</v>
      </c>
    </row>
    <row r="338" spans="1:11" x14ac:dyDescent="0.3">
      <c r="A338" s="126" t="s">
        <v>392</v>
      </c>
      <c r="B338" s="126" t="s">
        <v>7</v>
      </c>
      <c r="C338" s="53" t="s">
        <v>1521</v>
      </c>
      <c r="D338" s="53" t="s">
        <v>1522</v>
      </c>
      <c r="E338" s="131">
        <v>45777</v>
      </c>
      <c r="F338" s="127" t="s">
        <v>370</v>
      </c>
      <c r="G338" s="127" t="s">
        <v>1184</v>
      </c>
      <c r="H338" s="54">
        <v>3916.5</v>
      </c>
      <c r="I338" s="138">
        <v>0.54</v>
      </c>
      <c r="J338" s="44" t="s">
        <v>830</v>
      </c>
      <c r="K338" s="44" t="s">
        <v>1540</v>
      </c>
    </row>
    <row r="339" spans="1:11" x14ac:dyDescent="0.3">
      <c r="A339" s="126" t="s">
        <v>390</v>
      </c>
      <c r="B339" s="126" t="s">
        <v>7</v>
      </c>
      <c r="C339" s="53" t="s">
        <v>1523</v>
      </c>
      <c r="D339" s="53" t="s">
        <v>1524</v>
      </c>
      <c r="E339" s="131">
        <v>45777</v>
      </c>
      <c r="F339" s="127" t="s">
        <v>375</v>
      </c>
      <c r="G339" s="127" t="s">
        <v>62</v>
      </c>
      <c r="H339" s="54">
        <v>42980.81</v>
      </c>
      <c r="I339" s="138">
        <v>0.39500000000000002</v>
      </c>
      <c r="J339" s="44" t="s">
        <v>831</v>
      </c>
      <c r="K339" s="44" t="s">
        <v>1542</v>
      </c>
    </row>
    <row r="340" spans="1:11" x14ac:dyDescent="0.3">
      <c r="A340" s="126" t="s">
        <v>390</v>
      </c>
      <c r="B340" s="126" t="s">
        <v>7</v>
      </c>
      <c r="C340" s="53" t="s">
        <v>1525</v>
      </c>
      <c r="D340" s="53" t="s">
        <v>1526</v>
      </c>
      <c r="E340" s="131">
        <v>45777</v>
      </c>
      <c r="F340" s="127" t="s">
        <v>375</v>
      </c>
      <c r="G340" s="127" t="s">
        <v>62</v>
      </c>
      <c r="H340" s="54">
        <v>17870.64</v>
      </c>
      <c r="I340" s="138">
        <v>0.873</v>
      </c>
      <c r="J340" s="44" t="s">
        <v>831</v>
      </c>
      <c r="K340" s="44" t="s">
        <v>1541</v>
      </c>
    </row>
    <row r="341" spans="1:11" x14ac:dyDescent="0.3">
      <c r="A341" s="126" t="s">
        <v>390</v>
      </c>
      <c r="B341" s="126" t="s">
        <v>7</v>
      </c>
      <c r="C341" s="53" t="s">
        <v>1527</v>
      </c>
      <c r="D341" s="53" t="s">
        <v>1378</v>
      </c>
      <c r="E341" s="131">
        <v>45777</v>
      </c>
      <c r="F341" s="127" t="s">
        <v>1007</v>
      </c>
      <c r="G341" s="127" t="s">
        <v>865</v>
      </c>
      <c r="H341" s="54">
        <v>3045.89</v>
      </c>
      <c r="I341" s="138">
        <v>0.33</v>
      </c>
      <c r="J341" s="44" t="s">
        <v>831</v>
      </c>
      <c r="K341" s="44" t="s">
        <v>1542</v>
      </c>
    </row>
    <row r="342" spans="1:11" x14ac:dyDescent="0.3">
      <c r="A342" s="126" t="s">
        <v>390</v>
      </c>
      <c r="B342" s="126" t="s">
        <v>7</v>
      </c>
      <c r="C342" s="53" t="s">
        <v>1528</v>
      </c>
      <c r="D342" s="53" t="s">
        <v>1529</v>
      </c>
      <c r="E342" s="131">
        <v>45777</v>
      </c>
      <c r="F342" s="127" t="s">
        <v>375</v>
      </c>
      <c r="G342" s="127" t="s">
        <v>62</v>
      </c>
      <c r="H342" s="54">
        <v>34491.24</v>
      </c>
      <c r="I342" s="138">
        <v>0.46400000000000002</v>
      </c>
      <c r="J342" s="44" t="s">
        <v>831</v>
      </c>
      <c r="K342" s="44" t="s">
        <v>1542</v>
      </c>
    </row>
    <row r="343" spans="1:11" x14ac:dyDescent="0.3">
      <c r="A343" s="126" t="s">
        <v>390</v>
      </c>
      <c r="B343" s="126" t="s">
        <v>7</v>
      </c>
      <c r="C343" s="53" t="s">
        <v>1530</v>
      </c>
      <c r="D343" s="53" t="s">
        <v>1531</v>
      </c>
      <c r="E343" s="131">
        <v>45756</v>
      </c>
      <c r="F343" s="127" t="s">
        <v>372</v>
      </c>
      <c r="G343" s="127" t="s">
        <v>10</v>
      </c>
      <c r="H343" s="54">
        <v>73098.523119999998</v>
      </c>
      <c r="I343" s="138">
        <v>0.27300000000000002</v>
      </c>
      <c r="J343" s="44" t="s">
        <v>833</v>
      </c>
      <c r="K343" s="44" t="s">
        <v>1542</v>
      </c>
    </row>
    <row r="344" spans="1:11" x14ac:dyDescent="0.3">
      <c r="A344" s="126" t="s">
        <v>390</v>
      </c>
      <c r="B344" s="126" t="s">
        <v>7</v>
      </c>
      <c r="C344" s="53" t="s">
        <v>1532</v>
      </c>
      <c r="D344" s="53" t="s">
        <v>1533</v>
      </c>
      <c r="E344" s="131">
        <v>45772</v>
      </c>
      <c r="F344" s="127" t="s">
        <v>1175</v>
      </c>
      <c r="G344" s="127" t="s">
        <v>852</v>
      </c>
      <c r="H344" s="54">
        <v>4308.1499999999996</v>
      </c>
      <c r="I344" s="138">
        <v>0.57799999999999996</v>
      </c>
      <c r="J344" s="44" t="s">
        <v>831</v>
      </c>
      <c r="K344" s="44" t="s">
        <v>1542</v>
      </c>
    </row>
    <row r="345" spans="1:11" x14ac:dyDescent="0.3">
      <c r="A345" s="126" t="s">
        <v>390</v>
      </c>
      <c r="B345" s="126" t="s">
        <v>7</v>
      </c>
      <c r="C345" s="53" t="s">
        <v>1534</v>
      </c>
      <c r="D345" s="53" t="s">
        <v>1533</v>
      </c>
      <c r="E345" s="131">
        <v>45772</v>
      </c>
      <c r="F345" s="127" t="s">
        <v>1175</v>
      </c>
      <c r="G345" s="127" t="s">
        <v>852</v>
      </c>
      <c r="H345" s="54">
        <v>3015.7049999999999</v>
      </c>
      <c r="I345" s="138">
        <v>0.57799999999999996</v>
      </c>
      <c r="J345" s="44" t="s">
        <v>831</v>
      </c>
      <c r="K345" s="44" t="s">
        <v>1542</v>
      </c>
    </row>
    <row r="346" spans="1:11" x14ac:dyDescent="0.3">
      <c r="A346" s="126" t="s">
        <v>392</v>
      </c>
      <c r="B346" s="126" t="s">
        <v>7</v>
      </c>
      <c r="C346" s="53" t="s">
        <v>1535</v>
      </c>
      <c r="D346" s="53" t="s">
        <v>1536</v>
      </c>
      <c r="E346" s="131">
        <v>45763</v>
      </c>
      <c r="F346" s="127" t="s">
        <v>844</v>
      </c>
      <c r="G346" s="127" t="s">
        <v>863</v>
      </c>
      <c r="H346" s="54">
        <v>120127.8</v>
      </c>
      <c r="I346" s="138">
        <v>0.18</v>
      </c>
      <c r="J346" s="44" t="s">
        <v>848</v>
      </c>
      <c r="K346" s="44" t="s">
        <v>1540</v>
      </c>
    </row>
    <row r="347" spans="1:11" x14ac:dyDescent="0.3">
      <c r="A347" s="126" t="s">
        <v>392</v>
      </c>
      <c r="B347" s="126" t="s">
        <v>7</v>
      </c>
      <c r="C347" s="53" t="s">
        <v>1537</v>
      </c>
      <c r="D347" s="53" t="s">
        <v>1538</v>
      </c>
      <c r="E347" s="131">
        <v>45777</v>
      </c>
      <c r="F347" s="127" t="s">
        <v>844</v>
      </c>
      <c r="G347" s="127" t="s">
        <v>863</v>
      </c>
      <c r="H347" s="54">
        <v>117433.79999999999</v>
      </c>
      <c r="I347" s="138">
        <v>0.184</v>
      </c>
      <c r="J347" s="44" t="s">
        <v>848</v>
      </c>
      <c r="K347" s="44" t="s">
        <v>1540</v>
      </c>
    </row>
    <row r="348" spans="1:11" x14ac:dyDescent="0.3">
      <c r="A348" s="126" t="s">
        <v>390</v>
      </c>
      <c r="B348" s="126" t="s">
        <v>7</v>
      </c>
      <c r="C348" s="53" t="s">
        <v>1539</v>
      </c>
      <c r="D348" s="53" t="s">
        <v>1378</v>
      </c>
      <c r="E348" s="131">
        <v>45777</v>
      </c>
      <c r="F348" s="127" t="s">
        <v>1007</v>
      </c>
      <c r="G348" s="127" t="s">
        <v>865</v>
      </c>
      <c r="H348" s="54">
        <v>89394.155199999994</v>
      </c>
      <c r="I348" s="138">
        <v>0.33</v>
      </c>
      <c r="J348" s="44" t="s">
        <v>831</v>
      </c>
      <c r="K348" s="44" t="s">
        <v>1542</v>
      </c>
    </row>
    <row r="349" spans="1:11" x14ac:dyDescent="0.3">
      <c r="A349" s="126" t="s">
        <v>392</v>
      </c>
      <c r="B349" s="126" t="s">
        <v>8</v>
      </c>
      <c r="C349" s="53" t="s">
        <v>1544</v>
      </c>
      <c r="D349" s="53" t="s">
        <v>1545</v>
      </c>
      <c r="E349" s="131">
        <v>45784</v>
      </c>
      <c r="F349" s="127" t="s">
        <v>370</v>
      </c>
      <c r="G349" s="127" t="s">
        <v>63</v>
      </c>
      <c r="H349" s="54">
        <v>6894.17</v>
      </c>
      <c r="I349" s="138">
        <v>0.47799999999999998</v>
      </c>
      <c r="J349" s="44" t="s">
        <v>830</v>
      </c>
      <c r="K349" s="44" t="s">
        <v>1540</v>
      </c>
    </row>
    <row r="350" spans="1:11" x14ac:dyDescent="0.3">
      <c r="A350" s="126" t="s">
        <v>392</v>
      </c>
      <c r="B350" s="126" t="s">
        <v>8</v>
      </c>
      <c r="C350" s="53" t="s">
        <v>1546</v>
      </c>
      <c r="D350" s="53" t="s">
        <v>1547</v>
      </c>
      <c r="E350" s="131">
        <v>45784</v>
      </c>
      <c r="F350" s="127" t="s">
        <v>370</v>
      </c>
      <c r="G350" s="127" t="s">
        <v>63</v>
      </c>
      <c r="H350" s="54">
        <v>6894.17</v>
      </c>
      <c r="I350" s="138">
        <v>0.47799999999999998</v>
      </c>
      <c r="J350" s="44" t="s">
        <v>830</v>
      </c>
      <c r="K350" s="44" t="s">
        <v>1540</v>
      </c>
    </row>
    <row r="351" spans="1:11" x14ac:dyDescent="0.3">
      <c r="A351" s="126" t="s">
        <v>392</v>
      </c>
      <c r="B351" s="126" t="s">
        <v>8</v>
      </c>
      <c r="C351" s="53" t="s">
        <v>1548</v>
      </c>
      <c r="D351" s="53" t="s">
        <v>1549</v>
      </c>
      <c r="E351" s="131">
        <v>45784</v>
      </c>
      <c r="F351" s="127" t="s">
        <v>370</v>
      </c>
      <c r="G351" s="127" t="s">
        <v>63</v>
      </c>
      <c r="H351" s="54">
        <v>8856.9500000000007</v>
      </c>
      <c r="I351" s="138">
        <v>0.59399999999999997</v>
      </c>
      <c r="J351" s="44" t="s">
        <v>830</v>
      </c>
      <c r="K351" s="44" t="s">
        <v>1540</v>
      </c>
    </row>
    <row r="352" spans="1:11" x14ac:dyDescent="0.3">
      <c r="A352" s="126" t="s">
        <v>392</v>
      </c>
      <c r="B352" s="126" t="s">
        <v>8</v>
      </c>
      <c r="C352" s="53" t="s">
        <v>1550</v>
      </c>
      <c r="D352" s="53" t="s">
        <v>1551</v>
      </c>
      <c r="E352" s="131">
        <v>45784</v>
      </c>
      <c r="F352" s="127" t="s">
        <v>371</v>
      </c>
      <c r="G352" s="127" t="s">
        <v>864</v>
      </c>
      <c r="H352" s="54">
        <v>7781.2</v>
      </c>
      <c r="I352" s="138">
        <v>0.85599999999999998</v>
      </c>
      <c r="J352" s="44" t="s">
        <v>848</v>
      </c>
      <c r="K352" s="44" t="s">
        <v>1540</v>
      </c>
    </row>
    <row r="353" spans="1:11" x14ac:dyDescent="0.3">
      <c r="A353" s="126" t="s">
        <v>390</v>
      </c>
      <c r="B353" s="126" t="s">
        <v>8</v>
      </c>
      <c r="C353" s="53" t="s">
        <v>1552</v>
      </c>
      <c r="D353" s="53" t="s">
        <v>1553</v>
      </c>
      <c r="E353" s="131">
        <v>45784</v>
      </c>
      <c r="F353" s="127" t="s">
        <v>372</v>
      </c>
      <c r="G353" s="127" t="s">
        <v>10</v>
      </c>
      <c r="H353" s="54">
        <v>9074.25</v>
      </c>
      <c r="I353" s="138">
        <v>0.38700000000000001</v>
      </c>
      <c r="J353" s="44" t="s">
        <v>833</v>
      </c>
      <c r="K353" s="44" t="s">
        <v>1541</v>
      </c>
    </row>
    <row r="354" spans="1:11" x14ac:dyDescent="0.3">
      <c r="A354" s="126" t="s">
        <v>390</v>
      </c>
      <c r="B354" s="126" t="s">
        <v>8</v>
      </c>
      <c r="C354" s="53" t="s">
        <v>1554</v>
      </c>
      <c r="D354" s="53" t="s">
        <v>1555</v>
      </c>
      <c r="E354" s="131">
        <v>45784</v>
      </c>
      <c r="F354" s="127" t="s">
        <v>372</v>
      </c>
      <c r="G354" s="127" t="s">
        <v>10</v>
      </c>
      <c r="H354" s="54">
        <v>73533.759999999995</v>
      </c>
      <c r="I354" s="138">
        <v>0.26800000000000002</v>
      </c>
      <c r="J354" s="44" t="s">
        <v>833</v>
      </c>
      <c r="K354" s="44" t="s">
        <v>1542</v>
      </c>
    </row>
    <row r="355" spans="1:11" x14ac:dyDescent="0.3">
      <c r="A355" s="126" t="s">
        <v>390</v>
      </c>
      <c r="B355" s="126" t="s">
        <v>8</v>
      </c>
      <c r="C355" s="53" t="s">
        <v>1556</v>
      </c>
      <c r="D355" s="53" t="s">
        <v>1557</v>
      </c>
      <c r="E355" s="131">
        <v>45784</v>
      </c>
      <c r="F355" s="127" t="s">
        <v>372</v>
      </c>
      <c r="G355" s="127" t="s">
        <v>10</v>
      </c>
      <c r="H355" s="54">
        <v>73285.539999999994</v>
      </c>
      <c r="I355" s="138">
        <v>0.25900000000000001</v>
      </c>
      <c r="J355" s="44" t="s">
        <v>833</v>
      </c>
      <c r="K355" s="44" t="s">
        <v>1542</v>
      </c>
    </row>
    <row r="356" spans="1:11" x14ac:dyDescent="0.3">
      <c r="A356" s="126" t="s">
        <v>392</v>
      </c>
      <c r="B356" s="126" t="s">
        <v>8</v>
      </c>
      <c r="C356" s="53" t="s">
        <v>1558</v>
      </c>
      <c r="D356" s="53" t="s">
        <v>1559</v>
      </c>
      <c r="E356" s="131">
        <v>45784</v>
      </c>
      <c r="F356" s="127" t="s">
        <v>371</v>
      </c>
      <c r="G356" s="127" t="s">
        <v>864</v>
      </c>
      <c r="H356" s="54">
        <v>15685</v>
      </c>
      <c r="I356" s="138">
        <v>0.85899999999999999</v>
      </c>
      <c r="J356" s="44" t="s">
        <v>848</v>
      </c>
      <c r="K356" s="44" t="s">
        <v>1540</v>
      </c>
    </row>
    <row r="357" spans="1:11" x14ac:dyDescent="0.3">
      <c r="A357" s="126" t="s">
        <v>392</v>
      </c>
      <c r="B357" s="126" t="s">
        <v>8</v>
      </c>
      <c r="C357" s="53" t="s">
        <v>1560</v>
      </c>
      <c r="D357" s="53" t="s">
        <v>1561</v>
      </c>
      <c r="E357" s="131">
        <v>45785</v>
      </c>
      <c r="F357" s="127" t="s">
        <v>854</v>
      </c>
      <c r="G357" s="127" t="s">
        <v>855</v>
      </c>
      <c r="H357" s="54">
        <v>57070.28</v>
      </c>
      <c r="I357" s="138">
        <v>0.46260000000000001</v>
      </c>
      <c r="J357" s="44" t="s">
        <v>1834</v>
      </c>
      <c r="K357" s="44" t="s">
        <v>1540</v>
      </c>
    </row>
    <row r="358" spans="1:11" x14ac:dyDescent="0.3">
      <c r="A358" s="126" t="s">
        <v>392</v>
      </c>
      <c r="B358" s="126" t="s">
        <v>8</v>
      </c>
      <c r="C358" s="53" t="s">
        <v>1562</v>
      </c>
      <c r="D358" s="53" t="s">
        <v>1563</v>
      </c>
      <c r="E358" s="131">
        <v>45785</v>
      </c>
      <c r="F358" s="127" t="s">
        <v>370</v>
      </c>
      <c r="G358" s="127" t="s">
        <v>63</v>
      </c>
      <c r="H358" s="54">
        <v>8150</v>
      </c>
      <c r="I358" s="138">
        <v>0.50900000000000001</v>
      </c>
      <c r="J358" s="44" t="s">
        <v>830</v>
      </c>
      <c r="K358" s="44" t="s">
        <v>1540</v>
      </c>
    </row>
    <row r="359" spans="1:11" x14ac:dyDescent="0.3">
      <c r="A359" s="126" t="s">
        <v>390</v>
      </c>
      <c r="B359" s="126" t="s">
        <v>8</v>
      </c>
      <c r="C359" s="53" t="s">
        <v>1564</v>
      </c>
      <c r="D359" s="53" t="s">
        <v>1565</v>
      </c>
      <c r="E359" s="131">
        <v>45785</v>
      </c>
      <c r="F359" s="127" t="s">
        <v>370</v>
      </c>
      <c r="G359" s="127" t="s">
        <v>63</v>
      </c>
      <c r="H359" s="54">
        <v>9300</v>
      </c>
      <c r="I359" s="138">
        <v>0.38900000000000001</v>
      </c>
      <c r="J359" s="44" t="s">
        <v>830</v>
      </c>
      <c r="K359" s="44" t="s">
        <v>1541</v>
      </c>
    </row>
    <row r="360" spans="1:11" x14ac:dyDescent="0.3">
      <c r="A360" s="126" t="s">
        <v>390</v>
      </c>
      <c r="B360" s="126" t="s">
        <v>8</v>
      </c>
      <c r="C360" s="53" t="s">
        <v>1566</v>
      </c>
      <c r="D360" s="53" t="s">
        <v>1567</v>
      </c>
      <c r="E360" s="131">
        <v>45790</v>
      </c>
      <c r="F360" s="127" t="s">
        <v>370</v>
      </c>
      <c r="G360" s="127" t="s">
        <v>63</v>
      </c>
      <c r="H360" s="54">
        <v>16050</v>
      </c>
      <c r="I360" s="138">
        <v>0.47</v>
      </c>
      <c r="J360" s="44" t="s">
        <v>830</v>
      </c>
      <c r="K360" s="44" t="s">
        <v>1541</v>
      </c>
    </row>
    <row r="361" spans="1:11" x14ac:dyDescent="0.3">
      <c r="A361" s="126" t="s">
        <v>392</v>
      </c>
      <c r="B361" s="126" t="s">
        <v>8</v>
      </c>
      <c r="C361" s="53" t="s">
        <v>1568</v>
      </c>
      <c r="D361" s="53" t="s">
        <v>1569</v>
      </c>
      <c r="E361" s="131">
        <v>45790</v>
      </c>
      <c r="F361" s="127" t="s">
        <v>370</v>
      </c>
      <c r="G361" s="127" t="s">
        <v>63</v>
      </c>
      <c r="H361" s="54">
        <v>13803.55</v>
      </c>
      <c r="I361" s="138">
        <v>0.52900000000000003</v>
      </c>
      <c r="J361" s="44" t="s">
        <v>830</v>
      </c>
      <c r="K361" s="44" t="s">
        <v>1540</v>
      </c>
    </row>
    <row r="362" spans="1:11" x14ac:dyDescent="0.3">
      <c r="A362" s="126" t="s">
        <v>392</v>
      </c>
      <c r="B362" s="126" t="s">
        <v>8</v>
      </c>
      <c r="C362" s="53" t="s">
        <v>1570</v>
      </c>
      <c r="D362" s="53" t="s">
        <v>1571</v>
      </c>
      <c r="E362" s="131">
        <v>45790</v>
      </c>
      <c r="F362" s="127" t="s">
        <v>370</v>
      </c>
      <c r="G362" s="127" t="s">
        <v>63</v>
      </c>
      <c r="H362" s="54">
        <v>8150</v>
      </c>
      <c r="I362" s="138">
        <v>0.68899999999999995</v>
      </c>
      <c r="J362" s="44" t="s">
        <v>830</v>
      </c>
      <c r="K362" s="44" t="s">
        <v>1540</v>
      </c>
    </row>
    <row r="363" spans="1:11" x14ac:dyDescent="0.3">
      <c r="A363" s="126" t="s">
        <v>392</v>
      </c>
      <c r="B363" s="126" t="s">
        <v>8</v>
      </c>
      <c r="C363" s="53" t="s">
        <v>1572</v>
      </c>
      <c r="D363" s="53" t="s">
        <v>1573</v>
      </c>
      <c r="E363" s="131">
        <v>45790</v>
      </c>
      <c r="F363" s="127" t="s">
        <v>370</v>
      </c>
      <c r="G363" s="127" t="s">
        <v>63</v>
      </c>
      <c r="H363" s="54">
        <v>11268.96</v>
      </c>
      <c r="I363" s="138">
        <v>0.68600000000000005</v>
      </c>
      <c r="J363" s="44" t="s">
        <v>830</v>
      </c>
      <c r="K363" s="44" t="s">
        <v>1540</v>
      </c>
    </row>
    <row r="364" spans="1:11" x14ac:dyDescent="0.3">
      <c r="A364" s="126" t="s">
        <v>392</v>
      </c>
      <c r="B364" s="126" t="s">
        <v>8</v>
      </c>
      <c r="C364" s="53" t="s">
        <v>1574</v>
      </c>
      <c r="D364" s="53" t="s">
        <v>1575</v>
      </c>
      <c r="E364" s="131">
        <v>45790</v>
      </c>
      <c r="F364" s="127" t="s">
        <v>370</v>
      </c>
      <c r="G364" s="127" t="s">
        <v>63</v>
      </c>
      <c r="H364" s="54">
        <v>8150</v>
      </c>
      <c r="I364" s="138">
        <v>0.68899999999999995</v>
      </c>
      <c r="J364" s="44" t="s">
        <v>830</v>
      </c>
      <c r="K364" s="44" t="s">
        <v>1540</v>
      </c>
    </row>
    <row r="365" spans="1:11" x14ac:dyDescent="0.3">
      <c r="A365" s="126" t="s">
        <v>392</v>
      </c>
      <c r="B365" s="126" t="s">
        <v>8</v>
      </c>
      <c r="C365" s="53" t="s">
        <v>1576</v>
      </c>
      <c r="D365" s="53" t="s">
        <v>1577</v>
      </c>
      <c r="E365" s="131">
        <v>45790</v>
      </c>
      <c r="F365" s="127" t="s">
        <v>370</v>
      </c>
      <c r="G365" s="127" t="s">
        <v>63</v>
      </c>
      <c r="H365" s="54">
        <v>8150</v>
      </c>
      <c r="I365" s="138">
        <v>0.50900000000000001</v>
      </c>
      <c r="J365" s="44" t="s">
        <v>830</v>
      </c>
      <c r="K365" s="44" t="s">
        <v>1540</v>
      </c>
    </row>
    <row r="366" spans="1:11" x14ac:dyDescent="0.3">
      <c r="A366" s="126" t="s">
        <v>390</v>
      </c>
      <c r="B366" s="126" t="s">
        <v>8</v>
      </c>
      <c r="C366" s="53" t="s">
        <v>1578</v>
      </c>
      <c r="D366" s="53" t="s">
        <v>1579</v>
      </c>
      <c r="E366" s="131">
        <v>45790</v>
      </c>
      <c r="F366" s="127" t="s">
        <v>372</v>
      </c>
      <c r="G366" s="127" t="s">
        <v>10</v>
      </c>
      <c r="H366" s="54">
        <v>38270.11</v>
      </c>
      <c r="I366" s="138">
        <v>0.224</v>
      </c>
      <c r="J366" s="44" t="s">
        <v>833</v>
      </c>
      <c r="K366" s="44" t="s">
        <v>1541</v>
      </c>
    </row>
    <row r="367" spans="1:11" x14ac:dyDescent="0.3">
      <c r="A367" s="126" t="s">
        <v>392</v>
      </c>
      <c r="B367" s="126" t="s">
        <v>8</v>
      </c>
      <c r="C367" s="53" t="s">
        <v>1580</v>
      </c>
      <c r="D367" s="53" t="s">
        <v>1581</v>
      </c>
      <c r="E367" s="131">
        <v>45790</v>
      </c>
      <c r="F367" s="127" t="s">
        <v>372</v>
      </c>
      <c r="G367" s="127" t="s">
        <v>10</v>
      </c>
      <c r="H367" s="54">
        <v>35000</v>
      </c>
      <c r="I367" s="138">
        <v>0.29099999999999998</v>
      </c>
      <c r="J367" s="44" t="s">
        <v>848</v>
      </c>
      <c r="K367" s="44" t="s">
        <v>1540</v>
      </c>
    </row>
    <row r="368" spans="1:11" x14ac:dyDescent="0.3">
      <c r="A368" s="126" t="s">
        <v>390</v>
      </c>
      <c r="B368" s="126" t="s">
        <v>8</v>
      </c>
      <c r="C368" s="53" t="s">
        <v>1582</v>
      </c>
      <c r="D368" s="53" t="s">
        <v>1583</v>
      </c>
      <c r="E368" s="131">
        <v>45790</v>
      </c>
      <c r="F368" s="127" t="s">
        <v>371</v>
      </c>
      <c r="G368" s="127" t="s">
        <v>864</v>
      </c>
      <c r="H368" s="54">
        <v>41643.42</v>
      </c>
      <c r="I368" s="138">
        <v>0.3</v>
      </c>
      <c r="J368" s="44" t="s">
        <v>832</v>
      </c>
      <c r="K368" s="44" t="s">
        <v>1541</v>
      </c>
    </row>
    <row r="369" spans="1:11" x14ac:dyDescent="0.3">
      <c r="A369" s="126" t="s">
        <v>390</v>
      </c>
      <c r="B369" s="126" t="s">
        <v>8</v>
      </c>
      <c r="C369" s="53" t="s">
        <v>1584</v>
      </c>
      <c r="D369" s="53" t="s">
        <v>1585</v>
      </c>
      <c r="E369" s="131">
        <v>45790</v>
      </c>
      <c r="F369" s="127" t="s">
        <v>371</v>
      </c>
      <c r="G369" s="127" t="s">
        <v>864</v>
      </c>
      <c r="H369" s="54">
        <v>24730.23</v>
      </c>
      <c r="I369" s="138">
        <v>0.249</v>
      </c>
      <c r="J369" s="44" t="s">
        <v>832</v>
      </c>
      <c r="K369" s="44" t="s">
        <v>1541</v>
      </c>
    </row>
    <row r="370" spans="1:11" x14ac:dyDescent="0.3">
      <c r="A370" s="126" t="s">
        <v>390</v>
      </c>
      <c r="B370" s="126" t="s">
        <v>8</v>
      </c>
      <c r="C370" s="53" t="s">
        <v>1586</v>
      </c>
      <c r="D370" s="53" t="s">
        <v>1587</v>
      </c>
      <c r="E370" s="131">
        <v>45790</v>
      </c>
      <c r="F370" s="127" t="s">
        <v>371</v>
      </c>
      <c r="G370" s="127" t="s">
        <v>864</v>
      </c>
      <c r="H370" s="54">
        <v>42302.16</v>
      </c>
      <c r="I370" s="138">
        <v>0.19900000000000001</v>
      </c>
      <c r="J370" s="44" t="s">
        <v>832</v>
      </c>
      <c r="K370" s="44" t="s">
        <v>1541</v>
      </c>
    </row>
    <row r="371" spans="1:11" x14ac:dyDescent="0.3">
      <c r="A371" s="126" t="s">
        <v>390</v>
      </c>
      <c r="B371" s="126" t="s">
        <v>8</v>
      </c>
      <c r="C371" s="53" t="s">
        <v>1588</v>
      </c>
      <c r="D371" s="53" t="s">
        <v>1589</v>
      </c>
      <c r="E371" s="131">
        <v>45790</v>
      </c>
      <c r="F371" s="127" t="s">
        <v>371</v>
      </c>
      <c r="G371" s="127" t="s">
        <v>864</v>
      </c>
      <c r="H371" s="54">
        <v>32050.720000000001</v>
      </c>
      <c r="I371" s="138">
        <v>0.23499999999999999</v>
      </c>
      <c r="J371" s="44" t="s">
        <v>832</v>
      </c>
      <c r="K371" s="44" t="s">
        <v>1541</v>
      </c>
    </row>
    <row r="372" spans="1:11" x14ac:dyDescent="0.3">
      <c r="A372" s="126" t="s">
        <v>392</v>
      </c>
      <c r="B372" s="126" t="s">
        <v>8</v>
      </c>
      <c r="C372" s="53" t="s">
        <v>1590</v>
      </c>
      <c r="D372" s="53" t="s">
        <v>1591</v>
      </c>
      <c r="E372" s="131">
        <v>45791</v>
      </c>
      <c r="F372" s="127" t="s">
        <v>371</v>
      </c>
      <c r="G372" s="127" t="s">
        <v>864</v>
      </c>
      <c r="H372" s="54">
        <v>7500</v>
      </c>
      <c r="I372" s="138">
        <v>0.85599999999999998</v>
      </c>
      <c r="J372" s="44" t="s">
        <v>848</v>
      </c>
      <c r="K372" s="44" t="s">
        <v>1540</v>
      </c>
    </row>
    <row r="373" spans="1:11" x14ac:dyDescent="0.3">
      <c r="A373" s="126" t="s">
        <v>392</v>
      </c>
      <c r="B373" s="126" t="s">
        <v>8</v>
      </c>
      <c r="C373" s="53" t="s">
        <v>1592</v>
      </c>
      <c r="D373" s="53" t="s">
        <v>1593</v>
      </c>
      <c r="E373" s="131">
        <v>45791</v>
      </c>
      <c r="F373" s="127" t="s">
        <v>370</v>
      </c>
      <c r="G373" s="127" t="s">
        <v>63</v>
      </c>
      <c r="H373" s="54">
        <v>20750</v>
      </c>
      <c r="I373" s="138">
        <v>0.61399999999999999</v>
      </c>
      <c r="J373" s="44" t="s">
        <v>830</v>
      </c>
      <c r="K373" s="44" t="s">
        <v>1540</v>
      </c>
    </row>
    <row r="374" spans="1:11" x14ac:dyDescent="0.3">
      <c r="A374" s="126" t="s">
        <v>390</v>
      </c>
      <c r="B374" s="126" t="s">
        <v>8</v>
      </c>
      <c r="C374" s="53" t="s">
        <v>1594</v>
      </c>
      <c r="D374" s="53" t="s">
        <v>1016</v>
      </c>
      <c r="E374" s="131">
        <v>45791</v>
      </c>
      <c r="F374" s="127" t="s">
        <v>1595</v>
      </c>
      <c r="G374" s="127" t="s">
        <v>1596</v>
      </c>
      <c r="H374" s="54">
        <v>583471.44999999995</v>
      </c>
      <c r="I374" s="138">
        <v>4.9000000000000002E-2</v>
      </c>
      <c r="J374" s="44" t="s">
        <v>1018</v>
      </c>
      <c r="K374" s="44" t="s">
        <v>1542</v>
      </c>
    </row>
    <row r="375" spans="1:11" x14ac:dyDescent="0.3">
      <c r="A375" s="126" t="s">
        <v>390</v>
      </c>
      <c r="B375" s="126" t="s">
        <v>8</v>
      </c>
      <c r="C375" s="53" t="s">
        <v>1597</v>
      </c>
      <c r="D375" s="53" t="s">
        <v>1598</v>
      </c>
      <c r="E375" s="131">
        <v>45792</v>
      </c>
      <c r="F375" s="127" t="s">
        <v>375</v>
      </c>
      <c r="G375" s="127" t="s">
        <v>62</v>
      </c>
      <c r="H375" s="54">
        <v>125996</v>
      </c>
      <c r="I375" s="138">
        <v>0.48799999999999999</v>
      </c>
      <c r="J375" s="44" t="s">
        <v>831</v>
      </c>
      <c r="K375" s="44" t="s">
        <v>1542</v>
      </c>
    </row>
    <row r="376" spans="1:11" x14ac:dyDescent="0.3">
      <c r="A376" s="126" t="s">
        <v>392</v>
      </c>
      <c r="B376" s="126" t="s">
        <v>8</v>
      </c>
      <c r="C376" s="53" t="s">
        <v>1599</v>
      </c>
      <c r="D376" s="53" t="s">
        <v>1600</v>
      </c>
      <c r="E376" s="131">
        <v>45792</v>
      </c>
      <c r="F376" s="127" t="s">
        <v>372</v>
      </c>
      <c r="G376" s="127" t="s">
        <v>10</v>
      </c>
      <c r="H376" s="54">
        <v>42040</v>
      </c>
      <c r="I376" s="138">
        <v>0.38400000000000001</v>
      </c>
      <c r="J376" s="44" t="s">
        <v>848</v>
      </c>
      <c r="K376" s="44" t="s">
        <v>1540</v>
      </c>
    </row>
    <row r="377" spans="1:11" x14ac:dyDescent="0.3">
      <c r="A377" s="126" t="s">
        <v>392</v>
      </c>
      <c r="B377" s="126" t="s">
        <v>8</v>
      </c>
      <c r="C377" s="53" t="s">
        <v>1601</v>
      </c>
      <c r="D377" s="53" t="s">
        <v>1602</v>
      </c>
      <c r="E377" s="131">
        <v>45792</v>
      </c>
      <c r="F377" s="127" t="s">
        <v>371</v>
      </c>
      <c r="G377" s="127" t="s">
        <v>864</v>
      </c>
      <c r="H377" s="54">
        <v>7520</v>
      </c>
      <c r="I377" s="138">
        <v>0.85299999999999998</v>
      </c>
      <c r="J377" s="44" t="s">
        <v>848</v>
      </c>
      <c r="K377" s="44" t="s">
        <v>1540</v>
      </c>
    </row>
    <row r="378" spans="1:11" x14ac:dyDescent="0.3">
      <c r="A378" s="126" t="s">
        <v>390</v>
      </c>
      <c r="B378" s="126" t="s">
        <v>8</v>
      </c>
      <c r="C378" s="53" t="s">
        <v>1603</v>
      </c>
      <c r="D378" s="53" t="s">
        <v>1604</v>
      </c>
      <c r="E378" s="131">
        <v>45793</v>
      </c>
      <c r="F378" s="127" t="s">
        <v>370</v>
      </c>
      <c r="G378" s="127" t="s">
        <v>63</v>
      </c>
      <c r="H378" s="54">
        <v>14000</v>
      </c>
      <c r="I378" s="138">
        <v>0.56699999999999995</v>
      </c>
      <c r="J378" s="44" t="s">
        <v>830</v>
      </c>
      <c r="K378" s="44" t="s">
        <v>1541</v>
      </c>
    </row>
    <row r="379" spans="1:11" x14ac:dyDescent="0.3">
      <c r="A379" s="126" t="s">
        <v>392</v>
      </c>
      <c r="B379" s="126" t="s">
        <v>8</v>
      </c>
      <c r="C379" s="53" t="s">
        <v>1605</v>
      </c>
      <c r="D379" s="53" t="s">
        <v>1606</v>
      </c>
      <c r="E379" s="131">
        <v>45793</v>
      </c>
      <c r="F379" s="127" t="s">
        <v>370</v>
      </c>
      <c r="G379" s="127" t="s">
        <v>63</v>
      </c>
      <c r="H379" s="54">
        <v>10898.55</v>
      </c>
      <c r="I379" s="138">
        <v>0.67</v>
      </c>
      <c r="J379" s="44" t="s">
        <v>830</v>
      </c>
      <c r="K379" s="44" t="s">
        <v>1540</v>
      </c>
    </row>
    <row r="380" spans="1:11" x14ac:dyDescent="0.3">
      <c r="A380" s="126" t="s">
        <v>392</v>
      </c>
      <c r="B380" s="126" t="s">
        <v>8</v>
      </c>
      <c r="C380" s="53" t="s">
        <v>1607</v>
      </c>
      <c r="D380" s="53" t="s">
        <v>1608</v>
      </c>
      <c r="E380" s="131">
        <v>45793</v>
      </c>
      <c r="F380" s="127" t="s">
        <v>370</v>
      </c>
      <c r="G380" s="127" t="s">
        <v>63</v>
      </c>
      <c r="H380" s="54">
        <v>4200</v>
      </c>
      <c r="I380" s="138">
        <v>0.57099999999999995</v>
      </c>
      <c r="J380" s="44" t="s">
        <v>830</v>
      </c>
      <c r="K380" s="44" t="s">
        <v>1540</v>
      </c>
    </row>
    <row r="381" spans="1:11" x14ac:dyDescent="0.3">
      <c r="A381" s="126" t="s">
        <v>390</v>
      </c>
      <c r="B381" s="126" t="s">
        <v>8</v>
      </c>
      <c r="C381" s="53" t="s">
        <v>1609</v>
      </c>
      <c r="D381" s="53" t="s">
        <v>1610</v>
      </c>
      <c r="E381" s="131">
        <v>45793</v>
      </c>
      <c r="F381" s="127" t="s">
        <v>375</v>
      </c>
      <c r="G381" s="127" t="s">
        <v>62</v>
      </c>
      <c r="H381" s="54">
        <v>7945.84</v>
      </c>
      <c r="I381" s="138">
        <v>0.65300000000000002</v>
      </c>
      <c r="J381" s="44" t="s">
        <v>831</v>
      </c>
      <c r="K381" s="44" t="s">
        <v>1542</v>
      </c>
    </row>
    <row r="382" spans="1:11" x14ac:dyDescent="0.3">
      <c r="A382" s="126" t="s">
        <v>390</v>
      </c>
      <c r="B382" s="126" t="s">
        <v>8</v>
      </c>
      <c r="C382" s="53" t="s">
        <v>1611</v>
      </c>
      <c r="D382" s="53" t="s">
        <v>1612</v>
      </c>
      <c r="E382" s="131">
        <v>45793</v>
      </c>
      <c r="F382" s="127" t="s">
        <v>375</v>
      </c>
      <c r="G382" s="127" t="s">
        <v>62</v>
      </c>
      <c r="H382" s="54">
        <v>30260.36</v>
      </c>
      <c r="I382" s="138">
        <v>0.35099999999999998</v>
      </c>
      <c r="J382" s="44" t="s">
        <v>831</v>
      </c>
      <c r="K382" s="44" t="s">
        <v>1542</v>
      </c>
    </row>
    <row r="383" spans="1:11" x14ac:dyDescent="0.3">
      <c r="A383" s="126" t="s">
        <v>392</v>
      </c>
      <c r="B383" s="126" t="s">
        <v>8</v>
      </c>
      <c r="C383" s="53" t="s">
        <v>1613</v>
      </c>
      <c r="D383" s="53" t="s">
        <v>1614</v>
      </c>
      <c r="E383" s="131">
        <v>45793</v>
      </c>
      <c r="F383" s="127" t="s">
        <v>842</v>
      </c>
      <c r="G383" s="127" t="s">
        <v>843</v>
      </c>
      <c r="H383" s="54">
        <v>22000</v>
      </c>
      <c r="I383" s="53">
        <v>41.9</v>
      </c>
      <c r="J383" s="44" t="s">
        <v>1835</v>
      </c>
      <c r="K383" s="44" t="s">
        <v>1540</v>
      </c>
    </row>
    <row r="384" spans="1:11" x14ac:dyDescent="0.3">
      <c r="A384" s="126" t="s">
        <v>390</v>
      </c>
      <c r="B384" s="126" t="s">
        <v>8</v>
      </c>
      <c r="C384" s="53" t="s">
        <v>1615</v>
      </c>
      <c r="D384" s="53" t="s">
        <v>1616</v>
      </c>
      <c r="E384" s="131">
        <v>45793</v>
      </c>
      <c r="F384" s="127" t="s">
        <v>372</v>
      </c>
      <c r="G384" s="127" t="s">
        <v>10</v>
      </c>
      <c r="H384" s="54">
        <v>107117.88</v>
      </c>
      <c r="I384" s="138">
        <v>0.312</v>
      </c>
      <c r="J384" s="44" t="s">
        <v>833</v>
      </c>
      <c r="K384" s="44" t="s">
        <v>1542</v>
      </c>
    </row>
    <row r="385" spans="1:11" x14ac:dyDescent="0.3">
      <c r="A385" s="126" t="s">
        <v>390</v>
      </c>
      <c r="B385" s="126" t="s">
        <v>8</v>
      </c>
      <c r="C385" s="53" t="s">
        <v>1617</v>
      </c>
      <c r="D385" s="53" t="s">
        <v>1618</v>
      </c>
      <c r="E385" s="131">
        <v>45796</v>
      </c>
      <c r="F385" s="127" t="s">
        <v>370</v>
      </c>
      <c r="G385" s="127" t="s">
        <v>63</v>
      </c>
      <c r="H385" s="54">
        <v>24700</v>
      </c>
      <c r="I385" s="138">
        <v>0.57499999999999996</v>
      </c>
      <c r="J385" s="44" t="s">
        <v>830</v>
      </c>
      <c r="K385" s="44" t="s">
        <v>1541</v>
      </c>
    </row>
    <row r="386" spans="1:11" x14ac:dyDescent="0.3">
      <c r="A386" s="126" t="s">
        <v>392</v>
      </c>
      <c r="B386" s="126" t="s">
        <v>8</v>
      </c>
      <c r="C386" s="53" t="s">
        <v>1619</v>
      </c>
      <c r="D386" s="53" t="s">
        <v>1620</v>
      </c>
      <c r="E386" s="131">
        <v>45796</v>
      </c>
      <c r="F386" s="127" t="s">
        <v>370</v>
      </c>
      <c r="G386" s="127" t="s">
        <v>63</v>
      </c>
      <c r="H386" s="54">
        <v>4200</v>
      </c>
      <c r="I386" s="138">
        <v>0.57099999999999995</v>
      </c>
      <c r="J386" s="44" t="s">
        <v>830</v>
      </c>
      <c r="K386" s="44" t="s">
        <v>1540</v>
      </c>
    </row>
    <row r="387" spans="1:11" x14ac:dyDescent="0.3">
      <c r="A387" s="126" t="s">
        <v>392</v>
      </c>
      <c r="B387" s="126" t="s">
        <v>8</v>
      </c>
      <c r="C387" s="53" t="s">
        <v>1621</v>
      </c>
      <c r="D387" s="53" t="s">
        <v>1622</v>
      </c>
      <c r="E387" s="131">
        <v>45796</v>
      </c>
      <c r="F387" s="127" t="s">
        <v>370</v>
      </c>
      <c r="G387" s="127" t="s">
        <v>63</v>
      </c>
      <c r="H387" s="54">
        <v>4200</v>
      </c>
      <c r="I387" s="138">
        <v>0.57099999999999995</v>
      </c>
      <c r="J387" s="44" t="s">
        <v>830</v>
      </c>
      <c r="K387" s="44" t="s">
        <v>1540</v>
      </c>
    </row>
    <row r="388" spans="1:11" x14ac:dyDescent="0.3">
      <c r="A388" s="126" t="s">
        <v>392</v>
      </c>
      <c r="B388" s="126" t="s">
        <v>8</v>
      </c>
      <c r="C388" s="53" t="s">
        <v>1623</v>
      </c>
      <c r="D388" s="53" t="s">
        <v>1624</v>
      </c>
      <c r="E388" s="131">
        <v>45796</v>
      </c>
      <c r="F388" s="127" t="s">
        <v>370</v>
      </c>
      <c r="G388" s="127" t="s">
        <v>63</v>
      </c>
      <c r="H388" s="54">
        <v>4200</v>
      </c>
      <c r="I388" s="138">
        <v>0.57099999999999995</v>
      </c>
      <c r="J388" s="44" t="s">
        <v>830</v>
      </c>
      <c r="K388" s="44" t="s">
        <v>1540</v>
      </c>
    </row>
    <row r="389" spans="1:11" x14ac:dyDescent="0.3">
      <c r="A389" s="126" t="s">
        <v>390</v>
      </c>
      <c r="B389" s="126" t="s">
        <v>8</v>
      </c>
      <c r="C389" s="53" t="s">
        <v>1625</v>
      </c>
      <c r="D389" s="53" t="s">
        <v>1626</v>
      </c>
      <c r="E389" s="131">
        <v>45796</v>
      </c>
      <c r="F389" s="127" t="s">
        <v>372</v>
      </c>
      <c r="G389" s="127" t="s">
        <v>10</v>
      </c>
      <c r="H389" s="54">
        <v>72470.350000000006</v>
      </c>
      <c r="I389" s="138">
        <v>0.26</v>
      </c>
      <c r="J389" s="44" t="s">
        <v>833</v>
      </c>
      <c r="K389" s="44" t="s">
        <v>1542</v>
      </c>
    </row>
    <row r="390" spans="1:11" x14ac:dyDescent="0.3">
      <c r="A390" s="126" t="s">
        <v>390</v>
      </c>
      <c r="B390" s="126" t="s">
        <v>8</v>
      </c>
      <c r="C390" s="53" t="s">
        <v>1627</v>
      </c>
      <c r="D390" s="53" t="s">
        <v>1628</v>
      </c>
      <c r="E390" s="131">
        <v>45796</v>
      </c>
      <c r="F390" s="127" t="s">
        <v>372</v>
      </c>
      <c r="G390" s="127" t="s">
        <v>10</v>
      </c>
      <c r="H390" s="54">
        <v>72470.350000000006</v>
      </c>
      <c r="I390" s="138">
        <v>0.26800000000000002</v>
      </c>
      <c r="J390" s="44" t="s">
        <v>833</v>
      </c>
      <c r="K390" s="44" t="s">
        <v>1542</v>
      </c>
    </row>
    <row r="391" spans="1:11" x14ac:dyDescent="0.3">
      <c r="A391" s="126" t="s">
        <v>392</v>
      </c>
      <c r="B391" s="126" t="s">
        <v>8</v>
      </c>
      <c r="C391" s="53" t="s">
        <v>1629</v>
      </c>
      <c r="D391" s="53" t="s">
        <v>1630</v>
      </c>
      <c r="E391" s="131">
        <v>45796</v>
      </c>
      <c r="F391" s="127" t="s">
        <v>371</v>
      </c>
      <c r="G391" s="127" t="s">
        <v>864</v>
      </c>
      <c r="H391" s="54">
        <v>9504.99</v>
      </c>
      <c r="I391" s="138">
        <v>0.79900000000000004</v>
      </c>
      <c r="J391" s="44" t="s">
        <v>848</v>
      </c>
      <c r="K391" s="44" t="s">
        <v>1540</v>
      </c>
    </row>
    <row r="392" spans="1:11" x14ac:dyDescent="0.3">
      <c r="A392" s="126" t="s">
        <v>392</v>
      </c>
      <c r="B392" s="126" t="s">
        <v>8</v>
      </c>
      <c r="C392" s="53" t="s">
        <v>1631</v>
      </c>
      <c r="D392" s="53" t="s">
        <v>1632</v>
      </c>
      <c r="E392" s="131">
        <v>45796</v>
      </c>
      <c r="F392" s="127" t="s">
        <v>371</v>
      </c>
      <c r="G392" s="127" t="s">
        <v>864</v>
      </c>
      <c r="H392" s="54">
        <v>37781.199999999997</v>
      </c>
      <c r="I392" s="138">
        <v>0.78400000000000003</v>
      </c>
      <c r="J392" s="44" t="s">
        <v>848</v>
      </c>
      <c r="K392" s="44" t="s">
        <v>1540</v>
      </c>
    </row>
    <row r="393" spans="1:11" x14ac:dyDescent="0.3">
      <c r="A393" s="126" t="s">
        <v>392</v>
      </c>
      <c r="B393" s="126" t="s">
        <v>8</v>
      </c>
      <c r="C393" s="53" t="s">
        <v>1633</v>
      </c>
      <c r="D393" s="53" t="s">
        <v>1634</v>
      </c>
      <c r="E393" s="131">
        <v>45796</v>
      </c>
      <c r="F393" s="127" t="s">
        <v>371</v>
      </c>
      <c r="G393" s="127" t="s">
        <v>864</v>
      </c>
      <c r="H393" s="54">
        <v>31860</v>
      </c>
      <c r="I393" s="138">
        <v>0.84099999999999997</v>
      </c>
      <c r="J393" s="44" t="s">
        <v>848</v>
      </c>
      <c r="K393" s="44" t="s">
        <v>1540</v>
      </c>
    </row>
    <row r="394" spans="1:11" x14ac:dyDescent="0.3">
      <c r="A394" s="126" t="s">
        <v>392</v>
      </c>
      <c r="B394" s="126" t="s">
        <v>8</v>
      </c>
      <c r="C394" s="53" t="s">
        <v>1635</v>
      </c>
      <c r="D394" s="53" t="s">
        <v>1636</v>
      </c>
      <c r="E394" s="131">
        <v>45796</v>
      </c>
      <c r="F394" s="127" t="s">
        <v>371</v>
      </c>
      <c r="G394" s="127" t="s">
        <v>864</v>
      </c>
      <c r="H394" s="54">
        <v>7475.86</v>
      </c>
      <c r="I394" s="138">
        <v>0.85899999999999999</v>
      </c>
      <c r="J394" s="44" t="s">
        <v>848</v>
      </c>
      <c r="K394" s="44" t="s">
        <v>1540</v>
      </c>
    </row>
    <row r="395" spans="1:11" x14ac:dyDescent="0.3">
      <c r="A395" s="126" t="s">
        <v>392</v>
      </c>
      <c r="B395" s="126" t="s">
        <v>8</v>
      </c>
      <c r="C395" s="53" t="s">
        <v>1637</v>
      </c>
      <c r="D395" s="53" t="s">
        <v>1638</v>
      </c>
      <c r="E395" s="131">
        <v>45796</v>
      </c>
      <c r="F395" s="127" t="s">
        <v>371</v>
      </c>
      <c r="G395" s="127" t="s">
        <v>864</v>
      </c>
      <c r="H395" s="54">
        <v>7520</v>
      </c>
      <c r="I395" s="138">
        <v>0.85899999999999999</v>
      </c>
      <c r="J395" s="44" t="s">
        <v>848</v>
      </c>
      <c r="K395" s="44" t="s">
        <v>1540</v>
      </c>
    </row>
    <row r="396" spans="1:11" x14ac:dyDescent="0.3">
      <c r="A396" s="126" t="s">
        <v>390</v>
      </c>
      <c r="B396" s="126" t="s">
        <v>8</v>
      </c>
      <c r="C396" s="53" t="s">
        <v>1639</v>
      </c>
      <c r="D396" s="53" t="s">
        <v>1640</v>
      </c>
      <c r="E396" s="131">
        <v>45797</v>
      </c>
      <c r="F396" s="127" t="s">
        <v>371</v>
      </c>
      <c r="G396" s="127" t="s">
        <v>864</v>
      </c>
      <c r="H396" s="54">
        <v>42145.11</v>
      </c>
      <c r="I396" s="138">
        <v>0.85899999999999999</v>
      </c>
      <c r="J396" s="44" t="s">
        <v>848</v>
      </c>
      <c r="K396" s="44" t="s">
        <v>1540</v>
      </c>
    </row>
    <row r="397" spans="1:11" x14ac:dyDescent="0.3">
      <c r="A397" s="126" t="s">
        <v>390</v>
      </c>
      <c r="B397" s="126" t="s">
        <v>8</v>
      </c>
      <c r="C397" s="53" t="s">
        <v>1641</v>
      </c>
      <c r="D397" s="53" t="s">
        <v>1642</v>
      </c>
      <c r="E397" s="131">
        <v>45797</v>
      </c>
      <c r="F397" s="127" t="s">
        <v>371</v>
      </c>
      <c r="G397" s="127" t="s">
        <v>864</v>
      </c>
      <c r="H397" s="54">
        <v>74559.91</v>
      </c>
      <c r="I397" s="138">
        <v>0.188</v>
      </c>
      <c r="J397" s="44" t="s">
        <v>832</v>
      </c>
      <c r="K397" s="44" t="s">
        <v>1541</v>
      </c>
    </row>
    <row r="398" spans="1:11" x14ac:dyDescent="0.3">
      <c r="A398" s="126" t="s">
        <v>390</v>
      </c>
      <c r="B398" s="126" t="s">
        <v>8</v>
      </c>
      <c r="C398" s="53" t="s">
        <v>1643</v>
      </c>
      <c r="D398" s="53" t="s">
        <v>1644</v>
      </c>
      <c r="E398" s="131">
        <v>45797</v>
      </c>
      <c r="F398" s="127" t="s">
        <v>371</v>
      </c>
      <c r="G398" s="127" t="s">
        <v>864</v>
      </c>
      <c r="H398" s="54">
        <v>56616.25</v>
      </c>
      <c r="I398" s="138">
        <v>0.20599999999999999</v>
      </c>
      <c r="J398" s="44" t="s">
        <v>832</v>
      </c>
      <c r="K398" s="44" t="s">
        <v>1541</v>
      </c>
    </row>
    <row r="399" spans="1:11" x14ac:dyDescent="0.3">
      <c r="A399" s="126" t="s">
        <v>390</v>
      </c>
      <c r="B399" s="126" t="s">
        <v>8</v>
      </c>
      <c r="C399" s="53" t="s">
        <v>1645</v>
      </c>
      <c r="D399" s="53" t="s">
        <v>1646</v>
      </c>
      <c r="E399" s="131">
        <v>45797</v>
      </c>
      <c r="F399" s="127" t="s">
        <v>371</v>
      </c>
      <c r="G399" s="127" t="s">
        <v>864</v>
      </c>
      <c r="H399" s="54">
        <v>92750.26</v>
      </c>
      <c r="I399" s="138">
        <v>0.17599999999999999</v>
      </c>
      <c r="J399" s="44" t="s">
        <v>832</v>
      </c>
      <c r="K399" s="44" t="s">
        <v>1541</v>
      </c>
    </row>
    <row r="400" spans="1:11" x14ac:dyDescent="0.3">
      <c r="A400" s="126" t="s">
        <v>390</v>
      </c>
      <c r="B400" s="126" t="s">
        <v>8</v>
      </c>
      <c r="C400" s="53" t="s">
        <v>1647</v>
      </c>
      <c r="D400" s="53" t="s">
        <v>1648</v>
      </c>
      <c r="E400" s="131">
        <v>45797</v>
      </c>
      <c r="F400" s="127" t="s">
        <v>371</v>
      </c>
      <c r="G400" s="127" t="s">
        <v>864</v>
      </c>
      <c r="H400" s="54">
        <v>56609.63</v>
      </c>
      <c r="I400" s="138">
        <v>0.193</v>
      </c>
      <c r="J400" s="44" t="s">
        <v>832</v>
      </c>
      <c r="K400" s="44" t="s">
        <v>1541</v>
      </c>
    </row>
    <row r="401" spans="1:11" x14ac:dyDescent="0.3">
      <c r="A401" s="126" t="s">
        <v>390</v>
      </c>
      <c r="B401" s="126" t="s">
        <v>8</v>
      </c>
      <c r="C401" s="53" t="s">
        <v>1649</v>
      </c>
      <c r="D401" s="53" t="s">
        <v>1650</v>
      </c>
      <c r="E401" s="131">
        <v>45797</v>
      </c>
      <c r="F401" s="127" t="s">
        <v>371</v>
      </c>
      <c r="G401" s="127" t="s">
        <v>864</v>
      </c>
      <c r="H401" s="54">
        <v>105443.56</v>
      </c>
      <c r="I401" s="138">
        <v>0.17100000000000001</v>
      </c>
      <c r="J401" s="44" t="s">
        <v>832</v>
      </c>
      <c r="K401" s="44" t="s">
        <v>1541</v>
      </c>
    </row>
    <row r="402" spans="1:11" x14ac:dyDescent="0.3">
      <c r="A402" s="126" t="s">
        <v>390</v>
      </c>
      <c r="B402" s="126" t="s">
        <v>8</v>
      </c>
      <c r="C402" s="53" t="s">
        <v>1651</v>
      </c>
      <c r="D402" s="53" t="s">
        <v>1652</v>
      </c>
      <c r="E402" s="131">
        <v>45797</v>
      </c>
      <c r="F402" s="127" t="s">
        <v>371</v>
      </c>
      <c r="G402" s="127" t="s">
        <v>864</v>
      </c>
      <c r="H402" s="54">
        <v>22592.85</v>
      </c>
      <c r="I402" s="138">
        <v>0.28799999999999998</v>
      </c>
      <c r="J402" s="44" t="s">
        <v>832</v>
      </c>
      <c r="K402" s="44" t="s">
        <v>1541</v>
      </c>
    </row>
    <row r="403" spans="1:11" x14ac:dyDescent="0.3">
      <c r="A403" s="126" t="s">
        <v>390</v>
      </c>
      <c r="B403" s="126" t="s">
        <v>8</v>
      </c>
      <c r="C403" s="53" t="s">
        <v>1653</v>
      </c>
      <c r="D403" s="53" t="s">
        <v>1654</v>
      </c>
      <c r="E403" s="131">
        <v>45797</v>
      </c>
      <c r="F403" s="127" t="s">
        <v>371</v>
      </c>
      <c r="G403" s="127" t="s">
        <v>864</v>
      </c>
      <c r="H403" s="54">
        <v>36696.589999999997</v>
      </c>
      <c r="I403" s="138">
        <v>0.247</v>
      </c>
      <c r="J403" s="44" t="s">
        <v>832</v>
      </c>
      <c r="K403" s="44" t="s">
        <v>1541</v>
      </c>
    </row>
    <row r="404" spans="1:11" x14ac:dyDescent="0.3">
      <c r="A404" s="126" t="s">
        <v>390</v>
      </c>
      <c r="B404" s="126" t="s">
        <v>8</v>
      </c>
      <c r="C404" s="53" t="s">
        <v>1655</v>
      </c>
      <c r="D404" s="53" t="s">
        <v>1656</v>
      </c>
      <c r="E404" s="131">
        <v>45797</v>
      </c>
      <c r="F404" s="127" t="s">
        <v>371</v>
      </c>
      <c r="G404" s="127" t="s">
        <v>864</v>
      </c>
      <c r="H404" s="54">
        <v>48624.37</v>
      </c>
      <c r="I404" s="138">
        <v>0.218</v>
      </c>
      <c r="J404" s="44" t="s">
        <v>832</v>
      </c>
      <c r="K404" s="44" t="s">
        <v>1541</v>
      </c>
    </row>
    <row r="405" spans="1:11" x14ac:dyDescent="0.3">
      <c r="A405" s="126" t="s">
        <v>390</v>
      </c>
      <c r="B405" s="126" t="s">
        <v>8</v>
      </c>
      <c r="C405" s="53" t="s">
        <v>1657</v>
      </c>
      <c r="D405" s="53" t="s">
        <v>1658</v>
      </c>
      <c r="E405" s="131">
        <v>45797</v>
      </c>
      <c r="F405" s="127" t="s">
        <v>371</v>
      </c>
      <c r="G405" s="127" t="s">
        <v>864</v>
      </c>
      <c r="H405" s="54">
        <v>35654.82</v>
      </c>
      <c r="I405" s="138">
        <v>0.25</v>
      </c>
      <c r="J405" s="44" t="s">
        <v>832</v>
      </c>
      <c r="K405" s="44" t="s">
        <v>1541</v>
      </c>
    </row>
    <row r="406" spans="1:11" x14ac:dyDescent="0.3">
      <c r="A406" s="126" t="s">
        <v>390</v>
      </c>
      <c r="B406" s="126" t="s">
        <v>8</v>
      </c>
      <c r="C406" s="53" t="s">
        <v>1659</v>
      </c>
      <c r="D406" s="53" t="s">
        <v>1660</v>
      </c>
      <c r="E406" s="131">
        <v>45797</v>
      </c>
      <c r="F406" s="127" t="s">
        <v>371</v>
      </c>
      <c r="G406" s="127" t="s">
        <v>864</v>
      </c>
      <c r="H406" s="54">
        <v>38385.199999999997</v>
      </c>
      <c r="I406" s="138">
        <v>0.24199999999999999</v>
      </c>
      <c r="J406" s="44" t="s">
        <v>832</v>
      </c>
      <c r="K406" s="44" t="s">
        <v>1541</v>
      </c>
    </row>
    <row r="407" spans="1:11" x14ac:dyDescent="0.3">
      <c r="A407" s="126" t="s">
        <v>390</v>
      </c>
      <c r="B407" s="126" t="s">
        <v>8</v>
      </c>
      <c r="C407" s="53" t="s">
        <v>1661</v>
      </c>
      <c r="D407" s="53" t="s">
        <v>1662</v>
      </c>
      <c r="E407" s="131">
        <v>45797</v>
      </c>
      <c r="F407" s="127" t="s">
        <v>371</v>
      </c>
      <c r="G407" s="127" t="s">
        <v>864</v>
      </c>
      <c r="H407" s="54">
        <v>52917.55</v>
      </c>
      <c r="I407" s="138">
        <v>0.21099999999999999</v>
      </c>
      <c r="J407" s="44" t="s">
        <v>832</v>
      </c>
      <c r="K407" s="44" t="s">
        <v>1541</v>
      </c>
    </row>
    <row r="408" spans="1:11" x14ac:dyDescent="0.3">
      <c r="A408" s="126" t="s">
        <v>390</v>
      </c>
      <c r="B408" s="126" t="s">
        <v>8</v>
      </c>
      <c r="C408" s="53" t="s">
        <v>1663</v>
      </c>
      <c r="D408" s="53" t="s">
        <v>1664</v>
      </c>
      <c r="E408" s="131">
        <v>45797</v>
      </c>
      <c r="F408" s="127" t="s">
        <v>371</v>
      </c>
      <c r="G408" s="127" t="s">
        <v>864</v>
      </c>
      <c r="H408" s="54">
        <v>63320.75</v>
      </c>
      <c r="I408" s="138">
        <v>0.187</v>
      </c>
      <c r="J408" s="44" t="s">
        <v>832</v>
      </c>
      <c r="K408" s="44" t="s">
        <v>1541</v>
      </c>
    </row>
    <row r="409" spans="1:11" x14ac:dyDescent="0.3">
      <c r="A409" s="126" t="s">
        <v>390</v>
      </c>
      <c r="B409" s="126" t="s">
        <v>8</v>
      </c>
      <c r="C409" s="53" t="s">
        <v>1665</v>
      </c>
      <c r="D409" s="53" t="s">
        <v>1666</v>
      </c>
      <c r="E409" s="131">
        <v>45797</v>
      </c>
      <c r="F409" s="127" t="s">
        <v>371</v>
      </c>
      <c r="G409" s="127" t="s">
        <v>864</v>
      </c>
      <c r="H409" s="54">
        <v>69793.490000000005</v>
      </c>
      <c r="I409" s="138">
        <v>0.21299999999999999</v>
      </c>
      <c r="J409" s="44" t="s">
        <v>832</v>
      </c>
      <c r="K409" s="44" t="s">
        <v>1541</v>
      </c>
    </row>
    <row r="410" spans="1:11" x14ac:dyDescent="0.3">
      <c r="A410" s="126" t="s">
        <v>390</v>
      </c>
      <c r="B410" s="126" t="s">
        <v>8</v>
      </c>
      <c r="C410" s="53" t="s">
        <v>1667</v>
      </c>
      <c r="D410" s="53" t="s">
        <v>1668</v>
      </c>
      <c r="E410" s="131">
        <v>45797</v>
      </c>
      <c r="F410" s="127" t="s">
        <v>371</v>
      </c>
      <c r="G410" s="127" t="s">
        <v>864</v>
      </c>
      <c r="H410" s="54">
        <v>96137.49</v>
      </c>
      <c r="I410" s="138">
        <v>0.17100000000000001</v>
      </c>
      <c r="J410" s="44" t="s">
        <v>832</v>
      </c>
      <c r="K410" s="44" t="s">
        <v>1541</v>
      </c>
    </row>
    <row r="411" spans="1:11" x14ac:dyDescent="0.3">
      <c r="A411" s="126" t="s">
        <v>390</v>
      </c>
      <c r="B411" s="126" t="s">
        <v>8</v>
      </c>
      <c r="C411" s="53" t="s">
        <v>1669</v>
      </c>
      <c r="D411" s="53" t="s">
        <v>1670</v>
      </c>
      <c r="E411" s="131">
        <v>45797</v>
      </c>
      <c r="F411" s="127" t="s">
        <v>371</v>
      </c>
      <c r="G411" s="127" t="s">
        <v>864</v>
      </c>
      <c r="H411" s="54">
        <v>40048.83</v>
      </c>
      <c r="I411" s="138">
        <v>0.24299999999999999</v>
      </c>
      <c r="J411" s="44" t="s">
        <v>832</v>
      </c>
      <c r="K411" s="44" t="s">
        <v>1541</v>
      </c>
    </row>
    <row r="412" spans="1:11" x14ac:dyDescent="0.3">
      <c r="A412" s="126" t="s">
        <v>390</v>
      </c>
      <c r="B412" s="126" t="s">
        <v>8</v>
      </c>
      <c r="C412" s="53" t="s">
        <v>1671</v>
      </c>
      <c r="D412" s="53" t="s">
        <v>1672</v>
      </c>
      <c r="E412" s="131">
        <v>45797</v>
      </c>
      <c r="F412" s="127" t="s">
        <v>371</v>
      </c>
      <c r="G412" s="127" t="s">
        <v>864</v>
      </c>
      <c r="H412" s="54">
        <v>32348.23</v>
      </c>
      <c r="I412" s="138">
        <v>0.24299999999999999</v>
      </c>
      <c r="J412" s="44" t="s">
        <v>832</v>
      </c>
      <c r="K412" s="44" t="s">
        <v>1541</v>
      </c>
    </row>
    <row r="413" spans="1:11" x14ac:dyDescent="0.3">
      <c r="A413" s="126" t="s">
        <v>390</v>
      </c>
      <c r="B413" s="126" t="s">
        <v>8</v>
      </c>
      <c r="C413" s="53" t="s">
        <v>1673</v>
      </c>
      <c r="D413" s="53" t="s">
        <v>1674</v>
      </c>
      <c r="E413" s="131">
        <v>45797</v>
      </c>
      <c r="F413" s="127" t="s">
        <v>371</v>
      </c>
      <c r="G413" s="127" t="s">
        <v>864</v>
      </c>
      <c r="H413" s="54">
        <v>14521.64</v>
      </c>
      <c r="I413" s="138">
        <v>0.47599999999999998</v>
      </c>
      <c r="J413" s="44" t="s">
        <v>832</v>
      </c>
      <c r="K413" s="44" t="s">
        <v>1541</v>
      </c>
    </row>
    <row r="414" spans="1:11" x14ac:dyDescent="0.3">
      <c r="A414" s="126" t="s">
        <v>390</v>
      </c>
      <c r="B414" s="126" t="s">
        <v>8</v>
      </c>
      <c r="C414" s="53" t="s">
        <v>1675</v>
      </c>
      <c r="D414" s="53" t="s">
        <v>1676</v>
      </c>
      <c r="E414" s="131">
        <v>45797</v>
      </c>
      <c r="F414" s="127" t="s">
        <v>371</v>
      </c>
      <c r="G414" s="127" t="s">
        <v>864</v>
      </c>
      <c r="H414" s="54">
        <v>104991.3</v>
      </c>
      <c r="I414" s="138">
        <v>0.17399999999999999</v>
      </c>
      <c r="J414" s="44" t="s">
        <v>832</v>
      </c>
      <c r="K414" s="44" t="s">
        <v>1541</v>
      </c>
    </row>
    <row r="415" spans="1:11" x14ac:dyDescent="0.3">
      <c r="A415" s="126" t="s">
        <v>390</v>
      </c>
      <c r="B415" s="126" t="s">
        <v>8</v>
      </c>
      <c r="C415" s="53" t="s">
        <v>1677</v>
      </c>
      <c r="D415" s="53" t="s">
        <v>1678</v>
      </c>
      <c r="E415" s="131">
        <v>45797</v>
      </c>
      <c r="F415" s="127" t="s">
        <v>371</v>
      </c>
      <c r="G415" s="127" t="s">
        <v>864</v>
      </c>
      <c r="H415" s="54">
        <v>34631.86</v>
      </c>
      <c r="I415" s="138">
        <v>0.26100000000000001</v>
      </c>
      <c r="J415" s="44" t="s">
        <v>832</v>
      </c>
      <c r="K415" s="44" t="s">
        <v>1541</v>
      </c>
    </row>
    <row r="416" spans="1:11" x14ac:dyDescent="0.3">
      <c r="A416" s="126" t="s">
        <v>392</v>
      </c>
      <c r="B416" s="126" t="s">
        <v>8</v>
      </c>
      <c r="C416" s="53" t="s">
        <v>1679</v>
      </c>
      <c r="D416" s="53" t="s">
        <v>1680</v>
      </c>
      <c r="E416" s="131">
        <v>45797</v>
      </c>
      <c r="F416" s="127" t="s">
        <v>371</v>
      </c>
      <c r="G416" s="127" t="s">
        <v>864</v>
      </c>
      <c r="H416" s="54">
        <v>7520</v>
      </c>
      <c r="I416" s="138">
        <v>0.85199999999999998</v>
      </c>
      <c r="J416" s="44" t="s">
        <v>848</v>
      </c>
      <c r="K416" s="44" t="s">
        <v>1540</v>
      </c>
    </row>
    <row r="417" spans="1:11" x14ac:dyDescent="0.3">
      <c r="A417" s="126" t="s">
        <v>390</v>
      </c>
      <c r="B417" s="126" t="s">
        <v>8</v>
      </c>
      <c r="C417" s="53" t="s">
        <v>1681</v>
      </c>
      <c r="D417" s="53" t="s">
        <v>1682</v>
      </c>
      <c r="E417" s="131">
        <v>45797</v>
      </c>
      <c r="F417" s="127" t="s">
        <v>371</v>
      </c>
      <c r="G417" s="127" t="s">
        <v>864</v>
      </c>
      <c r="H417" s="54">
        <v>47240.44</v>
      </c>
      <c r="I417" s="138">
        <v>0.28599999999999998</v>
      </c>
      <c r="J417" s="44" t="s">
        <v>832</v>
      </c>
      <c r="K417" s="44" t="s">
        <v>1541</v>
      </c>
    </row>
    <row r="418" spans="1:11" x14ac:dyDescent="0.3">
      <c r="A418" s="126" t="s">
        <v>392</v>
      </c>
      <c r="B418" s="126" t="s">
        <v>8</v>
      </c>
      <c r="C418" s="53" t="s">
        <v>1683</v>
      </c>
      <c r="D418" s="53" t="s">
        <v>1684</v>
      </c>
      <c r="E418" s="131">
        <v>45797</v>
      </c>
      <c r="F418" s="127" t="s">
        <v>842</v>
      </c>
      <c r="G418" s="127" t="s">
        <v>843</v>
      </c>
      <c r="H418" s="54">
        <v>22000</v>
      </c>
      <c r="I418" s="138">
        <v>0.46400000000000002</v>
      </c>
      <c r="J418" s="44" t="s">
        <v>1835</v>
      </c>
      <c r="K418" s="44" t="s">
        <v>1540</v>
      </c>
    </row>
    <row r="419" spans="1:11" x14ac:dyDescent="0.3">
      <c r="A419" s="126" t="s">
        <v>392</v>
      </c>
      <c r="B419" s="126" t="s">
        <v>8</v>
      </c>
      <c r="C419" s="53" t="s">
        <v>1685</v>
      </c>
      <c r="D419" s="53" t="s">
        <v>1686</v>
      </c>
      <c r="E419" s="131">
        <v>45797</v>
      </c>
      <c r="F419" s="127" t="s">
        <v>842</v>
      </c>
      <c r="G419" s="127" t="s">
        <v>843</v>
      </c>
      <c r="H419" s="54">
        <v>22000</v>
      </c>
      <c r="I419" s="138">
        <v>0.46600000000000003</v>
      </c>
      <c r="J419" s="44" t="s">
        <v>1835</v>
      </c>
      <c r="K419" s="44" t="s">
        <v>1540</v>
      </c>
    </row>
    <row r="420" spans="1:11" x14ac:dyDescent="0.3">
      <c r="A420" s="126" t="s">
        <v>392</v>
      </c>
      <c r="B420" s="126" t="s">
        <v>8</v>
      </c>
      <c r="C420" s="53" t="s">
        <v>1687</v>
      </c>
      <c r="D420" s="53" t="s">
        <v>1688</v>
      </c>
      <c r="E420" s="131">
        <v>45797</v>
      </c>
      <c r="F420" s="127" t="s">
        <v>842</v>
      </c>
      <c r="G420" s="127" t="s">
        <v>843</v>
      </c>
      <c r="H420" s="54">
        <v>22000</v>
      </c>
      <c r="I420" s="138">
        <v>0.48399999999999999</v>
      </c>
      <c r="J420" s="44" t="s">
        <v>1835</v>
      </c>
      <c r="K420" s="44" t="s">
        <v>1540</v>
      </c>
    </row>
    <row r="421" spans="1:11" x14ac:dyDescent="0.3">
      <c r="A421" s="126" t="s">
        <v>392</v>
      </c>
      <c r="B421" s="126" t="s">
        <v>8</v>
      </c>
      <c r="C421" s="53" t="s">
        <v>1689</v>
      </c>
      <c r="D421" s="53" t="s">
        <v>1690</v>
      </c>
      <c r="E421" s="131">
        <v>45797</v>
      </c>
      <c r="F421" s="127" t="s">
        <v>370</v>
      </c>
      <c r="G421" s="127" t="s">
        <v>63</v>
      </c>
      <c r="H421" s="54">
        <v>4200</v>
      </c>
      <c r="I421" s="138">
        <v>0.57099999999999995</v>
      </c>
      <c r="J421" s="44" t="s">
        <v>830</v>
      </c>
      <c r="K421" s="44" t="s">
        <v>1540</v>
      </c>
    </row>
    <row r="422" spans="1:11" x14ac:dyDescent="0.3">
      <c r="A422" s="126" t="s">
        <v>392</v>
      </c>
      <c r="B422" s="126" t="s">
        <v>8</v>
      </c>
      <c r="C422" s="53" t="s">
        <v>1691</v>
      </c>
      <c r="D422" s="53" t="s">
        <v>1692</v>
      </c>
      <c r="E422" s="131">
        <v>45797</v>
      </c>
      <c r="F422" s="127" t="s">
        <v>370</v>
      </c>
      <c r="G422" s="127" t="s">
        <v>63</v>
      </c>
      <c r="H422" s="54">
        <v>7400</v>
      </c>
      <c r="I422" s="138">
        <v>0.54100000000000004</v>
      </c>
      <c r="J422" s="44" t="s">
        <v>830</v>
      </c>
      <c r="K422" s="44" t="s">
        <v>1540</v>
      </c>
    </row>
    <row r="423" spans="1:11" x14ac:dyDescent="0.3">
      <c r="A423" s="126" t="s">
        <v>390</v>
      </c>
      <c r="B423" s="126" t="s">
        <v>8</v>
      </c>
      <c r="C423" s="53" t="s">
        <v>1693</v>
      </c>
      <c r="D423" s="53" t="s">
        <v>1694</v>
      </c>
      <c r="E423" s="131">
        <v>45797</v>
      </c>
      <c r="F423" s="127" t="s">
        <v>375</v>
      </c>
      <c r="G423" s="127" t="s">
        <v>62</v>
      </c>
      <c r="H423" s="54">
        <v>30166.92</v>
      </c>
      <c r="I423" s="138">
        <v>0.34899999999999998</v>
      </c>
      <c r="J423" s="44" t="s">
        <v>831</v>
      </c>
      <c r="K423" s="44" t="s">
        <v>1542</v>
      </c>
    </row>
    <row r="424" spans="1:11" x14ac:dyDescent="0.3">
      <c r="A424" s="126" t="s">
        <v>390</v>
      </c>
      <c r="B424" s="126" t="s">
        <v>8</v>
      </c>
      <c r="C424" s="53" t="s">
        <v>1695</v>
      </c>
      <c r="D424" s="53" t="s">
        <v>1696</v>
      </c>
      <c r="E424" s="131">
        <v>45797</v>
      </c>
      <c r="F424" s="127" t="s">
        <v>375</v>
      </c>
      <c r="G424" s="127" t="s">
        <v>62</v>
      </c>
      <c r="H424" s="54">
        <v>7891.97</v>
      </c>
      <c r="I424" s="138">
        <v>0.65</v>
      </c>
      <c r="J424" s="44" t="s">
        <v>831</v>
      </c>
      <c r="K424" s="44" t="s">
        <v>1542</v>
      </c>
    </row>
    <row r="425" spans="1:11" x14ac:dyDescent="0.3">
      <c r="A425" s="126" t="s">
        <v>390</v>
      </c>
      <c r="B425" s="126" t="s">
        <v>8</v>
      </c>
      <c r="C425" s="53" t="s">
        <v>1697</v>
      </c>
      <c r="D425" s="53" t="s">
        <v>1529</v>
      </c>
      <c r="E425" s="131">
        <v>45797</v>
      </c>
      <c r="F425" s="127" t="s">
        <v>375</v>
      </c>
      <c r="G425" s="127" t="s">
        <v>62</v>
      </c>
      <c r="H425" s="54">
        <v>950</v>
      </c>
      <c r="I425" s="138">
        <v>0.45500000000000002</v>
      </c>
      <c r="J425" s="44" t="s">
        <v>831</v>
      </c>
      <c r="K425" s="44" t="s">
        <v>1542</v>
      </c>
    </row>
    <row r="426" spans="1:11" x14ac:dyDescent="0.3">
      <c r="A426" s="126" t="s">
        <v>390</v>
      </c>
      <c r="B426" s="126" t="s">
        <v>8</v>
      </c>
      <c r="C426" s="53" t="s">
        <v>1698</v>
      </c>
      <c r="D426" s="53" t="s">
        <v>1352</v>
      </c>
      <c r="E426" s="131">
        <v>45797</v>
      </c>
      <c r="F426" s="127" t="s">
        <v>375</v>
      </c>
      <c r="G426" s="127" t="s">
        <v>62</v>
      </c>
      <c r="H426" s="54">
        <v>0.01</v>
      </c>
      <c r="I426" s="138">
        <v>0.255</v>
      </c>
      <c r="J426" s="44" t="s">
        <v>831</v>
      </c>
      <c r="K426" s="44" t="s">
        <v>1542</v>
      </c>
    </row>
    <row r="427" spans="1:11" x14ac:dyDescent="0.3">
      <c r="A427" s="126" t="s">
        <v>390</v>
      </c>
      <c r="B427" s="126" t="s">
        <v>8</v>
      </c>
      <c r="C427" s="53" t="s">
        <v>1699</v>
      </c>
      <c r="D427" s="53" t="s">
        <v>1700</v>
      </c>
      <c r="E427" s="131">
        <v>45798</v>
      </c>
      <c r="F427" s="127" t="s">
        <v>371</v>
      </c>
      <c r="G427" s="127" t="s">
        <v>864</v>
      </c>
      <c r="H427" s="54">
        <v>39961.129999999997</v>
      </c>
      <c r="I427" s="138">
        <v>0.24</v>
      </c>
      <c r="J427" s="44" t="s">
        <v>832</v>
      </c>
      <c r="K427" s="44" t="s">
        <v>1541</v>
      </c>
    </row>
    <row r="428" spans="1:11" x14ac:dyDescent="0.3">
      <c r="A428" s="126" t="s">
        <v>392</v>
      </c>
      <c r="B428" s="126" t="s">
        <v>8</v>
      </c>
      <c r="C428" s="53" t="s">
        <v>1701</v>
      </c>
      <c r="D428" s="53" t="s">
        <v>1702</v>
      </c>
      <c r="E428" s="131">
        <v>45798</v>
      </c>
      <c r="F428" s="127" t="s">
        <v>371</v>
      </c>
      <c r="G428" s="127" t="s">
        <v>864</v>
      </c>
      <c r="H428" s="54">
        <v>9508</v>
      </c>
      <c r="I428" s="138">
        <v>0.79900000000000004</v>
      </c>
      <c r="J428" s="44" t="s">
        <v>848</v>
      </c>
      <c r="K428" s="44" t="s">
        <v>1540</v>
      </c>
    </row>
    <row r="429" spans="1:11" x14ac:dyDescent="0.3">
      <c r="A429" s="126" t="s">
        <v>390</v>
      </c>
      <c r="B429" s="126" t="s">
        <v>8</v>
      </c>
      <c r="C429" s="53" t="s">
        <v>1703</v>
      </c>
      <c r="D429" s="53" t="s">
        <v>1704</v>
      </c>
      <c r="E429" s="131">
        <v>45798</v>
      </c>
      <c r="F429" s="127" t="s">
        <v>371</v>
      </c>
      <c r="G429" s="127" t="s">
        <v>864</v>
      </c>
      <c r="H429" s="54">
        <v>72455.19</v>
      </c>
      <c r="I429" s="138">
        <v>0.157</v>
      </c>
      <c r="J429" s="44" t="s">
        <v>832</v>
      </c>
      <c r="K429" s="44" t="s">
        <v>1541</v>
      </c>
    </row>
    <row r="430" spans="1:11" x14ac:dyDescent="0.3">
      <c r="A430" s="126" t="s">
        <v>390</v>
      </c>
      <c r="B430" s="126" t="s">
        <v>8</v>
      </c>
      <c r="C430" s="53" t="s">
        <v>1705</v>
      </c>
      <c r="D430" s="53" t="s">
        <v>1706</v>
      </c>
      <c r="E430" s="131">
        <v>45798</v>
      </c>
      <c r="F430" s="127" t="s">
        <v>371</v>
      </c>
      <c r="G430" s="127" t="s">
        <v>864</v>
      </c>
      <c r="H430" s="54">
        <v>28653.18</v>
      </c>
      <c r="I430" s="138">
        <v>0.25700000000000001</v>
      </c>
      <c r="J430" s="44" t="s">
        <v>832</v>
      </c>
      <c r="K430" s="44" t="s">
        <v>1541</v>
      </c>
    </row>
    <row r="431" spans="1:11" x14ac:dyDescent="0.3">
      <c r="A431" s="126" t="s">
        <v>390</v>
      </c>
      <c r="B431" s="126" t="s">
        <v>8</v>
      </c>
      <c r="C431" s="53" t="s">
        <v>1707</v>
      </c>
      <c r="D431" s="53" t="s">
        <v>1708</v>
      </c>
      <c r="E431" s="131">
        <v>45798</v>
      </c>
      <c r="F431" s="127" t="s">
        <v>371</v>
      </c>
      <c r="G431" s="127" t="s">
        <v>864</v>
      </c>
      <c r="H431" s="54">
        <v>28747.41</v>
      </c>
      <c r="I431" s="138">
        <v>0.25600000000000001</v>
      </c>
      <c r="J431" s="44" t="s">
        <v>832</v>
      </c>
      <c r="K431" s="44" t="s">
        <v>1541</v>
      </c>
    </row>
    <row r="432" spans="1:11" x14ac:dyDescent="0.3">
      <c r="A432" s="126" t="s">
        <v>390</v>
      </c>
      <c r="B432" s="126" t="s">
        <v>8</v>
      </c>
      <c r="C432" s="53" t="s">
        <v>1709</v>
      </c>
      <c r="D432" s="53" t="s">
        <v>1710</v>
      </c>
      <c r="E432" s="131">
        <v>45798</v>
      </c>
      <c r="F432" s="127" t="s">
        <v>371</v>
      </c>
      <c r="G432" s="127" t="s">
        <v>864</v>
      </c>
      <c r="H432" s="54">
        <v>1800</v>
      </c>
      <c r="I432" s="138">
        <v>0.68</v>
      </c>
      <c r="J432" s="44" t="s">
        <v>832</v>
      </c>
      <c r="K432" s="44" t="s">
        <v>1541</v>
      </c>
    </row>
    <row r="433" spans="1:11" x14ac:dyDescent="0.3">
      <c r="A433" s="126" t="s">
        <v>390</v>
      </c>
      <c r="B433" s="126" t="s">
        <v>8</v>
      </c>
      <c r="C433" s="53" t="s">
        <v>1711</v>
      </c>
      <c r="D433" s="53" t="s">
        <v>1710</v>
      </c>
      <c r="E433" s="131">
        <v>45798</v>
      </c>
      <c r="F433" s="127" t="s">
        <v>371</v>
      </c>
      <c r="G433" s="127" t="s">
        <v>864</v>
      </c>
      <c r="H433" s="54">
        <v>15438.72</v>
      </c>
      <c r="I433" s="138">
        <v>0.68</v>
      </c>
      <c r="J433" s="44" t="s">
        <v>832</v>
      </c>
      <c r="K433" s="44" t="s">
        <v>1541</v>
      </c>
    </row>
    <row r="434" spans="1:11" x14ac:dyDescent="0.3">
      <c r="A434" s="126" t="s">
        <v>390</v>
      </c>
      <c r="B434" s="126" t="s">
        <v>8</v>
      </c>
      <c r="C434" s="53" t="s">
        <v>1712</v>
      </c>
      <c r="D434" s="53" t="s">
        <v>1713</v>
      </c>
      <c r="E434" s="131">
        <v>45798</v>
      </c>
      <c r="F434" s="127" t="s">
        <v>844</v>
      </c>
      <c r="G434" s="127" t="s">
        <v>863</v>
      </c>
      <c r="H434" s="54">
        <v>23706.75</v>
      </c>
      <c r="I434" s="138">
        <v>0.24099999999999999</v>
      </c>
      <c r="J434" s="44" t="s">
        <v>848</v>
      </c>
      <c r="K434" s="44" t="s">
        <v>1542</v>
      </c>
    </row>
    <row r="435" spans="1:11" x14ac:dyDescent="0.3">
      <c r="A435" s="126" t="s">
        <v>390</v>
      </c>
      <c r="B435" s="126" t="s">
        <v>8</v>
      </c>
      <c r="C435" s="53" t="s">
        <v>1714</v>
      </c>
      <c r="D435" s="53" t="s">
        <v>1715</v>
      </c>
      <c r="E435" s="131">
        <v>45798</v>
      </c>
      <c r="F435" s="127" t="s">
        <v>375</v>
      </c>
      <c r="G435" s="127" t="s">
        <v>62</v>
      </c>
      <c r="H435" s="54">
        <v>18159.099999999999</v>
      </c>
      <c r="I435" s="138">
        <v>0.84399999999999997</v>
      </c>
      <c r="J435" s="44" t="s">
        <v>831</v>
      </c>
      <c r="K435" s="44" t="s">
        <v>1542</v>
      </c>
    </row>
    <row r="436" spans="1:11" x14ac:dyDescent="0.3">
      <c r="A436" s="126" t="s">
        <v>392</v>
      </c>
      <c r="B436" s="126" t="s">
        <v>8</v>
      </c>
      <c r="C436" s="53" t="s">
        <v>1716</v>
      </c>
      <c r="D436" s="53" t="s">
        <v>1717</v>
      </c>
      <c r="E436" s="131">
        <v>45798</v>
      </c>
      <c r="F436" s="127" t="s">
        <v>370</v>
      </c>
      <c r="G436" s="127" t="s">
        <v>63</v>
      </c>
      <c r="H436" s="54">
        <v>12500</v>
      </c>
      <c r="I436" s="138">
        <v>0.77600000000000002</v>
      </c>
      <c r="J436" s="44" t="s">
        <v>830</v>
      </c>
      <c r="K436" s="44" t="s">
        <v>1541</v>
      </c>
    </row>
    <row r="437" spans="1:11" x14ac:dyDescent="0.3">
      <c r="A437" s="126" t="s">
        <v>390</v>
      </c>
      <c r="B437" s="126" t="s">
        <v>8</v>
      </c>
      <c r="C437" s="53" t="s">
        <v>1718</v>
      </c>
      <c r="D437" s="53" t="s">
        <v>1719</v>
      </c>
      <c r="E437" s="131">
        <v>45798</v>
      </c>
      <c r="F437" s="127" t="s">
        <v>371</v>
      </c>
      <c r="G437" s="127" t="s">
        <v>864</v>
      </c>
      <c r="H437" s="54">
        <v>55004.42</v>
      </c>
      <c r="I437" s="138">
        <v>0.21199999999999999</v>
      </c>
      <c r="J437" s="44" t="s">
        <v>832</v>
      </c>
      <c r="K437" s="44" t="s">
        <v>1541</v>
      </c>
    </row>
    <row r="438" spans="1:11" x14ac:dyDescent="0.3">
      <c r="A438" s="126" t="s">
        <v>390</v>
      </c>
      <c r="B438" s="126" t="s">
        <v>8</v>
      </c>
      <c r="C438" s="53" t="s">
        <v>1720</v>
      </c>
      <c r="D438" s="53" t="s">
        <v>1721</v>
      </c>
      <c r="E438" s="131">
        <v>45798</v>
      </c>
      <c r="F438" s="127" t="s">
        <v>371</v>
      </c>
      <c r="G438" s="127" t="s">
        <v>864</v>
      </c>
      <c r="H438" s="54">
        <v>11554.79</v>
      </c>
      <c r="I438" s="138">
        <v>0.52</v>
      </c>
      <c r="J438" s="44" t="s">
        <v>832</v>
      </c>
      <c r="K438" s="44" t="s">
        <v>1541</v>
      </c>
    </row>
    <row r="439" spans="1:11" x14ac:dyDescent="0.3">
      <c r="A439" s="126" t="s">
        <v>390</v>
      </c>
      <c r="B439" s="126" t="s">
        <v>8</v>
      </c>
      <c r="C439" s="53" t="s">
        <v>1722</v>
      </c>
      <c r="D439" s="53" t="s">
        <v>1723</v>
      </c>
      <c r="E439" s="131">
        <v>45798</v>
      </c>
      <c r="F439" s="127" t="s">
        <v>371</v>
      </c>
      <c r="G439" s="127" t="s">
        <v>864</v>
      </c>
      <c r="H439" s="54">
        <v>75383.78</v>
      </c>
      <c r="I439" s="138">
        <v>0.19</v>
      </c>
      <c r="J439" s="44" t="s">
        <v>832</v>
      </c>
      <c r="K439" s="44" t="s">
        <v>1541</v>
      </c>
    </row>
    <row r="440" spans="1:11" x14ac:dyDescent="0.3">
      <c r="A440" s="126" t="s">
        <v>390</v>
      </c>
      <c r="B440" s="126" t="s">
        <v>8</v>
      </c>
      <c r="C440" s="53" t="s">
        <v>1724</v>
      </c>
      <c r="D440" s="53" t="s">
        <v>1725</v>
      </c>
      <c r="E440" s="131">
        <v>45798</v>
      </c>
      <c r="F440" s="127" t="s">
        <v>371</v>
      </c>
      <c r="G440" s="127" t="s">
        <v>864</v>
      </c>
      <c r="H440" s="54">
        <v>13209.08</v>
      </c>
      <c r="I440" s="138">
        <v>0.47099999999999997</v>
      </c>
      <c r="J440" s="44" t="s">
        <v>832</v>
      </c>
      <c r="K440" s="44" t="s">
        <v>1541</v>
      </c>
    </row>
    <row r="441" spans="1:11" x14ac:dyDescent="0.3">
      <c r="A441" s="126" t="s">
        <v>390</v>
      </c>
      <c r="B441" s="126" t="s">
        <v>8</v>
      </c>
      <c r="C441" s="53" t="s">
        <v>1726</v>
      </c>
      <c r="D441" s="53" t="s">
        <v>1727</v>
      </c>
      <c r="E441" s="131">
        <v>45798</v>
      </c>
      <c r="F441" s="127" t="s">
        <v>371</v>
      </c>
      <c r="G441" s="127" t="s">
        <v>864</v>
      </c>
      <c r="H441" s="54">
        <v>17453.330000000002</v>
      </c>
      <c r="I441" s="138">
        <v>0.46100000000000002</v>
      </c>
      <c r="J441" s="44" t="s">
        <v>832</v>
      </c>
      <c r="K441" s="44" t="s">
        <v>1541</v>
      </c>
    </row>
    <row r="442" spans="1:11" x14ac:dyDescent="0.3">
      <c r="A442" s="126" t="s">
        <v>392</v>
      </c>
      <c r="B442" s="126" t="s">
        <v>8</v>
      </c>
      <c r="C442" s="53" t="s">
        <v>1728</v>
      </c>
      <c r="D442" s="53" t="s">
        <v>1729</v>
      </c>
      <c r="E442" s="131">
        <v>45799</v>
      </c>
      <c r="F442" s="127" t="s">
        <v>370</v>
      </c>
      <c r="G442" s="127" t="s">
        <v>63</v>
      </c>
      <c r="H442" s="54">
        <v>12150</v>
      </c>
      <c r="I442" s="138">
        <v>0.64600000000000002</v>
      </c>
      <c r="J442" s="44" t="s">
        <v>830</v>
      </c>
      <c r="K442" s="44" t="s">
        <v>1540</v>
      </c>
    </row>
    <row r="443" spans="1:11" x14ac:dyDescent="0.3">
      <c r="A443" s="126" t="s">
        <v>392</v>
      </c>
      <c r="B443" s="126" t="s">
        <v>8</v>
      </c>
      <c r="C443" s="53" t="s">
        <v>1730</v>
      </c>
      <c r="D443" s="53" t="s">
        <v>1731</v>
      </c>
      <c r="E443" s="131">
        <v>45799</v>
      </c>
      <c r="F443" s="127" t="s">
        <v>370</v>
      </c>
      <c r="G443" s="127" t="s">
        <v>63</v>
      </c>
      <c r="H443" s="54">
        <v>10300</v>
      </c>
      <c r="I443" s="138">
        <v>0.58299999999999996</v>
      </c>
      <c r="J443" s="44" t="s">
        <v>830</v>
      </c>
      <c r="K443" s="44" t="s">
        <v>1540</v>
      </c>
    </row>
    <row r="444" spans="1:11" x14ac:dyDescent="0.3">
      <c r="A444" s="126" t="s">
        <v>392</v>
      </c>
      <c r="B444" s="126" t="s">
        <v>8</v>
      </c>
      <c r="C444" s="53" t="s">
        <v>1732</v>
      </c>
      <c r="D444" s="53" t="s">
        <v>1733</v>
      </c>
      <c r="E444" s="131">
        <v>45799</v>
      </c>
      <c r="F444" s="127" t="s">
        <v>370</v>
      </c>
      <c r="G444" s="127" t="s">
        <v>63</v>
      </c>
      <c r="H444" s="54">
        <v>10300</v>
      </c>
      <c r="I444" s="138">
        <v>0.58299999999999996</v>
      </c>
      <c r="J444" s="44" t="s">
        <v>830</v>
      </c>
      <c r="K444" s="44" t="s">
        <v>1540</v>
      </c>
    </row>
    <row r="445" spans="1:11" x14ac:dyDescent="0.3">
      <c r="A445" s="126" t="s">
        <v>392</v>
      </c>
      <c r="B445" s="126" t="s">
        <v>8</v>
      </c>
      <c r="C445" s="53" t="s">
        <v>1734</v>
      </c>
      <c r="D445" s="53" t="s">
        <v>1735</v>
      </c>
      <c r="E445" s="131">
        <v>45799</v>
      </c>
      <c r="F445" s="127" t="s">
        <v>370</v>
      </c>
      <c r="G445" s="127" t="s">
        <v>63</v>
      </c>
      <c r="H445" s="54">
        <v>4200</v>
      </c>
      <c r="I445" s="138">
        <v>0.57099999999999995</v>
      </c>
      <c r="J445" s="44" t="s">
        <v>830</v>
      </c>
      <c r="K445" s="44" t="s">
        <v>1540</v>
      </c>
    </row>
    <row r="446" spans="1:11" x14ac:dyDescent="0.3">
      <c r="A446" s="126" t="s">
        <v>392</v>
      </c>
      <c r="B446" s="126" t="s">
        <v>8</v>
      </c>
      <c r="C446" s="53" t="s">
        <v>1736</v>
      </c>
      <c r="D446" s="53" t="s">
        <v>1737</v>
      </c>
      <c r="E446" s="131">
        <v>45799</v>
      </c>
      <c r="F446" s="127" t="s">
        <v>370</v>
      </c>
      <c r="G446" s="127" t="s">
        <v>63</v>
      </c>
      <c r="H446" s="54">
        <v>4200</v>
      </c>
      <c r="I446" s="138">
        <v>0.5</v>
      </c>
      <c r="J446" s="44" t="s">
        <v>830</v>
      </c>
      <c r="K446" s="44" t="s">
        <v>1540</v>
      </c>
    </row>
    <row r="447" spans="1:11" x14ac:dyDescent="0.3">
      <c r="A447" s="126" t="s">
        <v>390</v>
      </c>
      <c r="B447" s="126" t="s">
        <v>8</v>
      </c>
      <c r="C447" s="53" t="s">
        <v>1738</v>
      </c>
      <c r="D447" s="53" t="s">
        <v>1739</v>
      </c>
      <c r="E447" s="131">
        <v>45799</v>
      </c>
      <c r="F447" s="127" t="s">
        <v>371</v>
      </c>
      <c r="G447" s="127" t="s">
        <v>864</v>
      </c>
      <c r="H447" s="54">
        <v>171892.89</v>
      </c>
      <c r="I447" s="138">
        <v>0.161</v>
      </c>
      <c r="J447" s="44" t="s">
        <v>832</v>
      </c>
      <c r="K447" s="44" t="s">
        <v>1541</v>
      </c>
    </row>
    <row r="448" spans="1:11" x14ac:dyDescent="0.3">
      <c r="A448" s="126" t="s">
        <v>390</v>
      </c>
      <c r="B448" s="126" t="s">
        <v>8</v>
      </c>
      <c r="C448" s="53" t="s">
        <v>1740</v>
      </c>
      <c r="D448" s="53" t="s">
        <v>1741</v>
      </c>
      <c r="E448" s="131">
        <v>45799</v>
      </c>
      <c r="F448" s="127" t="s">
        <v>371</v>
      </c>
      <c r="G448" s="127" t="s">
        <v>864</v>
      </c>
      <c r="H448" s="54">
        <v>13793.67</v>
      </c>
      <c r="I448" s="138">
        <v>0.49399999999999999</v>
      </c>
      <c r="J448" s="44" t="s">
        <v>832</v>
      </c>
      <c r="K448" s="44" t="s">
        <v>1541</v>
      </c>
    </row>
    <row r="449" spans="1:11" x14ac:dyDescent="0.3">
      <c r="A449" s="126" t="s">
        <v>392</v>
      </c>
      <c r="B449" s="126" t="s">
        <v>8</v>
      </c>
      <c r="C449" s="53" t="s">
        <v>1742</v>
      </c>
      <c r="D449" s="53" t="s">
        <v>1743</v>
      </c>
      <c r="E449" s="131">
        <v>45799</v>
      </c>
      <c r="F449" s="127" t="s">
        <v>371</v>
      </c>
      <c r="G449" s="127" t="s">
        <v>864</v>
      </c>
      <c r="H449" s="54">
        <v>7520</v>
      </c>
      <c r="I449" s="138">
        <v>0.86</v>
      </c>
      <c r="J449" s="44" t="s">
        <v>848</v>
      </c>
      <c r="K449" s="44" t="s">
        <v>1540</v>
      </c>
    </row>
    <row r="450" spans="1:11" x14ac:dyDescent="0.3">
      <c r="A450" s="126" t="s">
        <v>392</v>
      </c>
      <c r="B450" s="126" t="s">
        <v>8</v>
      </c>
      <c r="C450" s="53" t="s">
        <v>1744</v>
      </c>
      <c r="D450" s="53" t="s">
        <v>1745</v>
      </c>
      <c r="E450" s="131">
        <v>45800</v>
      </c>
      <c r="F450" s="127" t="s">
        <v>371</v>
      </c>
      <c r="G450" s="127" t="s">
        <v>864</v>
      </c>
      <c r="H450" s="54">
        <v>28005.52</v>
      </c>
      <c r="I450" s="138">
        <v>0.88400000000000001</v>
      </c>
      <c r="J450" s="44" t="s">
        <v>848</v>
      </c>
      <c r="K450" s="44" t="s">
        <v>1540</v>
      </c>
    </row>
    <row r="451" spans="1:11" x14ac:dyDescent="0.3">
      <c r="A451" s="126" t="s">
        <v>392</v>
      </c>
      <c r="B451" s="126" t="s">
        <v>8</v>
      </c>
      <c r="C451" s="53" t="s">
        <v>1746</v>
      </c>
      <c r="D451" s="53" t="s">
        <v>1747</v>
      </c>
      <c r="E451" s="131">
        <v>45800</v>
      </c>
      <c r="F451" s="127" t="s">
        <v>374</v>
      </c>
      <c r="G451" s="127" t="s">
        <v>17</v>
      </c>
      <c r="H451" s="54">
        <v>8400</v>
      </c>
      <c r="I451" s="138">
        <v>0.48799999999999999</v>
      </c>
      <c r="J451" s="44" t="s">
        <v>848</v>
      </c>
      <c r="K451" s="44" t="s">
        <v>1540</v>
      </c>
    </row>
    <row r="452" spans="1:11" x14ac:dyDescent="0.3">
      <c r="A452" s="126" t="s">
        <v>392</v>
      </c>
      <c r="B452" s="126" t="s">
        <v>8</v>
      </c>
      <c r="C452" s="53" t="s">
        <v>1748</v>
      </c>
      <c r="D452" s="53" t="s">
        <v>1749</v>
      </c>
      <c r="E452" s="131">
        <v>45803</v>
      </c>
      <c r="F452" s="127" t="s">
        <v>842</v>
      </c>
      <c r="G452" s="127" t="s">
        <v>843</v>
      </c>
      <c r="H452" s="54">
        <v>22680.31</v>
      </c>
      <c r="I452" s="138">
        <v>0.46600000000000003</v>
      </c>
      <c r="J452" s="44" t="s">
        <v>1835</v>
      </c>
      <c r="K452" s="44" t="s">
        <v>1540</v>
      </c>
    </row>
    <row r="453" spans="1:11" x14ac:dyDescent="0.3">
      <c r="A453" s="126" t="s">
        <v>390</v>
      </c>
      <c r="B453" s="126" t="s">
        <v>8</v>
      </c>
      <c r="C453" s="53" t="s">
        <v>1750</v>
      </c>
      <c r="D453" s="53" t="s">
        <v>1751</v>
      </c>
      <c r="E453" s="131">
        <v>45803</v>
      </c>
      <c r="F453" s="127" t="s">
        <v>371</v>
      </c>
      <c r="G453" s="127" t="s">
        <v>864</v>
      </c>
      <c r="H453" s="54">
        <v>20911.099999999999</v>
      </c>
      <c r="I453" s="138">
        <v>0.31</v>
      </c>
      <c r="J453" s="44" t="s">
        <v>848</v>
      </c>
      <c r="K453" s="44" t="s">
        <v>1540</v>
      </c>
    </row>
    <row r="454" spans="1:11" x14ac:dyDescent="0.3">
      <c r="A454" s="126" t="s">
        <v>390</v>
      </c>
      <c r="B454" s="126" t="s">
        <v>8</v>
      </c>
      <c r="C454" s="53" t="s">
        <v>1752</v>
      </c>
      <c r="D454" s="53" t="s">
        <v>1753</v>
      </c>
      <c r="E454" s="131">
        <v>45803</v>
      </c>
      <c r="F454" s="127" t="s">
        <v>371</v>
      </c>
      <c r="G454" s="127" t="s">
        <v>864</v>
      </c>
      <c r="H454" s="54">
        <v>26986.73</v>
      </c>
      <c r="I454" s="138">
        <v>0.28899999999999998</v>
      </c>
      <c r="J454" s="44" t="s">
        <v>832</v>
      </c>
      <c r="K454" s="44" t="s">
        <v>1541</v>
      </c>
    </row>
    <row r="455" spans="1:11" x14ac:dyDescent="0.3">
      <c r="A455" s="126" t="s">
        <v>390</v>
      </c>
      <c r="B455" s="126" t="s">
        <v>8</v>
      </c>
      <c r="C455" s="53" t="s">
        <v>1754</v>
      </c>
      <c r="D455" s="53" t="s">
        <v>1755</v>
      </c>
      <c r="E455" s="131">
        <v>45803</v>
      </c>
      <c r="F455" s="127" t="s">
        <v>371</v>
      </c>
      <c r="G455" s="127" t="s">
        <v>864</v>
      </c>
      <c r="H455" s="54">
        <v>26986.73</v>
      </c>
      <c r="I455" s="138">
        <v>0.28899999999999998</v>
      </c>
      <c r="J455" s="44" t="s">
        <v>832</v>
      </c>
      <c r="K455" s="44" t="s">
        <v>1541</v>
      </c>
    </row>
    <row r="456" spans="1:11" x14ac:dyDescent="0.3">
      <c r="A456" s="126" t="s">
        <v>392</v>
      </c>
      <c r="B456" s="126" t="s">
        <v>8</v>
      </c>
      <c r="C456" s="53" t="s">
        <v>1756</v>
      </c>
      <c r="D456" s="53" t="s">
        <v>1757</v>
      </c>
      <c r="E456" s="131">
        <v>45803</v>
      </c>
      <c r="F456" s="127" t="s">
        <v>844</v>
      </c>
      <c r="G456" s="127" t="s">
        <v>863</v>
      </c>
      <c r="H456" s="54">
        <v>22772.41</v>
      </c>
      <c r="I456" s="138">
        <v>0.35699999999999998</v>
      </c>
      <c r="J456" s="44" t="s">
        <v>848</v>
      </c>
      <c r="K456" s="44" t="s">
        <v>1540</v>
      </c>
    </row>
    <row r="457" spans="1:11" x14ac:dyDescent="0.3">
      <c r="A457" s="126" t="s">
        <v>390</v>
      </c>
      <c r="B457" s="126" t="s">
        <v>8</v>
      </c>
      <c r="C457" s="53" t="s">
        <v>1758</v>
      </c>
      <c r="D457" s="53" t="s">
        <v>1531</v>
      </c>
      <c r="E457" s="131">
        <v>45803</v>
      </c>
      <c r="F457" s="127" t="s">
        <v>372</v>
      </c>
      <c r="G457" s="127" t="s">
        <v>10</v>
      </c>
      <c r="H457" s="54">
        <v>111078.38</v>
      </c>
      <c r="I457" s="138">
        <v>0.28799999999999998</v>
      </c>
      <c r="J457" s="44" t="s">
        <v>833</v>
      </c>
      <c r="K457" s="44" t="s">
        <v>1542</v>
      </c>
    </row>
    <row r="458" spans="1:11" x14ac:dyDescent="0.3">
      <c r="A458" s="126" t="s">
        <v>392</v>
      </c>
      <c r="B458" s="126" t="s">
        <v>8</v>
      </c>
      <c r="C458" s="53" t="s">
        <v>1759</v>
      </c>
      <c r="D458" s="53" t="s">
        <v>1760</v>
      </c>
      <c r="E458" s="131">
        <v>45804</v>
      </c>
      <c r="F458" s="127" t="s">
        <v>372</v>
      </c>
      <c r="G458" s="127" t="s">
        <v>10</v>
      </c>
      <c r="H458" s="54">
        <v>16542</v>
      </c>
      <c r="I458" s="138">
        <v>0.372</v>
      </c>
      <c r="J458" s="44" t="s">
        <v>848</v>
      </c>
      <c r="K458" s="44" t="s">
        <v>1540</v>
      </c>
    </row>
    <row r="459" spans="1:11" x14ac:dyDescent="0.3">
      <c r="A459" s="126" t="s">
        <v>390</v>
      </c>
      <c r="B459" s="126" t="s">
        <v>8</v>
      </c>
      <c r="C459" s="53" t="s">
        <v>1761</v>
      </c>
      <c r="D459" s="53" t="s">
        <v>1762</v>
      </c>
      <c r="E459" s="131">
        <v>45804</v>
      </c>
      <c r="F459" s="127" t="s">
        <v>371</v>
      </c>
      <c r="G459" s="127" t="s">
        <v>864</v>
      </c>
      <c r="H459" s="54">
        <v>90045.75</v>
      </c>
      <c r="I459" s="138">
        <v>0.17799999999999999</v>
      </c>
      <c r="J459" s="44" t="s">
        <v>832</v>
      </c>
      <c r="K459" s="44" t="s">
        <v>1541</v>
      </c>
    </row>
    <row r="460" spans="1:11" x14ac:dyDescent="0.3">
      <c r="A460" s="126" t="s">
        <v>392</v>
      </c>
      <c r="B460" s="126" t="s">
        <v>8</v>
      </c>
      <c r="C460" s="53" t="s">
        <v>1763</v>
      </c>
      <c r="D460" s="53" t="s">
        <v>1764</v>
      </c>
      <c r="E460" s="131">
        <v>45804</v>
      </c>
      <c r="F460" s="127" t="s">
        <v>370</v>
      </c>
      <c r="G460" s="127" t="s">
        <v>63</v>
      </c>
      <c r="H460" s="54">
        <v>10300</v>
      </c>
      <c r="I460" s="138">
        <v>0.58299999999999996</v>
      </c>
      <c r="J460" s="44" t="s">
        <v>830</v>
      </c>
      <c r="K460" s="44" t="s">
        <v>1540</v>
      </c>
    </row>
    <row r="461" spans="1:11" x14ac:dyDescent="0.3">
      <c r="A461" s="126" t="s">
        <v>392</v>
      </c>
      <c r="B461" s="126" t="s">
        <v>8</v>
      </c>
      <c r="C461" s="53" t="s">
        <v>1765</v>
      </c>
      <c r="D461" s="53" t="s">
        <v>1766</v>
      </c>
      <c r="E461" s="131">
        <v>45804</v>
      </c>
      <c r="F461" s="127" t="s">
        <v>370</v>
      </c>
      <c r="G461" s="127" t="s">
        <v>63</v>
      </c>
      <c r="H461" s="54">
        <v>10300</v>
      </c>
      <c r="I461" s="138">
        <v>0.58299999999999996</v>
      </c>
      <c r="J461" s="44" t="s">
        <v>830</v>
      </c>
      <c r="K461" s="44" t="s">
        <v>1540</v>
      </c>
    </row>
    <row r="462" spans="1:11" x14ac:dyDescent="0.3">
      <c r="A462" s="126" t="s">
        <v>392</v>
      </c>
      <c r="B462" s="126" t="s">
        <v>8</v>
      </c>
      <c r="C462" s="53" t="s">
        <v>1767</v>
      </c>
      <c r="D462" s="53" t="s">
        <v>1768</v>
      </c>
      <c r="E462" s="131">
        <v>45804</v>
      </c>
      <c r="F462" s="127" t="s">
        <v>370</v>
      </c>
      <c r="G462" s="127" t="s">
        <v>63</v>
      </c>
      <c r="H462" s="54">
        <v>8150</v>
      </c>
      <c r="I462" s="138">
        <v>0.50900000000000001</v>
      </c>
      <c r="J462" s="44" t="s">
        <v>830</v>
      </c>
      <c r="K462" s="44" t="s">
        <v>1540</v>
      </c>
    </row>
    <row r="463" spans="1:11" x14ac:dyDescent="0.3">
      <c r="A463" s="126" t="s">
        <v>392</v>
      </c>
      <c r="B463" s="126" t="s">
        <v>8</v>
      </c>
      <c r="C463" s="53" t="s">
        <v>1769</v>
      </c>
      <c r="D463" s="53" t="s">
        <v>1770</v>
      </c>
      <c r="E463" s="131">
        <v>45804</v>
      </c>
      <c r="F463" s="127" t="s">
        <v>370</v>
      </c>
      <c r="G463" s="127" t="s">
        <v>63</v>
      </c>
      <c r="H463" s="54">
        <v>15350</v>
      </c>
      <c r="I463" s="138">
        <v>0.68700000000000006</v>
      </c>
      <c r="J463" s="44" t="s">
        <v>830</v>
      </c>
      <c r="K463" s="44" t="s">
        <v>1540</v>
      </c>
    </row>
    <row r="464" spans="1:11" x14ac:dyDescent="0.3">
      <c r="A464" s="126" t="s">
        <v>392</v>
      </c>
      <c r="B464" s="126" t="s">
        <v>8</v>
      </c>
      <c r="C464" s="53" t="s">
        <v>1771</v>
      </c>
      <c r="D464" s="53" t="s">
        <v>1772</v>
      </c>
      <c r="E464" s="131">
        <v>45804</v>
      </c>
      <c r="F464" s="127" t="s">
        <v>370</v>
      </c>
      <c r="G464" s="127" t="s">
        <v>63</v>
      </c>
      <c r="H464" s="54">
        <v>15350</v>
      </c>
      <c r="I464" s="138">
        <v>0.68700000000000006</v>
      </c>
      <c r="J464" s="44" t="s">
        <v>830</v>
      </c>
      <c r="K464" s="44" t="s">
        <v>1540</v>
      </c>
    </row>
    <row r="465" spans="1:11" x14ac:dyDescent="0.3">
      <c r="A465" s="126" t="s">
        <v>392</v>
      </c>
      <c r="B465" s="126" t="s">
        <v>8</v>
      </c>
      <c r="C465" s="53" t="s">
        <v>1773</v>
      </c>
      <c r="D465" s="53" t="s">
        <v>1774</v>
      </c>
      <c r="E465" s="131">
        <v>45804</v>
      </c>
      <c r="F465" s="127" t="s">
        <v>370</v>
      </c>
      <c r="G465" s="127" t="s">
        <v>63</v>
      </c>
      <c r="H465" s="54">
        <v>8150</v>
      </c>
      <c r="I465" s="138">
        <v>0.50900000000000001</v>
      </c>
      <c r="J465" s="44" t="s">
        <v>830</v>
      </c>
      <c r="K465" s="44" t="s">
        <v>1540</v>
      </c>
    </row>
    <row r="466" spans="1:11" x14ac:dyDescent="0.3">
      <c r="A466" s="126" t="s">
        <v>392</v>
      </c>
      <c r="B466" s="126" t="s">
        <v>8</v>
      </c>
      <c r="C466" s="53" t="s">
        <v>1775</v>
      </c>
      <c r="D466" s="53" t="s">
        <v>1776</v>
      </c>
      <c r="E466" s="131">
        <v>45805</v>
      </c>
      <c r="F466" s="127" t="s">
        <v>842</v>
      </c>
      <c r="G466" s="127" t="s">
        <v>843</v>
      </c>
      <c r="H466" s="54">
        <v>22000</v>
      </c>
      <c r="I466" s="138">
        <v>0.47199999999999998</v>
      </c>
      <c r="J466" s="44" t="s">
        <v>1835</v>
      </c>
      <c r="K466" s="44" t="s">
        <v>1540</v>
      </c>
    </row>
    <row r="467" spans="1:11" x14ac:dyDescent="0.3">
      <c r="A467" s="126" t="s">
        <v>392</v>
      </c>
      <c r="B467" s="126" t="s">
        <v>8</v>
      </c>
      <c r="C467" s="53" t="s">
        <v>1777</v>
      </c>
      <c r="D467" s="53" t="s">
        <v>1778</v>
      </c>
      <c r="E467" s="131">
        <v>45805</v>
      </c>
      <c r="F467" s="127" t="s">
        <v>842</v>
      </c>
      <c r="G467" s="127" t="s">
        <v>843</v>
      </c>
      <c r="H467" s="54">
        <v>22000</v>
      </c>
      <c r="I467" s="138">
        <v>0.47499999999999998</v>
      </c>
      <c r="J467" s="44" t="s">
        <v>1835</v>
      </c>
      <c r="K467" s="44" t="s">
        <v>1540</v>
      </c>
    </row>
    <row r="468" spans="1:11" x14ac:dyDescent="0.3">
      <c r="A468" s="126" t="s">
        <v>392</v>
      </c>
      <c r="B468" s="126" t="s">
        <v>8</v>
      </c>
      <c r="C468" s="53" t="s">
        <v>1779</v>
      </c>
      <c r="D468" s="53" t="s">
        <v>1780</v>
      </c>
      <c r="E468" s="131">
        <v>45805</v>
      </c>
      <c r="F468" s="127" t="s">
        <v>842</v>
      </c>
      <c r="G468" s="127" t="s">
        <v>843</v>
      </c>
      <c r="H468" s="54">
        <v>22000</v>
      </c>
      <c r="I468" s="138">
        <v>0.47199999999999998</v>
      </c>
      <c r="J468" s="44" t="s">
        <v>1835</v>
      </c>
      <c r="K468" s="44" t="s">
        <v>1540</v>
      </c>
    </row>
    <row r="469" spans="1:11" x14ac:dyDescent="0.3">
      <c r="A469" s="126" t="s">
        <v>390</v>
      </c>
      <c r="B469" s="126" t="s">
        <v>8</v>
      </c>
      <c r="C469" s="53" t="s">
        <v>1781</v>
      </c>
      <c r="D469" s="53" t="s">
        <v>1782</v>
      </c>
      <c r="E469" s="131">
        <v>45805</v>
      </c>
      <c r="F469" s="127" t="s">
        <v>371</v>
      </c>
      <c r="G469" s="127" t="s">
        <v>864</v>
      </c>
      <c r="H469" s="54">
        <v>148420.28</v>
      </c>
      <c r="I469" s="138">
        <v>0.159</v>
      </c>
      <c r="J469" s="44" t="s">
        <v>832</v>
      </c>
      <c r="K469" s="44" t="s">
        <v>1541</v>
      </c>
    </row>
    <row r="470" spans="1:11" x14ac:dyDescent="0.3">
      <c r="A470" s="126" t="s">
        <v>390</v>
      </c>
      <c r="B470" s="126" t="s">
        <v>8</v>
      </c>
      <c r="C470" s="53" t="s">
        <v>1783</v>
      </c>
      <c r="D470" s="53" t="s">
        <v>716</v>
      </c>
      <c r="E470" s="131">
        <v>45805</v>
      </c>
      <c r="F470" s="127" t="s">
        <v>375</v>
      </c>
      <c r="G470" s="127" t="s">
        <v>62</v>
      </c>
      <c r="H470" s="54">
        <v>24605</v>
      </c>
      <c r="I470" s="138">
        <v>0.499</v>
      </c>
      <c r="J470" s="44" t="s">
        <v>831</v>
      </c>
      <c r="K470" s="44" t="s">
        <v>1542</v>
      </c>
    </row>
    <row r="471" spans="1:11" x14ac:dyDescent="0.3">
      <c r="A471" s="126" t="s">
        <v>390</v>
      </c>
      <c r="B471" s="126" t="s">
        <v>8</v>
      </c>
      <c r="C471" s="53" t="s">
        <v>1784</v>
      </c>
      <c r="D471" s="53" t="s">
        <v>716</v>
      </c>
      <c r="E471" s="131">
        <v>45805</v>
      </c>
      <c r="F471" s="127" t="s">
        <v>375</v>
      </c>
      <c r="G471" s="127" t="s">
        <v>62</v>
      </c>
      <c r="H471" s="54">
        <v>13361.75</v>
      </c>
      <c r="I471" s="138">
        <v>0.499</v>
      </c>
      <c r="J471" s="44" t="s">
        <v>831</v>
      </c>
      <c r="K471" s="44" t="s">
        <v>1542</v>
      </c>
    </row>
    <row r="472" spans="1:11" x14ac:dyDescent="0.3">
      <c r="A472" s="126" t="s">
        <v>390</v>
      </c>
      <c r="B472" s="126" t="s">
        <v>8</v>
      </c>
      <c r="C472" s="53" t="s">
        <v>1785</v>
      </c>
      <c r="D472" s="53" t="s">
        <v>1786</v>
      </c>
      <c r="E472" s="131">
        <v>45805</v>
      </c>
      <c r="F472" s="127" t="s">
        <v>371</v>
      </c>
      <c r="G472" s="127" t="s">
        <v>864</v>
      </c>
      <c r="H472" s="54">
        <v>20508.599999999999</v>
      </c>
      <c r="I472" s="138">
        <v>0.31900000000000001</v>
      </c>
      <c r="J472" s="44" t="s">
        <v>832</v>
      </c>
      <c r="K472" s="44" t="s">
        <v>1541</v>
      </c>
    </row>
    <row r="473" spans="1:11" x14ac:dyDescent="0.3">
      <c r="A473" s="126" t="s">
        <v>390</v>
      </c>
      <c r="B473" s="126" t="s">
        <v>8</v>
      </c>
      <c r="C473" s="53" t="s">
        <v>1787</v>
      </c>
      <c r="D473" s="53" t="s">
        <v>1788</v>
      </c>
      <c r="E473" s="131">
        <v>45805</v>
      </c>
      <c r="F473" s="127" t="s">
        <v>371</v>
      </c>
      <c r="G473" s="127" t="s">
        <v>864</v>
      </c>
      <c r="H473" s="54">
        <v>49042.49</v>
      </c>
      <c r="I473" s="138">
        <v>0.20300000000000001</v>
      </c>
      <c r="J473" s="44" t="s">
        <v>832</v>
      </c>
      <c r="K473" s="44" t="s">
        <v>1541</v>
      </c>
    </row>
    <row r="474" spans="1:11" x14ac:dyDescent="0.3">
      <c r="A474" s="126" t="s">
        <v>390</v>
      </c>
      <c r="B474" s="126" t="s">
        <v>8</v>
      </c>
      <c r="C474" s="53" t="s">
        <v>1789</v>
      </c>
      <c r="D474" s="53" t="s">
        <v>1790</v>
      </c>
      <c r="E474" s="131">
        <v>45805</v>
      </c>
      <c r="F474" s="127" t="s">
        <v>371</v>
      </c>
      <c r="G474" s="127" t="s">
        <v>864</v>
      </c>
      <c r="H474" s="54">
        <v>36244.36</v>
      </c>
      <c r="I474" s="138">
        <v>0.23400000000000001</v>
      </c>
      <c r="J474" s="44" t="s">
        <v>832</v>
      </c>
      <c r="K474" s="44" t="s">
        <v>1541</v>
      </c>
    </row>
    <row r="475" spans="1:11" x14ac:dyDescent="0.3">
      <c r="A475" s="126" t="s">
        <v>390</v>
      </c>
      <c r="B475" s="126" t="s">
        <v>8</v>
      </c>
      <c r="C475" s="53" t="s">
        <v>1791</v>
      </c>
      <c r="D475" s="53" t="s">
        <v>1792</v>
      </c>
      <c r="E475" s="131">
        <v>45805</v>
      </c>
      <c r="F475" s="127" t="s">
        <v>371</v>
      </c>
      <c r="G475" s="127" t="s">
        <v>864</v>
      </c>
      <c r="H475" s="54">
        <v>29091.05</v>
      </c>
      <c r="I475" s="138">
        <v>0.27700000000000002</v>
      </c>
      <c r="J475" s="44" t="s">
        <v>832</v>
      </c>
      <c r="K475" s="44" t="s">
        <v>1541</v>
      </c>
    </row>
    <row r="476" spans="1:11" x14ac:dyDescent="0.3">
      <c r="A476" s="126" t="s">
        <v>390</v>
      </c>
      <c r="B476" s="126" t="s">
        <v>8</v>
      </c>
      <c r="C476" s="53" t="s">
        <v>1793</v>
      </c>
      <c r="D476" s="53" t="s">
        <v>1794</v>
      </c>
      <c r="E476" s="131">
        <v>45805</v>
      </c>
      <c r="F476" s="127" t="s">
        <v>371</v>
      </c>
      <c r="G476" s="127" t="s">
        <v>864</v>
      </c>
      <c r="H476" s="54">
        <v>36655.730000000003</v>
      </c>
      <c r="I476" s="138">
        <v>0.247</v>
      </c>
      <c r="J476" s="44" t="s">
        <v>832</v>
      </c>
      <c r="K476" s="44" t="s">
        <v>1541</v>
      </c>
    </row>
    <row r="477" spans="1:11" x14ac:dyDescent="0.3">
      <c r="A477" s="126" t="s">
        <v>390</v>
      </c>
      <c r="B477" s="126" t="s">
        <v>8</v>
      </c>
      <c r="C477" s="53" t="s">
        <v>1795</v>
      </c>
      <c r="D477" s="53" t="s">
        <v>1796</v>
      </c>
      <c r="E477" s="131">
        <v>45805</v>
      </c>
      <c r="F477" s="127" t="s">
        <v>371</v>
      </c>
      <c r="G477" s="127" t="s">
        <v>864</v>
      </c>
      <c r="H477" s="54">
        <v>21062.57</v>
      </c>
      <c r="I477" s="138">
        <v>0.33300000000000002</v>
      </c>
      <c r="J477" s="44" t="s">
        <v>832</v>
      </c>
      <c r="K477" s="44" t="s">
        <v>1541</v>
      </c>
    </row>
    <row r="478" spans="1:11" x14ac:dyDescent="0.3">
      <c r="A478" s="126" t="s">
        <v>390</v>
      </c>
      <c r="B478" s="126" t="s">
        <v>8</v>
      </c>
      <c r="C478" s="53" t="s">
        <v>1797</v>
      </c>
      <c r="D478" s="53" t="s">
        <v>1798</v>
      </c>
      <c r="E478" s="131">
        <v>45806</v>
      </c>
      <c r="F478" s="127" t="s">
        <v>371</v>
      </c>
      <c r="G478" s="127" t="s">
        <v>864</v>
      </c>
      <c r="H478" s="54">
        <v>15232.79</v>
      </c>
      <c r="I478" s="138">
        <v>0.45700000000000002</v>
      </c>
      <c r="J478" s="44" t="s">
        <v>832</v>
      </c>
      <c r="K478" s="44" t="s">
        <v>1541</v>
      </c>
    </row>
    <row r="479" spans="1:11" x14ac:dyDescent="0.3">
      <c r="A479" s="126" t="s">
        <v>390</v>
      </c>
      <c r="B479" s="126" t="s">
        <v>8</v>
      </c>
      <c r="C479" s="53" t="s">
        <v>1799</v>
      </c>
      <c r="D479" s="53" t="s">
        <v>1800</v>
      </c>
      <c r="E479" s="131">
        <v>45806</v>
      </c>
      <c r="F479" s="127" t="s">
        <v>371</v>
      </c>
      <c r="G479" s="127" t="s">
        <v>864</v>
      </c>
      <c r="H479" s="54">
        <v>12734.67</v>
      </c>
      <c r="I479" s="138">
        <v>0.48199999999999998</v>
      </c>
      <c r="J479" s="44" t="s">
        <v>832</v>
      </c>
      <c r="K479" s="44" t="s">
        <v>1541</v>
      </c>
    </row>
    <row r="480" spans="1:11" x14ac:dyDescent="0.3">
      <c r="A480" s="126" t="s">
        <v>390</v>
      </c>
      <c r="B480" s="126" t="s">
        <v>8</v>
      </c>
      <c r="C480" s="53" t="s">
        <v>1801</v>
      </c>
      <c r="D480" s="53" t="s">
        <v>1802</v>
      </c>
      <c r="E480" s="131">
        <v>45806</v>
      </c>
      <c r="F480" s="127" t="s">
        <v>371</v>
      </c>
      <c r="G480" s="127" t="s">
        <v>864</v>
      </c>
      <c r="H480" s="54">
        <v>11772.39</v>
      </c>
      <c r="I480" s="138">
        <v>0.51100000000000001</v>
      </c>
      <c r="J480" s="44" t="s">
        <v>832</v>
      </c>
      <c r="K480" s="44" t="s">
        <v>1541</v>
      </c>
    </row>
    <row r="481" spans="1:11" x14ac:dyDescent="0.3">
      <c r="A481" s="126" t="s">
        <v>390</v>
      </c>
      <c r="B481" s="126" t="s">
        <v>8</v>
      </c>
      <c r="C481" s="53" t="s">
        <v>1803</v>
      </c>
      <c r="D481" s="53" t="s">
        <v>1804</v>
      </c>
      <c r="E481" s="131">
        <v>45807</v>
      </c>
      <c r="F481" s="127" t="s">
        <v>371</v>
      </c>
      <c r="G481" s="127" t="s">
        <v>864</v>
      </c>
      <c r="H481" s="54">
        <v>21809.1</v>
      </c>
      <c r="I481" s="138">
        <v>0.28399999999999997</v>
      </c>
      <c r="J481" s="44" t="s">
        <v>832</v>
      </c>
      <c r="K481" s="44" t="s">
        <v>1541</v>
      </c>
    </row>
    <row r="482" spans="1:11" x14ac:dyDescent="0.3">
      <c r="A482" s="126" t="s">
        <v>390</v>
      </c>
      <c r="B482" s="126" t="s">
        <v>8</v>
      </c>
      <c r="C482" s="53" t="s">
        <v>1805</v>
      </c>
      <c r="D482" s="53" t="s">
        <v>1806</v>
      </c>
      <c r="E482" s="131">
        <v>45807</v>
      </c>
      <c r="F482" s="127" t="s">
        <v>370</v>
      </c>
      <c r="G482" s="127" t="s">
        <v>63</v>
      </c>
      <c r="H482" s="54">
        <v>43500</v>
      </c>
      <c r="I482" s="138">
        <v>0.54300000000000004</v>
      </c>
      <c r="J482" s="44" t="s">
        <v>830</v>
      </c>
      <c r="K482" s="44" t="s">
        <v>1541</v>
      </c>
    </row>
    <row r="483" spans="1:11" x14ac:dyDescent="0.3">
      <c r="A483" s="126" t="s">
        <v>392</v>
      </c>
      <c r="B483" s="126" t="s">
        <v>8</v>
      </c>
      <c r="C483" s="53" t="s">
        <v>1807</v>
      </c>
      <c r="D483" s="53" t="s">
        <v>1808</v>
      </c>
      <c r="E483" s="131">
        <v>45807</v>
      </c>
      <c r="F483" s="127" t="s">
        <v>370</v>
      </c>
      <c r="G483" s="127" t="s">
        <v>63</v>
      </c>
      <c r="H483" s="54">
        <v>4200</v>
      </c>
      <c r="I483" s="138">
        <v>0.57099999999999995</v>
      </c>
      <c r="J483" s="44" t="s">
        <v>830</v>
      </c>
      <c r="K483" s="44" t="s">
        <v>1540</v>
      </c>
    </row>
    <row r="484" spans="1:11" x14ac:dyDescent="0.3">
      <c r="A484" s="126" t="s">
        <v>392</v>
      </c>
      <c r="B484" s="126" t="s">
        <v>8</v>
      </c>
      <c r="C484" s="53" t="s">
        <v>1809</v>
      </c>
      <c r="D484" s="53" t="s">
        <v>1810</v>
      </c>
      <c r="E484" s="131">
        <v>45807</v>
      </c>
      <c r="F484" s="127" t="s">
        <v>842</v>
      </c>
      <c r="G484" s="127" t="s">
        <v>843</v>
      </c>
      <c r="H484" s="54">
        <v>22000</v>
      </c>
      <c r="I484" s="138">
        <v>0.47499999999999998</v>
      </c>
      <c r="J484" s="44" t="s">
        <v>1835</v>
      </c>
      <c r="K484" s="44" t="s">
        <v>1540</v>
      </c>
    </row>
    <row r="485" spans="1:11" x14ac:dyDescent="0.3">
      <c r="A485" s="126" t="s">
        <v>392</v>
      </c>
      <c r="B485" s="126" t="s">
        <v>8</v>
      </c>
      <c r="C485" s="53" t="s">
        <v>1811</v>
      </c>
      <c r="D485" s="53" t="s">
        <v>1812</v>
      </c>
      <c r="E485" s="131">
        <v>45807</v>
      </c>
      <c r="F485" s="127" t="s">
        <v>842</v>
      </c>
      <c r="G485" s="127" t="s">
        <v>843</v>
      </c>
      <c r="H485" s="54">
        <v>22000</v>
      </c>
      <c r="I485" s="138">
        <v>0.47499999999999998</v>
      </c>
      <c r="J485" s="44" t="s">
        <v>1835</v>
      </c>
      <c r="K485" s="44" t="s">
        <v>1540</v>
      </c>
    </row>
    <row r="486" spans="1:11" x14ac:dyDescent="0.3">
      <c r="A486" s="126" t="s">
        <v>392</v>
      </c>
      <c r="B486" s="126" t="s">
        <v>8</v>
      </c>
      <c r="C486" s="53" t="s">
        <v>1813</v>
      </c>
      <c r="D486" s="53" t="s">
        <v>1814</v>
      </c>
      <c r="E486" s="131">
        <v>45807</v>
      </c>
      <c r="F486" s="127" t="s">
        <v>842</v>
      </c>
      <c r="G486" s="127" t="s">
        <v>843</v>
      </c>
      <c r="H486" s="54">
        <v>22000</v>
      </c>
      <c r="I486" s="138">
        <v>0.47299999999999998</v>
      </c>
      <c r="J486" s="44" t="s">
        <v>1835</v>
      </c>
      <c r="K486" s="44" t="s">
        <v>1540</v>
      </c>
    </row>
    <row r="487" spans="1:11" x14ac:dyDescent="0.3">
      <c r="A487" s="126" t="s">
        <v>392</v>
      </c>
      <c r="B487" s="126" t="s">
        <v>8</v>
      </c>
      <c r="C487" s="53" t="s">
        <v>1815</v>
      </c>
      <c r="D487" s="53" t="s">
        <v>1816</v>
      </c>
      <c r="E487" s="131">
        <v>45807</v>
      </c>
      <c r="F487" s="127" t="s">
        <v>842</v>
      </c>
      <c r="G487" s="127" t="s">
        <v>843</v>
      </c>
      <c r="H487" s="54">
        <v>22000</v>
      </c>
      <c r="I487" s="138">
        <v>0.47299999999999998</v>
      </c>
      <c r="J487" s="44" t="s">
        <v>1835</v>
      </c>
      <c r="K487" s="44" t="s">
        <v>1540</v>
      </c>
    </row>
    <row r="488" spans="1:11" x14ac:dyDescent="0.3">
      <c r="A488" s="126" t="s">
        <v>392</v>
      </c>
      <c r="B488" s="126" t="s">
        <v>8</v>
      </c>
      <c r="C488" s="53" t="s">
        <v>1817</v>
      </c>
      <c r="D488" s="53" t="s">
        <v>1818</v>
      </c>
      <c r="E488" s="131">
        <v>45807</v>
      </c>
      <c r="F488" s="127" t="s">
        <v>370</v>
      </c>
      <c r="G488" s="127" t="s">
        <v>63</v>
      </c>
      <c r="H488" s="54">
        <v>4200</v>
      </c>
      <c r="I488" s="138">
        <v>0.57099999999999995</v>
      </c>
      <c r="J488" s="44" t="s">
        <v>830</v>
      </c>
      <c r="K488" s="44" t="s">
        <v>1540</v>
      </c>
    </row>
    <row r="489" spans="1:11" x14ac:dyDescent="0.3">
      <c r="A489" s="126" t="s">
        <v>390</v>
      </c>
      <c r="B489" s="126" t="s">
        <v>8</v>
      </c>
      <c r="C489" s="53" t="s">
        <v>1819</v>
      </c>
      <c r="D489" s="53" t="s">
        <v>1820</v>
      </c>
      <c r="E489" s="131">
        <v>45808</v>
      </c>
      <c r="F489" s="127" t="s">
        <v>619</v>
      </c>
      <c r="G489" s="127" t="s">
        <v>16</v>
      </c>
      <c r="H489" s="54">
        <v>19500</v>
      </c>
      <c r="I489" s="138">
        <v>0.55600000000000005</v>
      </c>
      <c r="J489" s="44" t="s">
        <v>833</v>
      </c>
      <c r="K489" s="44" t="s">
        <v>1541</v>
      </c>
    </row>
    <row r="490" spans="1:11" x14ac:dyDescent="0.3">
      <c r="A490" s="126" t="s">
        <v>390</v>
      </c>
      <c r="B490" s="126" t="s">
        <v>8</v>
      </c>
      <c r="C490" s="53" t="s">
        <v>1821</v>
      </c>
      <c r="D490" s="53" t="s">
        <v>1822</v>
      </c>
      <c r="E490" s="131">
        <v>45785</v>
      </c>
      <c r="F490" s="127" t="s">
        <v>372</v>
      </c>
      <c r="G490" s="127" t="s">
        <v>10</v>
      </c>
      <c r="H490" s="54">
        <v>75797.724799999996</v>
      </c>
      <c r="I490" s="138">
        <v>0.28399999999999997</v>
      </c>
      <c r="J490" s="44" t="s">
        <v>833</v>
      </c>
      <c r="K490" s="44" t="s">
        <v>1542</v>
      </c>
    </row>
    <row r="491" spans="1:11" x14ac:dyDescent="0.3">
      <c r="A491" s="126" t="s">
        <v>390</v>
      </c>
      <c r="B491" s="126" t="s">
        <v>8</v>
      </c>
      <c r="C491" s="53" t="s">
        <v>1823</v>
      </c>
      <c r="D491" s="53" t="s">
        <v>1533</v>
      </c>
      <c r="E491" s="131">
        <v>45785</v>
      </c>
      <c r="F491" s="127" t="s">
        <v>1174</v>
      </c>
      <c r="G491" s="127" t="s">
        <v>857</v>
      </c>
      <c r="H491" s="54">
        <v>1469.1000000000001</v>
      </c>
      <c r="I491" s="138">
        <v>0.64900000000000002</v>
      </c>
      <c r="J491" s="44" t="s">
        <v>831</v>
      </c>
      <c r="K491" s="44" t="s">
        <v>1542</v>
      </c>
    </row>
    <row r="492" spans="1:11" x14ac:dyDescent="0.3">
      <c r="A492" s="126" t="s">
        <v>392</v>
      </c>
      <c r="B492" s="126" t="s">
        <v>8</v>
      </c>
      <c r="C492" s="53" t="s">
        <v>1824</v>
      </c>
      <c r="D492" s="53" t="s">
        <v>1825</v>
      </c>
      <c r="E492" s="131">
        <v>45800</v>
      </c>
      <c r="F492" s="127" t="s">
        <v>844</v>
      </c>
      <c r="G492" s="127" t="s">
        <v>863</v>
      </c>
      <c r="H492" s="54">
        <v>115936.20000000001</v>
      </c>
      <c r="I492" s="138">
        <v>0.159</v>
      </c>
      <c r="J492" s="44" t="s">
        <v>848</v>
      </c>
      <c r="K492" s="44" t="s">
        <v>1540</v>
      </c>
    </row>
    <row r="493" spans="1:11" x14ac:dyDescent="0.3">
      <c r="A493" s="126" t="s">
        <v>390</v>
      </c>
      <c r="B493" s="126" t="s">
        <v>8</v>
      </c>
      <c r="C493" s="53" t="s">
        <v>1826</v>
      </c>
      <c r="D493" s="53" t="s">
        <v>1827</v>
      </c>
      <c r="E493" s="131">
        <v>45805</v>
      </c>
      <c r="F493" s="127" t="s">
        <v>620</v>
      </c>
      <c r="G493" s="127" t="s">
        <v>622</v>
      </c>
      <c r="H493" s="54">
        <v>3846.7599999999998</v>
      </c>
      <c r="I493" s="138">
        <v>0.17</v>
      </c>
      <c r="J493" s="44" t="s">
        <v>831</v>
      </c>
      <c r="K493" s="44" t="s">
        <v>1541</v>
      </c>
    </row>
    <row r="494" spans="1:11" x14ac:dyDescent="0.3">
      <c r="A494" s="126" t="s">
        <v>390</v>
      </c>
      <c r="B494" s="126" t="s">
        <v>8</v>
      </c>
      <c r="C494" s="53" t="s">
        <v>1828</v>
      </c>
      <c r="D494" s="53" t="s">
        <v>1827</v>
      </c>
      <c r="E494" s="131">
        <v>45805</v>
      </c>
      <c r="F494" s="127" t="s">
        <v>620</v>
      </c>
      <c r="G494" s="127" t="s">
        <v>622</v>
      </c>
      <c r="H494" s="54">
        <v>71840.166379999995</v>
      </c>
      <c r="I494" s="138">
        <v>0.17</v>
      </c>
      <c r="J494" s="44" t="s">
        <v>831</v>
      </c>
      <c r="K494" s="44" t="s">
        <v>1541</v>
      </c>
    </row>
    <row r="495" spans="1:11" x14ac:dyDescent="0.3">
      <c r="A495" s="126" t="s">
        <v>390</v>
      </c>
      <c r="B495" s="126" t="s">
        <v>8</v>
      </c>
      <c r="C495" s="53" t="s">
        <v>1829</v>
      </c>
      <c r="D495" s="53" t="s">
        <v>1830</v>
      </c>
      <c r="E495" s="131">
        <v>45806</v>
      </c>
      <c r="F495" s="127" t="s">
        <v>1007</v>
      </c>
      <c r="G495" s="127" t="s">
        <v>865</v>
      </c>
      <c r="H495" s="54">
        <v>79734</v>
      </c>
      <c r="I495" s="138">
        <v>0.60299999999999998</v>
      </c>
      <c r="J495" s="44" t="s">
        <v>831</v>
      </c>
      <c r="K495" s="44" t="s">
        <v>1542</v>
      </c>
    </row>
    <row r="496" spans="1:11" x14ac:dyDescent="0.3">
      <c r="A496" s="126" t="s">
        <v>390</v>
      </c>
      <c r="B496" s="126" t="s">
        <v>8</v>
      </c>
      <c r="C496" s="53" t="s">
        <v>1831</v>
      </c>
      <c r="D496" s="53" t="s">
        <v>1832</v>
      </c>
      <c r="E496" s="131">
        <v>45807</v>
      </c>
      <c r="F496" s="127" t="s">
        <v>1175</v>
      </c>
      <c r="G496" s="127" t="s">
        <v>852</v>
      </c>
      <c r="H496" s="54">
        <v>2416</v>
      </c>
      <c r="I496" s="138">
        <v>0.65300000000000002</v>
      </c>
      <c r="J496" s="44" t="s">
        <v>831</v>
      </c>
      <c r="K496" s="44" t="s">
        <v>1542</v>
      </c>
    </row>
    <row r="497" spans="1:11" x14ac:dyDescent="0.3">
      <c r="A497" s="126" t="s">
        <v>390</v>
      </c>
      <c r="B497" s="126" t="s">
        <v>8</v>
      </c>
      <c r="C497" s="53" t="s">
        <v>1833</v>
      </c>
      <c r="D497" s="53" t="s">
        <v>1832</v>
      </c>
      <c r="E497" s="131">
        <v>45807</v>
      </c>
      <c r="F497" s="127" t="s">
        <v>1175</v>
      </c>
      <c r="G497" s="127" t="s">
        <v>852</v>
      </c>
      <c r="H497" s="54">
        <v>4735.3599999999997</v>
      </c>
      <c r="I497" s="138">
        <v>0.65300000000000002</v>
      </c>
      <c r="J497" s="44" t="s">
        <v>831</v>
      </c>
      <c r="K497" s="44" t="s">
        <v>1542</v>
      </c>
    </row>
    <row r="498" spans="1:11" x14ac:dyDescent="0.3">
      <c r="A498" s="126" t="s">
        <v>390</v>
      </c>
      <c r="B498" s="126" t="s">
        <v>49</v>
      </c>
      <c r="C498" s="53" t="s">
        <v>1836</v>
      </c>
      <c r="D498" s="53" t="s">
        <v>1906</v>
      </c>
      <c r="E498" s="131">
        <v>45811</v>
      </c>
      <c r="F498" s="127" t="s">
        <v>372</v>
      </c>
      <c r="G498" s="127" t="s">
        <v>10</v>
      </c>
      <c r="H498" s="54">
        <v>124396.66</v>
      </c>
      <c r="I498" s="138">
        <v>0.23100000000000001</v>
      </c>
      <c r="J498" s="44" t="s">
        <v>833</v>
      </c>
      <c r="K498" s="44" t="s">
        <v>1542</v>
      </c>
    </row>
    <row r="499" spans="1:11" x14ac:dyDescent="0.3">
      <c r="A499" s="126" t="s">
        <v>392</v>
      </c>
      <c r="B499" s="126" t="s">
        <v>49</v>
      </c>
      <c r="C499" s="53" t="s">
        <v>1837</v>
      </c>
      <c r="D499" s="53" t="s">
        <v>1907</v>
      </c>
      <c r="E499" s="131">
        <v>45812</v>
      </c>
      <c r="F499" s="127" t="s">
        <v>372</v>
      </c>
      <c r="G499" s="127" t="s">
        <v>10</v>
      </c>
      <c r="H499" s="54">
        <v>36044</v>
      </c>
      <c r="I499" s="138">
        <v>0.437</v>
      </c>
      <c r="J499" s="44" t="s">
        <v>848</v>
      </c>
      <c r="K499" s="44" t="s">
        <v>1540</v>
      </c>
    </row>
    <row r="500" spans="1:11" x14ac:dyDescent="0.3">
      <c r="A500" s="126" t="s">
        <v>390</v>
      </c>
      <c r="B500" s="126" t="s">
        <v>49</v>
      </c>
      <c r="C500" s="53" t="s">
        <v>1838</v>
      </c>
      <c r="D500" s="53" t="s">
        <v>1908</v>
      </c>
      <c r="E500" s="131">
        <v>45813</v>
      </c>
      <c r="F500" s="127" t="s">
        <v>371</v>
      </c>
      <c r="G500" s="127" t="s">
        <v>864</v>
      </c>
      <c r="H500" s="54">
        <v>24676.87</v>
      </c>
      <c r="I500" s="138">
        <v>0.26700000000000002</v>
      </c>
      <c r="J500" s="44" t="s">
        <v>832</v>
      </c>
      <c r="K500" s="44" t="s">
        <v>1541</v>
      </c>
    </row>
    <row r="501" spans="1:11" x14ac:dyDescent="0.3">
      <c r="A501" s="126" t="s">
        <v>392</v>
      </c>
      <c r="B501" s="126" t="s">
        <v>49</v>
      </c>
      <c r="C501" s="53" t="s">
        <v>1839</v>
      </c>
      <c r="D501" s="53" t="s">
        <v>1909</v>
      </c>
      <c r="E501" s="131">
        <v>45813</v>
      </c>
      <c r="F501" s="127" t="s">
        <v>370</v>
      </c>
      <c r="G501" s="127" t="s">
        <v>63</v>
      </c>
      <c r="H501" s="54">
        <v>11745</v>
      </c>
      <c r="I501" s="138">
        <v>0.69299999999999995</v>
      </c>
      <c r="J501" s="44" t="s">
        <v>848</v>
      </c>
      <c r="K501" s="44" t="s">
        <v>1540</v>
      </c>
    </row>
    <row r="502" spans="1:11" x14ac:dyDescent="0.3">
      <c r="A502" s="126" t="s">
        <v>390</v>
      </c>
      <c r="B502" s="126" t="s">
        <v>49</v>
      </c>
      <c r="C502" s="53" t="s">
        <v>1840</v>
      </c>
      <c r="D502" s="53" t="s">
        <v>1910</v>
      </c>
      <c r="E502" s="131">
        <v>45814</v>
      </c>
      <c r="F502" s="127" t="s">
        <v>371</v>
      </c>
      <c r="G502" s="127" t="s">
        <v>864</v>
      </c>
      <c r="H502" s="54">
        <v>44799.58</v>
      </c>
      <c r="I502" s="138">
        <v>0.161</v>
      </c>
      <c r="J502" s="44" t="s">
        <v>832</v>
      </c>
      <c r="K502" s="44" t="s">
        <v>1541</v>
      </c>
    </row>
    <row r="503" spans="1:11" x14ac:dyDescent="0.3">
      <c r="A503" s="126" t="s">
        <v>390</v>
      </c>
      <c r="B503" s="126" t="s">
        <v>49</v>
      </c>
      <c r="C503" s="53" t="s">
        <v>1841</v>
      </c>
      <c r="D503" s="53" t="s">
        <v>1911</v>
      </c>
      <c r="E503" s="131">
        <v>45814</v>
      </c>
      <c r="F503" s="127" t="s">
        <v>371</v>
      </c>
      <c r="G503" s="127" t="s">
        <v>864</v>
      </c>
      <c r="H503" s="54">
        <v>65236.39</v>
      </c>
      <c r="I503" s="138">
        <v>0.151</v>
      </c>
      <c r="J503" s="44" t="s">
        <v>832</v>
      </c>
      <c r="K503" s="44" t="s">
        <v>1541</v>
      </c>
    </row>
    <row r="504" spans="1:11" x14ac:dyDescent="0.3">
      <c r="A504" s="126" t="s">
        <v>390</v>
      </c>
      <c r="B504" s="126" t="s">
        <v>49</v>
      </c>
      <c r="C504" s="53" t="s">
        <v>1842</v>
      </c>
      <c r="D504" s="53" t="s">
        <v>1912</v>
      </c>
      <c r="E504" s="131">
        <v>45814</v>
      </c>
      <c r="F504" s="127" t="s">
        <v>371</v>
      </c>
      <c r="G504" s="127" t="s">
        <v>864</v>
      </c>
      <c r="H504" s="54">
        <v>25056.52</v>
      </c>
      <c r="I504" s="138">
        <v>0.26400000000000001</v>
      </c>
      <c r="J504" s="44" t="s">
        <v>832</v>
      </c>
      <c r="K504" s="44" t="s">
        <v>1541</v>
      </c>
    </row>
    <row r="505" spans="1:11" x14ac:dyDescent="0.3">
      <c r="A505" s="126" t="s">
        <v>392</v>
      </c>
      <c r="B505" s="126" t="s">
        <v>49</v>
      </c>
      <c r="C505" s="53" t="s">
        <v>1843</v>
      </c>
      <c r="D505" s="53" t="s">
        <v>1913</v>
      </c>
      <c r="E505" s="131">
        <v>45817</v>
      </c>
      <c r="F505" s="127" t="s">
        <v>372</v>
      </c>
      <c r="G505" s="127" t="s">
        <v>10</v>
      </c>
      <c r="H505" s="54">
        <v>41000</v>
      </c>
      <c r="I505" s="138">
        <v>0.38300000000000001</v>
      </c>
      <c r="J505" s="44" t="s">
        <v>848</v>
      </c>
      <c r="K505" s="44" t="s">
        <v>1540</v>
      </c>
    </row>
    <row r="506" spans="1:11" x14ac:dyDescent="0.3">
      <c r="A506" s="126" t="s">
        <v>392</v>
      </c>
      <c r="B506" s="126" t="s">
        <v>49</v>
      </c>
      <c r="C506" s="145" t="s">
        <v>1844</v>
      </c>
      <c r="D506" s="145" t="s">
        <v>1914</v>
      </c>
      <c r="E506" s="131">
        <v>45817</v>
      </c>
      <c r="F506" s="127" t="s">
        <v>371</v>
      </c>
      <c r="G506" s="127" t="s">
        <v>864</v>
      </c>
      <c r="H506" s="146">
        <v>7520</v>
      </c>
      <c r="I506" s="138">
        <v>0.86199999999999999</v>
      </c>
      <c r="J506" s="44" t="s">
        <v>848</v>
      </c>
      <c r="K506" s="44" t="s">
        <v>1540</v>
      </c>
    </row>
    <row r="507" spans="1:11" x14ac:dyDescent="0.3">
      <c r="A507" s="126" t="s">
        <v>392</v>
      </c>
      <c r="B507" s="126" t="s">
        <v>49</v>
      </c>
      <c r="C507" s="53" t="s">
        <v>1845</v>
      </c>
      <c r="D507" s="53" t="s">
        <v>1915</v>
      </c>
      <c r="E507" s="131">
        <v>45817</v>
      </c>
      <c r="F507" s="127" t="s">
        <v>374</v>
      </c>
      <c r="G507" s="127" t="s">
        <v>17</v>
      </c>
      <c r="H507" s="54">
        <v>4500</v>
      </c>
      <c r="I507" s="138">
        <v>0.6</v>
      </c>
      <c r="J507" s="44" t="s">
        <v>848</v>
      </c>
      <c r="K507" s="44" t="s">
        <v>1540</v>
      </c>
    </row>
    <row r="508" spans="1:11" x14ac:dyDescent="0.3">
      <c r="A508" s="126" t="s">
        <v>390</v>
      </c>
      <c r="B508" s="126" t="s">
        <v>49</v>
      </c>
      <c r="C508" s="53" t="s">
        <v>1846</v>
      </c>
      <c r="D508" s="53" t="s">
        <v>1916</v>
      </c>
      <c r="E508" s="131">
        <v>45817</v>
      </c>
      <c r="F508" s="127" t="s">
        <v>371</v>
      </c>
      <c r="G508" s="127" t="s">
        <v>864</v>
      </c>
      <c r="H508" s="54">
        <v>76942.94</v>
      </c>
      <c r="I508" s="138">
        <v>0.16600000000000001</v>
      </c>
      <c r="J508" s="44" t="s">
        <v>832</v>
      </c>
      <c r="K508" s="44" t="s">
        <v>1541</v>
      </c>
    </row>
    <row r="509" spans="1:11" x14ac:dyDescent="0.3">
      <c r="A509" s="126" t="s">
        <v>390</v>
      </c>
      <c r="B509" s="126" t="s">
        <v>49</v>
      </c>
      <c r="C509" s="53" t="s">
        <v>1847</v>
      </c>
      <c r="D509" s="53" t="s">
        <v>1917</v>
      </c>
      <c r="E509" s="131">
        <v>45818</v>
      </c>
      <c r="F509" s="127" t="s">
        <v>371</v>
      </c>
      <c r="G509" s="127" t="s">
        <v>864</v>
      </c>
      <c r="H509" s="54">
        <v>16281.75</v>
      </c>
      <c r="I509" s="138">
        <v>0.437</v>
      </c>
      <c r="J509" s="44" t="s">
        <v>832</v>
      </c>
      <c r="K509" s="44" t="s">
        <v>1541</v>
      </c>
    </row>
    <row r="510" spans="1:11" x14ac:dyDescent="0.3">
      <c r="A510" s="126" t="s">
        <v>390</v>
      </c>
      <c r="B510" s="126" t="s">
        <v>49</v>
      </c>
      <c r="C510" s="53" t="s">
        <v>1848</v>
      </c>
      <c r="D510" s="53" t="s">
        <v>1918</v>
      </c>
      <c r="E510" s="131">
        <v>45818</v>
      </c>
      <c r="F510" s="127" t="s">
        <v>370</v>
      </c>
      <c r="G510" s="127" t="s">
        <v>63</v>
      </c>
      <c r="H510" s="54">
        <v>32920</v>
      </c>
      <c r="I510" s="138">
        <v>0.55000000000000004</v>
      </c>
      <c r="J510" s="44" t="s">
        <v>1835</v>
      </c>
      <c r="K510" s="44" t="s">
        <v>1541</v>
      </c>
    </row>
    <row r="511" spans="1:11" x14ac:dyDescent="0.3">
      <c r="A511" s="126" t="s">
        <v>390</v>
      </c>
      <c r="B511" s="126" t="s">
        <v>49</v>
      </c>
      <c r="C511" s="53" t="s">
        <v>1849</v>
      </c>
      <c r="D511" s="53" t="s">
        <v>1919</v>
      </c>
      <c r="E511" s="131">
        <v>45818</v>
      </c>
      <c r="F511" s="127" t="s">
        <v>370</v>
      </c>
      <c r="G511" s="127" t="s">
        <v>63</v>
      </c>
      <c r="H511" s="54">
        <v>6800</v>
      </c>
      <c r="I511" s="138">
        <v>0.61199999999999999</v>
      </c>
      <c r="J511" s="44" t="s">
        <v>1835</v>
      </c>
      <c r="K511" s="44" t="s">
        <v>1541</v>
      </c>
    </row>
    <row r="512" spans="1:11" x14ac:dyDescent="0.3">
      <c r="A512" s="126" t="s">
        <v>392</v>
      </c>
      <c r="B512" s="126" t="s">
        <v>49</v>
      </c>
      <c r="C512" s="53" t="s">
        <v>1850</v>
      </c>
      <c r="D512" s="53" t="s">
        <v>1920</v>
      </c>
      <c r="E512" s="131">
        <v>45818</v>
      </c>
      <c r="F512" s="127" t="s">
        <v>842</v>
      </c>
      <c r="G512" s="127" t="s">
        <v>843</v>
      </c>
      <c r="H512" s="54">
        <v>22000</v>
      </c>
      <c r="I512" s="138">
        <v>0.47499999999999998</v>
      </c>
      <c r="J512" s="44" t="s">
        <v>1835</v>
      </c>
      <c r="K512" s="44" t="s">
        <v>1540</v>
      </c>
    </row>
    <row r="513" spans="1:11" x14ac:dyDescent="0.3">
      <c r="A513" s="126" t="s">
        <v>392</v>
      </c>
      <c r="B513" s="126" t="s">
        <v>49</v>
      </c>
      <c r="C513" s="53" t="s">
        <v>1851</v>
      </c>
      <c r="D513" s="53" t="s">
        <v>1921</v>
      </c>
      <c r="E513" s="131">
        <v>45818</v>
      </c>
      <c r="F513" s="127" t="s">
        <v>842</v>
      </c>
      <c r="G513" s="127" t="s">
        <v>843</v>
      </c>
      <c r="H513" s="54">
        <v>22000</v>
      </c>
      <c r="I513" s="138">
        <v>0.47499999999999998</v>
      </c>
      <c r="J513" s="44" t="s">
        <v>1835</v>
      </c>
      <c r="K513" s="44" t="s">
        <v>1540</v>
      </c>
    </row>
    <row r="514" spans="1:11" x14ac:dyDescent="0.3">
      <c r="A514" s="126" t="s">
        <v>392</v>
      </c>
      <c r="B514" s="126" t="s">
        <v>49</v>
      </c>
      <c r="C514" s="53" t="s">
        <v>1852</v>
      </c>
      <c r="D514" s="53" t="s">
        <v>1922</v>
      </c>
      <c r="E514" s="131">
        <v>45819</v>
      </c>
      <c r="F514" s="127" t="s">
        <v>842</v>
      </c>
      <c r="G514" s="127" t="s">
        <v>843</v>
      </c>
      <c r="H514" s="54">
        <v>22000</v>
      </c>
      <c r="I514" s="138">
        <v>0.435</v>
      </c>
      <c r="J514" s="44" t="s">
        <v>1835</v>
      </c>
      <c r="K514" s="44" t="s">
        <v>1540</v>
      </c>
    </row>
    <row r="515" spans="1:11" x14ac:dyDescent="0.3">
      <c r="A515" s="126" t="s">
        <v>390</v>
      </c>
      <c r="B515" s="126" t="s">
        <v>49</v>
      </c>
      <c r="C515" s="53" t="s">
        <v>1853</v>
      </c>
      <c r="D515" s="53" t="s">
        <v>1710</v>
      </c>
      <c r="E515" s="131">
        <v>45820</v>
      </c>
      <c r="F515" s="127" t="s">
        <v>371</v>
      </c>
      <c r="G515" s="127" t="s">
        <v>864</v>
      </c>
      <c r="H515" s="54">
        <v>3000</v>
      </c>
      <c r="I515" s="138">
        <v>0.68400000000000005</v>
      </c>
      <c r="J515" s="44" t="s">
        <v>832</v>
      </c>
      <c r="K515" s="44" t="s">
        <v>1541</v>
      </c>
    </row>
    <row r="516" spans="1:11" x14ac:dyDescent="0.3">
      <c r="A516" s="126" t="s">
        <v>392</v>
      </c>
      <c r="B516" s="126" t="s">
        <v>49</v>
      </c>
      <c r="C516" s="53" t="s">
        <v>1854</v>
      </c>
      <c r="D516" s="53" t="s">
        <v>1923</v>
      </c>
      <c r="E516" s="131">
        <v>45821</v>
      </c>
      <c r="F516" s="127" t="s">
        <v>842</v>
      </c>
      <c r="G516" s="127" t="s">
        <v>843</v>
      </c>
      <c r="H516" s="54">
        <v>22000</v>
      </c>
      <c r="I516" s="138">
        <v>0.437</v>
      </c>
      <c r="J516" s="44" t="s">
        <v>1835</v>
      </c>
      <c r="K516" s="44" t="s">
        <v>1540</v>
      </c>
    </row>
    <row r="517" spans="1:11" x14ac:dyDescent="0.3">
      <c r="A517" s="126" t="s">
        <v>392</v>
      </c>
      <c r="B517" s="126" t="s">
        <v>49</v>
      </c>
      <c r="C517" s="53" t="s">
        <v>1855</v>
      </c>
      <c r="D517" s="53" t="s">
        <v>1924</v>
      </c>
      <c r="E517" s="131">
        <v>45821</v>
      </c>
      <c r="F517" s="127" t="s">
        <v>842</v>
      </c>
      <c r="G517" s="127" t="s">
        <v>843</v>
      </c>
      <c r="H517" s="54">
        <v>22000</v>
      </c>
      <c r="I517" s="138">
        <v>0.437</v>
      </c>
      <c r="J517" s="44" t="s">
        <v>1835</v>
      </c>
      <c r="K517" s="44" t="s">
        <v>1540</v>
      </c>
    </row>
    <row r="518" spans="1:11" x14ac:dyDescent="0.3">
      <c r="A518" s="126" t="s">
        <v>392</v>
      </c>
      <c r="B518" s="126" t="s">
        <v>49</v>
      </c>
      <c r="C518" s="53" t="s">
        <v>1856</v>
      </c>
      <c r="D518" s="53" t="s">
        <v>1925</v>
      </c>
      <c r="E518" s="131">
        <v>45824</v>
      </c>
      <c r="F518" s="127" t="s">
        <v>370</v>
      </c>
      <c r="G518" s="127" t="s">
        <v>63</v>
      </c>
      <c r="H518" s="54">
        <v>5575</v>
      </c>
      <c r="I518" s="138">
        <v>0.67700000000000005</v>
      </c>
      <c r="J518" s="44" t="s">
        <v>848</v>
      </c>
      <c r="K518" s="44" t="s">
        <v>1540</v>
      </c>
    </row>
    <row r="519" spans="1:11" x14ac:dyDescent="0.3">
      <c r="A519" s="126" t="s">
        <v>392</v>
      </c>
      <c r="B519" s="126" t="s">
        <v>49</v>
      </c>
      <c r="C519" s="53" t="s">
        <v>1857</v>
      </c>
      <c r="D519" s="53" t="s">
        <v>1926</v>
      </c>
      <c r="E519" s="131">
        <v>45824</v>
      </c>
      <c r="F519" s="127" t="s">
        <v>370</v>
      </c>
      <c r="G519" s="127" t="s">
        <v>63</v>
      </c>
      <c r="H519" s="54">
        <v>22900</v>
      </c>
      <c r="I519" s="138">
        <v>0.68100000000000005</v>
      </c>
      <c r="J519" s="44" t="s">
        <v>848</v>
      </c>
      <c r="K519" s="44" t="s">
        <v>1540</v>
      </c>
    </row>
    <row r="520" spans="1:11" x14ac:dyDescent="0.3">
      <c r="A520" s="126" t="s">
        <v>392</v>
      </c>
      <c r="B520" s="126" t="s">
        <v>49</v>
      </c>
      <c r="C520" s="145" t="s">
        <v>1858</v>
      </c>
      <c r="D520" s="145" t="s">
        <v>1927</v>
      </c>
      <c r="E520" s="131">
        <v>45824</v>
      </c>
      <c r="F520" s="127" t="s">
        <v>371</v>
      </c>
      <c r="G520" s="127" t="s">
        <v>864</v>
      </c>
      <c r="H520" s="146">
        <v>7800</v>
      </c>
      <c r="I520" s="138">
        <v>0.80300000000000005</v>
      </c>
      <c r="J520" s="44" t="s">
        <v>848</v>
      </c>
      <c r="K520" s="44" t="s">
        <v>1540</v>
      </c>
    </row>
    <row r="521" spans="1:11" x14ac:dyDescent="0.3">
      <c r="A521" s="126" t="s">
        <v>392</v>
      </c>
      <c r="B521" s="126" t="s">
        <v>49</v>
      </c>
      <c r="C521" s="53" t="s">
        <v>1859</v>
      </c>
      <c r="D521" s="53" t="s">
        <v>1928</v>
      </c>
      <c r="E521" s="131">
        <v>45824</v>
      </c>
      <c r="F521" s="127" t="s">
        <v>842</v>
      </c>
      <c r="G521" s="127" t="s">
        <v>843</v>
      </c>
      <c r="H521" s="54">
        <v>22000</v>
      </c>
      <c r="I521" s="138">
        <v>0.47699999999999998</v>
      </c>
      <c r="J521" s="44" t="s">
        <v>1835</v>
      </c>
      <c r="K521" s="44" t="s">
        <v>1540</v>
      </c>
    </row>
    <row r="522" spans="1:11" x14ac:dyDescent="0.3">
      <c r="A522" s="126" t="s">
        <v>392</v>
      </c>
      <c r="B522" s="126" t="s">
        <v>49</v>
      </c>
      <c r="C522" s="145" t="s">
        <v>1860</v>
      </c>
      <c r="D522" s="145" t="s">
        <v>1929</v>
      </c>
      <c r="E522" s="131">
        <v>45824</v>
      </c>
      <c r="F522" s="127" t="s">
        <v>371</v>
      </c>
      <c r="G522" s="127" t="s">
        <v>864</v>
      </c>
      <c r="H522" s="146">
        <v>7520</v>
      </c>
      <c r="I522" s="138">
        <v>0.86199999999999999</v>
      </c>
      <c r="J522" s="44" t="s">
        <v>848</v>
      </c>
      <c r="K522" s="44" t="s">
        <v>1540</v>
      </c>
    </row>
    <row r="523" spans="1:11" x14ac:dyDescent="0.3">
      <c r="A523" s="126" t="s">
        <v>392</v>
      </c>
      <c r="B523" s="126" t="s">
        <v>49</v>
      </c>
      <c r="C523" s="145" t="s">
        <v>1861</v>
      </c>
      <c r="D523" s="145" t="s">
        <v>1930</v>
      </c>
      <c r="E523" s="131">
        <v>45825</v>
      </c>
      <c r="F523" s="127" t="s">
        <v>371</v>
      </c>
      <c r="G523" s="127" t="s">
        <v>864</v>
      </c>
      <c r="H523" s="146">
        <v>7520</v>
      </c>
      <c r="I523" s="138">
        <v>0.86199999999999999</v>
      </c>
      <c r="J523" s="44" t="s">
        <v>848</v>
      </c>
      <c r="K523" s="44" t="s">
        <v>1540</v>
      </c>
    </row>
    <row r="524" spans="1:11" x14ac:dyDescent="0.3">
      <c r="A524" s="126" t="s">
        <v>390</v>
      </c>
      <c r="B524" s="126" t="s">
        <v>49</v>
      </c>
      <c r="C524" s="53" t="s">
        <v>1862</v>
      </c>
      <c r="D524" s="53" t="s">
        <v>1931</v>
      </c>
      <c r="E524" s="131">
        <v>45825</v>
      </c>
      <c r="F524" s="127" t="s">
        <v>371</v>
      </c>
      <c r="G524" s="127" t="s">
        <v>864</v>
      </c>
      <c r="H524" s="54">
        <v>31895.84</v>
      </c>
      <c r="I524" s="138">
        <v>0.17100000000000001</v>
      </c>
      <c r="J524" s="44" t="s">
        <v>832</v>
      </c>
      <c r="K524" s="44" t="s">
        <v>1541</v>
      </c>
    </row>
    <row r="525" spans="1:11" x14ac:dyDescent="0.3">
      <c r="A525" s="126" t="s">
        <v>390</v>
      </c>
      <c r="B525" s="126" t="s">
        <v>49</v>
      </c>
      <c r="C525" s="53" t="s">
        <v>1863</v>
      </c>
      <c r="D525" s="53" t="s">
        <v>1932</v>
      </c>
      <c r="E525" s="131">
        <v>45825</v>
      </c>
      <c r="F525" s="127" t="s">
        <v>371</v>
      </c>
      <c r="G525" s="127" t="s">
        <v>864</v>
      </c>
      <c r="H525" s="54">
        <v>54294.74</v>
      </c>
      <c r="I525" s="138">
        <v>0.154</v>
      </c>
      <c r="J525" s="44" t="s">
        <v>832</v>
      </c>
      <c r="K525" s="44" t="s">
        <v>1541</v>
      </c>
    </row>
    <row r="526" spans="1:11" x14ac:dyDescent="0.3">
      <c r="A526" s="126" t="s">
        <v>390</v>
      </c>
      <c r="B526" s="126" t="s">
        <v>49</v>
      </c>
      <c r="C526" s="53" t="s">
        <v>1864</v>
      </c>
      <c r="D526" s="53" t="s">
        <v>1933</v>
      </c>
      <c r="E526" s="131">
        <v>45825</v>
      </c>
      <c r="F526" s="127" t="s">
        <v>371</v>
      </c>
      <c r="G526" s="127" t="s">
        <v>864</v>
      </c>
      <c r="H526" s="54">
        <v>13005.48</v>
      </c>
      <c r="I526" s="138">
        <v>0.23</v>
      </c>
      <c r="J526" s="44" t="s">
        <v>832</v>
      </c>
      <c r="K526" s="44" t="s">
        <v>1541</v>
      </c>
    </row>
    <row r="527" spans="1:11" x14ac:dyDescent="0.3">
      <c r="A527" s="126" t="s">
        <v>390</v>
      </c>
      <c r="B527" s="126" t="s">
        <v>49</v>
      </c>
      <c r="C527" s="53" t="s">
        <v>1865</v>
      </c>
      <c r="D527" s="53" t="s">
        <v>1934</v>
      </c>
      <c r="E527" s="131">
        <v>45825</v>
      </c>
      <c r="F527" s="127" t="s">
        <v>371</v>
      </c>
      <c r="G527" s="127" t="s">
        <v>864</v>
      </c>
      <c r="H527" s="54">
        <v>24254.34</v>
      </c>
      <c r="I527" s="138">
        <v>0.22900000000000001</v>
      </c>
      <c r="J527" s="44" t="s">
        <v>832</v>
      </c>
      <c r="K527" s="44" t="s">
        <v>1541</v>
      </c>
    </row>
    <row r="528" spans="1:11" x14ac:dyDescent="0.3">
      <c r="A528" s="126" t="s">
        <v>390</v>
      </c>
      <c r="B528" s="126" t="s">
        <v>49</v>
      </c>
      <c r="C528" s="53" t="s">
        <v>1866</v>
      </c>
      <c r="D528" s="53" t="s">
        <v>1935</v>
      </c>
      <c r="E528" s="131">
        <v>45826</v>
      </c>
      <c r="F528" s="127" t="s">
        <v>371</v>
      </c>
      <c r="G528" s="127" t="s">
        <v>864</v>
      </c>
      <c r="H528" s="54">
        <v>34280.11</v>
      </c>
      <c r="I528" s="138">
        <v>0.16800000000000001</v>
      </c>
      <c r="J528" s="44" t="s">
        <v>832</v>
      </c>
      <c r="K528" s="44" t="s">
        <v>1541</v>
      </c>
    </row>
    <row r="529" spans="1:11" x14ac:dyDescent="0.3">
      <c r="A529" s="126" t="s">
        <v>392</v>
      </c>
      <c r="B529" s="126" t="s">
        <v>49</v>
      </c>
      <c r="C529" s="53" t="s">
        <v>1867</v>
      </c>
      <c r="D529" s="53" t="s">
        <v>1936</v>
      </c>
      <c r="E529" s="131">
        <v>45826</v>
      </c>
      <c r="F529" s="127" t="s">
        <v>370</v>
      </c>
      <c r="G529" s="127" t="s">
        <v>63</v>
      </c>
      <c r="H529" s="54">
        <v>8150</v>
      </c>
      <c r="I529" s="138">
        <v>0.64400000000000002</v>
      </c>
      <c r="J529" s="44" t="s">
        <v>848</v>
      </c>
      <c r="K529" s="44" t="s">
        <v>1540</v>
      </c>
    </row>
    <row r="530" spans="1:11" x14ac:dyDescent="0.3">
      <c r="A530" s="126" t="s">
        <v>392</v>
      </c>
      <c r="B530" s="126" t="s">
        <v>49</v>
      </c>
      <c r="C530" s="53" t="s">
        <v>1868</v>
      </c>
      <c r="D530" s="53" t="s">
        <v>1937</v>
      </c>
      <c r="E530" s="131">
        <v>45826</v>
      </c>
      <c r="F530" s="127" t="s">
        <v>370</v>
      </c>
      <c r="G530" s="127" t="s">
        <v>63</v>
      </c>
      <c r="H530" s="54">
        <v>8150</v>
      </c>
      <c r="I530" s="138">
        <v>0.64400000000000002</v>
      </c>
      <c r="J530" s="44" t="s">
        <v>848</v>
      </c>
      <c r="K530" s="44" t="s">
        <v>1540</v>
      </c>
    </row>
    <row r="531" spans="1:11" x14ac:dyDescent="0.3">
      <c r="A531" s="126" t="s">
        <v>392</v>
      </c>
      <c r="B531" s="126" t="s">
        <v>49</v>
      </c>
      <c r="C531" s="53" t="s">
        <v>1869</v>
      </c>
      <c r="D531" s="53" t="s">
        <v>1938</v>
      </c>
      <c r="E531" s="131">
        <v>45828</v>
      </c>
      <c r="F531" s="127" t="s">
        <v>842</v>
      </c>
      <c r="G531" s="127" t="s">
        <v>843</v>
      </c>
      <c r="H531" s="54">
        <v>22000</v>
      </c>
      <c r="I531" s="138">
        <v>0.47699999999999998</v>
      </c>
      <c r="J531" s="44" t="s">
        <v>1835</v>
      </c>
      <c r="K531" s="44" t="s">
        <v>1540</v>
      </c>
    </row>
    <row r="532" spans="1:11" x14ac:dyDescent="0.3">
      <c r="A532" s="126" t="s">
        <v>392</v>
      </c>
      <c r="B532" s="126" t="s">
        <v>49</v>
      </c>
      <c r="C532" s="53" t="s">
        <v>1870</v>
      </c>
      <c r="D532" s="53" t="s">
        <v>1939</v>
      </c>
      <c r="E532" s="131">
        <v>45828</v>
      </c>
      <c r="F532" s="127" t="s">
        <v>842</v>
      </c>
      <c r="G532" s="127" t="s">
        <v>843</v>
      </c>
      <c r="H532" s="54">
        <v>22000</v>
      </c>
      <c r="I532" s="138">
        <v>0.439</v>
      </c>
      <c r="J532" s="44" t="s">
        <v>1977</v>
      </c>
      <c r="K532" s="44" t="s">
        <v>1540</v>
      </c>
    </row>
    <row r="533" spans="1:11" x14ac:dyDescent="0.3">
      <c r="A533" s="126" t="s">
        <v>392</v>
      </c>
      <c r="B533" s="126" t="s">
        <v>49</v>
      </c>
      <c r="C533" s="53" t="s">
        <v>1871</v>
      </c>
      <c r="D533" s="53" t="s">
        <v>1940</v>
      </c>
      <c r="E533" s="131">
        <v>45828</v>
      </c>
      <c r="F533" s="127" t="s">
        <v>842</v>
      </c>
      <c r="G533" s="127" t="s">
        <v>843</v>
      </c>
      <c r="H533" s="54">
        <v>22000</v>
      </c>
      <c r="I533" s="138">
        <v>0.438</v>
      </c>
      <c r="J533" s="44" t="s">
        <v>1835</v>
      </c>
      <c r="K533" s="44" t="s">
        <v>1540</v>
      </c>
    </row>
    <row r="534" spans="1:11" x14ac:dyDescent="0.3">
      <c r="A534" s="126" t="s">
        <v>390</v>
      </c>
      <c r="B534" s="126" t="s">
        <v>49</v>
      </c>
      <c r="C534" s="53" t="s">
        <v>1872</v>
      </c>
      <c r="D534" s="53" t="s">
        <v>1941</v>
      </c>
      <c r="E534" s="131">
        <v>45828</v>
      </c>
      <c r="F534" s="127" t="s">
        <v>372</v>
      </c>
      <c r="G534" s="127" t="s">
        <v>10</v>
      </c>
      <c r="H534" s="54">
        <v>73548</v>
      </c>
      <c r="I534" s="138">
        <v>0.20799999999999999</v>
      </c>
      <c r="J534" s="44" t="s">
        <v>833</v>
      </c>
      <c r="K534" s="44" t="s">
        <v>1542</v>
      </c>
    </row>
    <row r="535" spans="1:11" x14ac:dyDescent="0.3">
      <c r="A535" s="126" t="s">
        <v>392</v>
      </c>
      <c r="B535" s="126" t="s">
        <v>49</v>
      </c>
      <c r="C535" s="53" t="s">
        <v>1873</v>
      </c>
      <c r="D535" s="53" t="s">
        <v>1942</v>
      </c>
      <c r="E535" s="131">
        <v>45831</v>
      </c>
      <c r="F535" s="127" t="s">
        <v>372</v>
      </c>
      <c r="G535" s="127" t="s">
        <v>10</v>
      </c>
      <c r="H535" s="54">
        <v>24750</v>
      </c>
      <c r="I535" s="138">
        <v>0.42</v>
      </c>
      <c r="J535" s="44" t="s">
        <v>848</v>
      </c>
      <c r="K535" s="44" t="s">
        <v>1540</v>
      </c>
    </row>
    <row r="536" spans="1:11" x14ac:dyDescent="0.3">
      <c r="A536" s="126" t="s">
        <v>392</v>
      </c>
      <c r="B536" s="126" t="s">
        <v>49</v>
      </c>
      <c r="C536" s="53" t="s">
        <v>1874</v>
      </c>
      <c r="D536" s="53" t="s">
        <v>1943</v>
      </c>
      <c r="E536" s="131">
        <v>45831</v>
      </c>
      <c r="F536" s="127" t="s">
        <v>372</v>
      </c>
      <c r="G536" s="127" t="s">
        <v>10</v>
      </c>
      <c r="H536" s="54">
        <v>24250</v>
      </c>
      <c r="I536" s="138">
        <v>0.40799999999999997</v>
      </c>
      <c r="J536" s="44" t="s">
        <v>848</v>
      </c>
      <c r="K536" s="44" t="s">
        <v>1540</v>
      </c>
    </row>
    <row r="537" spans="1:11" x14ac:dyDescent="0.3">
      <c r="A537" s="126" t="s">
        <v>392</v>
      </c>
      <c r="B537" s="126" t="s">
        <v>49</v>
      </c>
      <c r="C537" s="53" t="s">
        <v>1875</v>
      </c>
      <c r="D537" s="53" t="s">
        <v>1944</v>
      </c>
      <c r="E537" s="131">
        <v>45831</v>
      </c>
      <c r="F537" s="127" t="s">
        <v>372</v>
      </c>
      <c r="G537" s="127" t="s">
        <v>10</v>
      </c>
      <c r="H537" s="54">
        <v>41700</v>
      </c>
      <c r="I537" s="138">
        <v>0.40899999999999997</v>
      </c>
      <c r="J537" s="44" t="s">
        <v>848</v>
      </c>
      <c r="K537" s="44" t="s">
        <v>1540</v>
      </c>
    </row>
    <row r="538" spans="1:11" x14ac:dyDescent="0.3">
      <c r="A538" s="126" t="s">
        <v>390</v>
      </c>
      <c r="B538" s="126" t="s">
        <v>49</v>
      </c>
      <c r="C538" s="53" t="s">
        <v>1876</v>
      </c>
      <c r="D538" s="53" t="s">
        <v>1945</v>
      </c>
      <c r="E538" s="131">
        <v>45831</v>
      </c>
      <c r="F538" s="127" t="s">
        <v>372</v>
      </c>
      <c r="G538" s="127" t="s">
        <v>10</v>
      </c>
      <c r="H538" s="54">
        <v>107397.75</v>
      </c>
      <c r="I538" s="138">
        <v>0.28299999999999997</v>
      </c>
      <c r="J538" s="44" t="s">
        <v>833</v>
      </c>
      <c r="K538" s="44" t="s">
        <v>1542</v>
      </c>
    </row>
    <row r="539" spans="1:11" x14ac:dyDescent="0.3">
      <c r="A539" s="126" t="s">
        <v>390</v>
      </c>
      <c r="B539" s="126" t="s">
        <v>49</v>
      </c>
      <c r="C539" s="53" t="s">
        <v>1877</v>
      </c>
      <c r="D539" s="53" t="s">
        <v>1946</v>
      </c>
      <c r="E539" s="131">
        <v>45831</v>
      </c>
      <c r="F539" s="127" t="s">
        <v>371</v>
      </c>
      <c r="G539" s="127" t="s">
        <v>864</v>
      </c>
      <c r="H539" s="54">
        <v>15529.65</v>
      </c>
      <c r="I539" s="138">
        <v>0.17100000000000001</v>
      </c>
      <c r="J539" s="44" t="s">
        <v>832</v>
      </c>
      <c r="K539" s="44" t="s">
        <v>1541</v>
      </c>
    </row>
    <row r="540" spans="1:11" x14ac:dyDescent="0.3">
      <c r="A540" s="126" t="s">
        <v>392</v>
      </c>
      <c r="B540" s="126" t="s">
        <v>49</v>
      </c>
      <c r="C540" s="53" t="s">
        <v>1878</v>
      </c>
      <c r="D540" s="53" t="s">
        <v>1947</v>
      </c>
      <c r="E540" s="131">
        <v>45831</v>
      </c>
      <c r="F540" s="127" t="s">
        <v>842</v>
      </c>
      <c r="G540" s="127" t="s">
        <v>843</v>
      </c>
      <c r="H540" s="54">
        <v>22000</v>
      </c>
      <c r="I540" s="138">
        <v>0.48399999999999999</v>
      </c>
      <c r="J540" s="44" t="s">
        <v>1977</v>
      </c>
      <c r="K540" s="44" t="s">
        <v>1540</v>
      </c>
    </row>
    <row r="541" spans="1:11" x14ac:dyDescent="0.3">
      <c r="A541" s="126" t="s">
        <v>390</v>
      </c>
      <c r="B541" s="126" t="s">
        <v>49</v>
      </c>
      <c r="C541" s="53" t="s">
        <v>1879</v>
      </c>
      <c r="D541" s="53" t="s">
        <v>1948</v>
      </c>
      <c r="E541" s="131">
        <v>45831</v>
      </c>
      <c r="F541" s="127" t="s">
        <v>370</v>
      </c>
      <c r="G541" s="127" t="s">
        <v>63</v>
      </c>
      <c r="H541" s="54">
        <v>16080</v>
      </c>
      <c r="I541" s="138">
        <v>0.57899999999999996</v>
      </c>
      <c r="J541" s="44" t="s">
        <v>1835</v>
      </c>
      <c r="K541" s="44" t="s">
        <v>1541</v>
      </c>
    </row>
    <row r="542" spans="1:11" x14ac:dyDescent="0.3">
      <c r="A542" s="126" t="s">
        <v>390</v>
      </c>
      <c r="B542" s="126" t="s">
        <v>49</v>
      </c>
      <c r="C542" s="53" t="s">
        <v>1880</v>
      </c>
      <c r="D542" s="53" t="s">
        <v>1949</v>
      </c>
      <c r="E542" s="131">
        <v>45832</v>
      </c>
      <c r="F542" s="127" t="s">
        <v>371</v>
      </c>
      <c r="G542" s="127" t="s">
        <v>864</v>
      </c>
      <c r="H542" s="54">
        <v>14046.15</v>
      </c>
      <c r="I542" s="138">
        <v>0.20399999999999999</v>
      </c>
      <c r="J542" s="44" t="s">
        <v>832</v>
      </c>
      <c r="K542" s="44" t="s">
        <v>1541</v>
      </c>
    </row>
    <row r="543" spans="1:11" x14ac:dyDescent="0.3">
      <c r="A543" s="126" t="s">
        <v>392</v>
      </c>
      <c r="B543" s="126" t="s">
        <v>49</v>
      </c>
      <c r="C543" s="53" t="s">
        <v>1881</v>
      </c>
      <c r="D543" s="53" t="s">
        <v>1950</v>
      </c>
      <c r="E543" s="131">
        <v>45833</v>
      </c>
      <c r="F543" s="127" t="s">
        <v>370</v>
      </c>
      <c r="G543" s="127" t="s">
        <v>63</v>
      </c>
      <c r="H543" s="54">
        <v>18200</v>
      </c>
      <c r="I543" s="138">
        <v>0.61499999999999999</v>
      </c>
      <c r="J543" s="44" t="s">
        <v>848</v>
      </c>
      <c r="K543" s="44" t="s">
        <v>1540</v>
      </c>
    </row>
    <row r="544" spans="1:11" x14ac:dyDescent="0.3">
      <c r="A544" s="126" t="s">
        <v>392</v>
      </c>
      <c r="B544" s="126" t="s">
        <v>49</v>
      </c>
      <c r="C544" s="145" t="s">
        <v>1882</v>
      </c>
      <c r="D544" s="145" t="s">
        <v>1951</v>
      </c>
      <c r="E544" s="131">
        <v>45833</v>
      </c>
      <c r="F544" s="127" t="s">
        <v>371</v>
      </c>
      <c r="G544" s="127" t="s">
        <v>864</v>
      </c>
      <c r="H544" s="146">
        <v>7896</v>
      </c>
      <c r="I544" s="138">
        <v>0.86899999999999999</v>
      </c>
      <c r="J544" s="44" t="s">
        <v>848</v>
      </c>
      <c r="K544" s="44" t="s">
        <v>1540</v>
      </c>
    </row>
    <row r="545" spans="1:11" x14ac:dyDescent="0.3">
      <c r="A545" s="126" t="s">
        <v>392</v>
      </c>
      <c r="B545" s="126" t="s">
        <v>49</v>
      </c>
      <c r="C545" s="53" t="s">
        <v>1883</v>
      </c>
      <c r="D545" s="53" t="s">
        <v>1952</v>
      </c>
      <c r="E545" s="131">
        <v>45833</v>
      </c>
      <c r="F545" s="127" t="s">
        <v>842</v>
      </c>
      <c r="G545" s="127" t="s">
        <v>843</v>
      </c>
      <c r="H545" s="54">
        <v>22000</v>
      </c>
      <c r="I545" s="138">
        <v>0.48399999999999999</v>
      </c>
      <c r="J545" s="44" t="s">
        <v>1977</v>
      </c>
      <c r="K545" s="44" t="s">
        <v>1540</v>
      </c>
    </row>
    <row r="546" spans="1:11" x14ac:dyDescent="0.3">
      <c r="A546" s="126" t="s">
        <v>390</v>
      </c>
      <c r="B546" s="126" t="s">
        <v>49</v>
      </c>
      <c r="C546" s="53" t="s">
        <v>1884</v>
      </c>
      <c r="D546" s="53" t="s">
        <v>1953</v>
      </c>
      <c r="E546" s="131">
        <v>45833</v>
      </c>
      <c r="F546" s="127" t="s">
        <v>371</v>
      </c>
      <c r="G546" s="127" t="s">
        <v>864</v>
      </c>
      <c r="H546" s="54">
        <v>145230.38</v>
      </c>
      <c r="I546" s="138">
        <v>0.13700000000000001</v>
      </c>
      <c r="J546" s="44" t="s">
        <v>832</v>
      </c>
      <c r="K546" s="44" t="s">
        <v>1541</v>
      </c>
    </row>
    <row r="547" spans="1:11" x14ac:dyDescent="0.3">
      <c r="A547" s="126" t="s">
        <v>390</v>
      </c>
      <c r="B547" s="126" t="s">
        <v>49</v>
      </c>
      <c r="C547" s="53" t="s">
        <v>1885</v>
      </c>
      <c r="D547" s="53" t="s">
        <v>1954</v>
      </c>
      <c r="E547" s="131">
        <v>45834</v>
      </c>
      <c r="F547" s="127" t="s">
        <v>372</v>
      </c>
      <c r="G547" s="127" t="s">
        <v>10</v>
      </c>
      <c r="H547" s="54">
        <v>77046.81</v>
      </c>
      <c r="I547" s="138">
        <v>0.30499999999999999</v>
      </c>
      <c r="J547" s="44" t="s">
        <v>833</v>
      </c>
      <c r="K547" s="44" t="s">
        <v>1542</v>
      </c>
    </row>
    <row r="548" spans="1:11" x14ac:dyDescent="0.3">
      <c r="A548" s="126" t="s">
        <v>390</v>
      </c>
      <c r="B548" s="126" t="s">
        <v>49</v>
      </c>
      <c r="C548" s="53" t="s">
        <v>1886</v>
      </c>
      <c r="D548" s="53" t="s">
        <v>1955</v>
      </c>
      <c r="E548" s="131">
        <v>45834</v>
      </c>
      <c r="F548" s="127" t="s">
        <v>371</v>
      </c>
      <c r="G548" s="127" t="s">
        <v>864</v>
      </c>
      <c r="H548" s="54">
        <v>43975.48</v>
      </c>
      <c r="I548" s="138">
        <v>0.154</v>
      </c>
      <c r="J548" s="44" t="s">
        <v>832</v>
      </c>
      <c r="K548" s="44" t="s">
        <v>1541</v>
      </c>
    </row>
    <row r="549" spans="1:11" x14ac:dyDescent="0.3">
      <c r="A549" s="126" t="s">
        <v>390</v>
      </c>
      <c r="B549" s="126" t="s">
        <v>49</v>
      </c>
      <c r="C549" s="53" t="s">
        <v>1887</v>
      </c>
      <c r="D549" s="53" t="s">
        <v>1956</v>
      </c>
      <c r="E549" s="131">
        <v>45834</v>
      </c>
      <c r="F549" s="127" t="s">
        <v>371</v>
      </c>
      <c r="G549" s="127" t="s">
        <v>864</v>
      </c>
      <c r="H549" s="54">
        <v>44962.41</v>
      </c>
      <c r="I549" s="138">
        <v>0.16</v>
      </c>
      <c r="J549" s="44" t="s">
        <v>832</v>
      </c>
      <c r="K549" s="44" t="s">
        <v>1541</v>
      </c>
    </row>
    <row r="550" spans="1:11" x14ac:dyDescent="0.3">
      <c r="A550" s="126" t="s">
        <v>390</v>
      </c>
      <c r="B550" s="126" t="s">
        <v>49</v>
      </c>
      <c r="C550" s="53" t="s">
        <v>1888</v>
      </c>
      <c r="D550" s="53" t="s">
        <v>1957</v>
      </c>
      <c r="E550" s="131">
        <v>45834</v>
      </c>
      <c r="F550" s="127" t="s">
        <v>371</v>
      </c>
      <c r="G550" s="127" t="s">
        <v>864</v>
      </c>
      <c r="H550" s="54">
        <v>45138.14</v>
      </c>
      <c r="I550" s="138">
        <v>0.14499999999999999</v>
      </c>
      <c r="J550" s="44" t="s">
        <v>832</v>
      </c>
      <c r="K550" s="44" t="s">
        <v>1541</v>
      </c>
    </row>
    <row r="551" spans="1:11" x14ac:dyDescent="0.3">
      <c r="A551" s="126" t="s">
        <v>390</v>
      </c>
      <c r="B551" s="126" t="s">
        <v>49</v>
      </c>
      <c r="C551" s="53" t="s">
        <v>1889</v>
      </c>
      <c r="D551" s="53" t="s">
        <v>1958</v>
      </c>
      <c r="E551" s="131">
        <v>45834</v>
      </c>
      <c r="F551" s="127" t="s">
        <v>371</v>
      </c>
      <c r="G551" s="127" t="s">
        <v>864</v>
      </c>
      <c r="H551" s="54">
        <v>13117.25</v>
      </c>
      <c r="I551" s="138">
        <v>0.46300000000000002</v>
      </c>
      <c r="J551" s="44" t="s">
        <v>832</v>
      </c>
      <c r="K551" s="44" t="s">
        <v>1541</v>
      </c>
    </row>
    <row r="552" spans="1:11" x14ac:dyDescent="0.3">
      <c r="A552" s="126" t="s">
        <v>392</v>
      </c>
      <c r="B552" s="126" t="s">
        <v>49</v>
      </c>
      <c r="C552" s="53" t="s">
        <v>1890</v>
      </c>
      <c r="D552" s="53" t="s">
        <v>1959</v>
      </c>
      <c r="E552" s="131">
        <v>45834</v>
      </c>
      <c r="F552" s="127" t="s">
        <v>842</v>
      </c>
      <c r="G552" s="127" t="s">
        <v>843</v>
      </c>
      <c r="H552" s="54">
        <v>22000</v>
      </c>
      <c r="I552" s="138">
        <v>0.435</v>
      </c>
      <c r="J552" s="44" t="s">
        <v>1977</v>
      </c>
      <c r="K552" s="44" t="s">
        <v>1540</v>
      </c>
    </row>
    <row r="553" spans="1:11" x14ac:dyDescent="0.3">
      <c r="A553" s="126" t="s">
        <v>390</v>
      </c>
      <c r="B553" s="126" t="s">
        <v>49</v>
      </c>
      <c r="C553" s="53" t="s">
        <v>1891</v>
      </c>
      <c r="D553" s="53" t="s">
        <v>1960</v>
      </c>
      <c r="E553" s="131">
        <v>45835</v>
      </c>
      <c r="F553" s="127" t="s">
        <v>372</v>
      </c>
      <c r="G553" s="127" t="s">
        <v>10</v>
      </c>
      <c r="H553" s="54">
        <v>9702.9599999999991</v>
      </c>
      <c r="I553" s="138">
        <v>0.36499999999999999</v>
      </c>
      <c r="J553" s="44" t="s">
        <v>833</v>
      </c>
      <c r="K553" s="44" t="s">
        <v>1541</v>
      </c>
    </row>
    <row r="554" spans="1:11" x14ac:dyDescent="0.3">
      <c r="A554" s="126" t="s">
        <v>390</v>
      </c>
      <c r="B554" s="126" t="s">
        <v>49</v>
      </c>
      <c r="C554" s="53" t="s">
        <v>1892</v>
      </c>
      <c r="D554" s="53" t="s">
        <v>1961</v>
      </c>
      <c r="E554" s="131">
        <v>45835</v>
      </c>
      <c r="F554" s="127" t="s">
        <v>372</v>
      </c>
      <c r="G554" s="127" t="s">
        <v>10</v>
      </c>
      <c r="H554" s="54">
        <v>106289.04</v>
      </c>
      <c r="I554" s="138">
        <v>0.34100000000000003</v>
      </c>
      <c r="J554" s="44" t="s">
        <v>833</v>
      </c>
      <c r="K554" s="44" t="s">
        <v>1542</v>
      </c>
    </row>
    <row r="555" spans="1:11" x14ac:dyDescent="0.3">
      <c r="A555" s="126" t="s">
        <v>390</v>
      </c>
      <c r="B555" s="126" t="s">
        <v>49</v>
      </c>
      <c r="C555" s="53" t="s">
        <v>1893</v>
      </c>
      <c r="D555" s="53" t="s">
        <v>1822</v>
      </c>
      <c r="E555" s="131">
        <v>45835</v>
      </c>
      <c r="F555" s="127" t="s">
        <v>372</v>
      </c>
      <c r="G555" s="127" t="s">
        <v>10</v>
      </c>
      <c r="H555" s="54">
        <v>99854.05</v>
      </c>
      <c r="I555" s="138">
        <v>0.26600000000000001</v>
      </c>
      <c r="J555" s="44" t="s">
        <v>833</v>
      </c>
      <c r="K555" s="44" t="s">
        <v>1542</v>
      </c>
    </row>
    <row r="556" spans="1:11" x14ac:dyDescent="0.3">
      <c r="A556" s="126" t="s">
        <v>390</v>
      </c>
      <c r="B556" s="126" t="s">
        <v>49</v>
      </c>
      <c r="C556" s="53" t="s">
        <v>1894</v>
      </c>
      <c r="D556" s="53" t="s">
        <v>1962</v>
      </c>
      <c r="E556" s="131">
        <v>45835</v>
      </c>
      <c r="F556" s="127" t="s">
        <v>371</v>
      </c>
      <c r="G556" s="127" t="s">
        <v>864</v>
      </c>
      <c r="H556" s="54">
        <v>30454.92</v>
      </c>
      <c r="I556" s="138">
        <v>0.23799999999999999</v>
      </c>
      <c r="J556" s="44" t="s">
        <v>832</v>
      </c>
      <c r="K556" s="44" t="s">
        <v>1541</v>
      </c>
    </row>
    <row r="557" spans="1:11" x14ac:dyDescent="0.3">
      <c r="A557" s="126" t="s">
        <v>392</v>
      </c>
      <c r="B557" s="126" t="s">
        <v>49</v>
      </c>
      <c r="C557" s="53" t="s">
        <v>1895</v>
      </c>
      <c r="D557" s="53" t="s">
        <v>1963</v>
      </c>
      <c r="E557" s="131">
        <v>45835</v>
      </c>
      <c r="F557" s="127" t="s">
        <v>844</v>
      </c>
      <c r="G557" s="127" t="s">
        <v>863</v>
      </c>
      <c r="H557" s="54">
        <v>21000</v>
      </c>
      <c r="I557" s="138">
        <v>0.316</v>
      </c>
      <c r="J557" s="44" t="s">
        <v>1018</v>
      </c>
      <c r="K557" s="44" t="s">
        <v>1540</v>
      </c>
    </row>
    <row r="558" spans="1:11" x14ac:dyDescent="0.3">
      <c r="A558" s="126" t="s">
        <v>390</v>
      </c>
      <c r="B558" s="126" t="s">
        <v>49</v>
      </c>
      <c r="C558" s="53" t="s">
        <v>1896</v>
      </c>
      <c r="D558" s="53" t="s">
        <v>1964</v>
      </c>
      <c r="E558" s="131">
        <v>45835</v>
      </c>
      <c r="F558" s="127" t="s">
        <v>371</v>
      </c>
      <c r="G558" s="127" t="s">
        <v>864</v>
      </c>
      <c r="H558" s="54">
        <v>30069.31</v>
      </c>
      <c r="I558" s="138">
        <v>0.29099999999999998</v>
      </c>
      <c r="J558" s="44" t="s">
        <v>832</v>
      </c>
      <c r="K558" s="44" t="s">
        <v>1541</v>
      </c>
    </row>
    <row r="559" spans="1:11" x14ac:dyDescent="0.3">
      <c r="A559" s="126" t="s">
        <v>390</v>
      </c>
      <c r="B559" s="126" t="s">
        <v>49</v>
      </c>
      <c r="C559" s="53" t="s">
        <v>1897</v>
      </c>
      <c r="D559" s="53" t="s">
        <v>1965</v>
      </c>
      <c r="E559" s="131">
        <v>45835</v>
      </c>
      <c r="F559" s="127" t="s">
        <v>370</v>
      </c>
      <c r="G559" s="127" t="s">
        <v>63</v>
      </c>
      <c r="H559" s="54">
        <v>15500</v>
      </c>
      <c r="I559" s="138">
        <v>0.43</v>
      </c>
      <c r="J559" s="44" t="s">
        <v>1835</v>
      </c>
      <c r="K559" s="44" t="s">
        <v>1541</v>
      </c>
    </row>
    <row r="560" spans="1:11" x14ac:dyDescent="0.3">
      <c r="A560" s="126" t="s">
        <v>392</v>
      </c>
      <c r="B560" s="126" t="s">
        <v>49</v>
      </c>
      <c r="C560" s="53" t="s">
        <v>1898</v>
      </c>
      <c r="D560" s="53" t="s">
        <v>1966</v>
      </c>
      <c r="E560" s="131">
        <v>45835</v>
      </c>
      <c r="F560" s="127" t="s">
        <v>842</v>
      </c>
      <c r="G560" s="127" t="s">
        <v>843</v>
      </c>
      <c r="H560" s="54">
        <v>22000</v>
      </c>
      <c r="I560" s="138">
        <v>0.441</v>
      </c>
      <c r="J560" s="44" t="s">
        <v>1977</v>
      </c>
      <c r="K560" s="44" t="s">
        <v>1540</v>
      </c>
    </row>
    <row r="561" spans="1:11" x14ac:dyDescent="0.3">
      <c r="A561" s="126" t="s">
        <v>390</v>
      </c>
      <c r="B561" s="126" t="s">
        <v>49</v>
      </c>
      <c r="C561" s="53" t="s">
        <v>1899</v>
      </c>
      <c r="D561" s="53" t="s">
        <v>1967</v>
      </c>
      <c r="E561" s="131">
        <v>45835</v>
      </c>
      <c r="F561" s="127" t="s">
        <v>371</v>
      </c>
      <c r="G561" s="127" t="s">
        <v>864</v>
      </c>
      <c r="H561" s="54">
        <v>13540.26</v>
      </c>
      <c r="I561" s="138">
        <v>0.22900000000000001</v>
      </c>
      <c r="J561" s="44" t="s">
        <v>832</v>
      </c>
      <c r="K561" s="44" t="s">
        <v>1541</v>
      </c>
    </row>
    <row r="562" spans="1:11" x14ac:dyDescent="0.3">
      <c r="A562" s="126" t="s">
        <v>392</v>
      </c>
      <c r="B562" s="126" t="s">
        <v>49</v>
      </c>
      <c r="C562" s="145" t="s">
        <v>1900</v>
      </c>
      <c r="D562" s="145" t="s">
        <v>1968</v>
      </c>
      <c r="E562" s="131">
        <v>45835</v>
      </c>
      <c r="F562" s="127" t="s">
        <v>371</v>
      </c>
      <c r="G562" s="127" t="s">
        <v>864</v>
      </c>
      <c r="H562" s="146">
        <v>7896</v>
      </c>
      <c r="I562" s="138">
        <v>0.74399999999999999</v>
      </c>
      <c r="J562" s="44" t="s">
        <v>848</v>
      </c>
      <c r="K562" s="44" t="s">
        <v>1540</v>
      </c>
    </row>
    <row r="563" spans="1:11" x14ac:dyDescent="0.3">
      <c r="A563" s="126" t="s">
        <v>392</v>
      </c>
      <c r="B563" s="126" t="s">
        <v>49</v>
      </c>
      <c r="C563" s="145" t="s">
        <v>1901</v>
      </c>
      <c r="D563" s="145" t="s">
        <v>1969</v>
      </c>
      <c r="E563" s="131">
        <v>45838</v>
      </c>
      <c r="F563" s="127" t="s">
        <v>371</v>
      </c>
      <c r="G563" s="127" t="s">
        <v>864</v>
      </c>
      <c r="H563" s="146">
        <v>4800</v>
      </c>
      <c r="I563" s="138">
        <v>0.78600000000000003</v>
      </c>
      <c r="J563" s="44" t="s">
        <v>848</v>
      </c>
      <c r="K563" s="44" t="s">
        <v>1540</v>
      </c>
    </row>
    <row r="564" spans="1:11" x14ac:dyDescent="0.3">
      <c r="A564" s="126" t="s">
        <v>390</v>
      </c>
      <c r="B564" s="126" t="s">
        <v>49</v>
      </c>
      <c r="C564" s="53" t="s">
        <v>1902</v>
      </c>
      <c r="D564" s="53" t="s">
        <v>1970</v>
      </c>
      <c r="E564" s="131">
        <v>45838</v>
      </c>
      <c r="F564" s="127" t="s">
        <v>371</v>
      </c>
      <c r="G564" s="127" t="s">
        <v>864</v>
      </c>
      <c r="H564" s="54">
        <v>30809.15</v>
      </c>
      <c r="I564" s="138">
        <v>0.23400000000000001</v>
      </c>
      <c r="J564" s="44" t="s">
        <v>832</v>
      </c>
      <c r="K564" s="44" t="s">
        <v>1541</v>
      </c>
    </row>
    <row r="565" spans="1:11" x14ac:dyDescent="0.3">
      <c r="A565" s="126" t="s">
        <v>390</v>
      </c>
      <c r="B565" s="126" t="s">
        <v>49</v>
      </c>
      <c r="C565" s="53" t="s">
        <v>1903</v>
      </c>
      <c r="D565" s="53" t="s">
        <v>1830</v>
      </c>
      <c r="E565" s="131">
        <v>45838</v>
      </c>
      <c r="F565" s="127" t="s">
        <v>1007</v>
      </c>
      <c r="G565" s="127" t="s">
        <v>865</v>
      </c>
      <c r="H565" s="54">
        <v>0.01</v>
      </c>
      <c r="I565" s="138">
        <v>0.34599999999999997</v>
      </c>
      <c r="J565" s="44" t="s">
        <v>831</v>
      </c>
      <c r="K565" s="44" t="s">
        <v>1542</v>
      </c>
    </row>
    <row r="566" spans="1:11" x14ac:dyDescent="0.3">
      <c r="A566" s="126" t="s">
        <v>392</v>
      </c>
      <c r="B566" s="126" t="s">
        <v>49</v>
      </c>
      <c r="C566" s="145" t="s">
        <v>1904</v>
      </c>
      <c r="D566" s="145" t="s">
        <v>1971</v>
      </c>
      <c r="E566" s="131">
        <v>45838</v>
      </c>
      <c r="F566" s="127" t="s">
        <v>371</v>
      </c>
      <c r="G566" s="127" t="s">
        <v>864</v>
      </c>
      <c r="H566" s="146">
        <v>37600</v>
      </c>
      <c r="I566" s="138">
        <v>0.86299999999999999</v>
      </c>
      <c r="J566" s="44" t="s">
        <v>848</v>
      </c>
      <c r="K566" s="44" t="s">
        <v>1540</v>
      </c>
    </row>
    <row r="567" spans="1:11" x14ac:dyDescent="0.3">
      <c r="A567" s="126" t="s">
        <v>390</v>
      </c>
      <c r="B567" s="126" t="s">
        <v>49</v>
      </c>
      <c r="C567" s="53" t="s">
        <v>1905</v>
      </c>
      <c r="D567" s="53" t="s">
        <v>1972</v>
      </c>
      <c r="E567" s="131">
        <v>45838</v>
      </c>
      <c r="F567" s="127" t="s">
        <v>370</v>
      </c>
      <c r="G567" s="127" t="s">
        <v>63</v>
      </c>
      <c r="H567" s="54">
        <v>130054.54</v>
      </c>
      <c r="I567" s="138">
        <v>0.46400000000000002</v>
      </c>
      <c r="J567" s="44" t="s">
        <v>1835</v>
      </c>
      <c r="K567" s="44" t="s">
        <v>1542</v>
      </c>
    </row>
    <row r="568" spans="1:11" x14ac:dyDescent="0.3">
      <c r="A568" s="126" t="s">
        <v>390</v>
      </c>
      <c r="B568" s="126" t="s">
        <v>49</v>
      </c>
      <c r="C568" s="53" t="s">
        <v>1973</v>
      </c>
      <c r="D568" s="53" t="s">
        <v>1832</v>
      </c>
      <c r="E568" s="131">
        <v>45818</v>
      </c>
      <c r="F568" s="127" t="s">
        <v>1174</v>
      </c>
      <c r="G568" s="127" t="s">
        <v>857</v>
      </c>
      <c r="H568" s="54">
        <v>1429.4625000000001</v>
      </c>
      <c r="I568" s="138">
        <v>0.65200000000000002</v>
      </c>
      <c r="J568" s="44" t="s">
        <v>831</v>
      </c>
      <c r="K568" s="44" t="s">
        <v>1542</v>
      </c>
    </row>
    <row r="569" spans="1:11" x14ac:dyDescent="0.3">
      <c r="A569" s="126" t="s">
        <v>390</v>
      </c>
      <c r="B569" s="126" t="s">
        <v>49</v>
      </c>
      <c r="C569" s="53" t="s">
        <v>1974</v>
      </c>
      <c r="D569" s="53" t="s">
        <v>1975</v>
      </c>
      <c r="E569" s="131">
        <v>45824</v>
      </c>
      <c r="F569" s="127" t="s">
        <v>372</v>
      </c>
      <c r="G569" s="127" t="s">
        <v>10</v>
      </c>
      <c r="H569" s="54">
        <v>150495.09</v>
      </c>
      <c r="I569" s="138">
        <v>0.251</v>
      </c>
      <c r="J569" s="44" t="s">
        <v>833</v>
      </c>
      <c r="K569" s="44" t="s">
        <v>1542</v>
      </c>
    </row>
    <row r="570" spans="1:11" x14ac:dyDescent="0.3">
      <c r="A570" s="126" t="s">
        <v>390</v>
      </c>
      <c r="B570" s="126" t="s">
        <v>49</v>
      </c>
      <c r="C570" s="53" t="s">
        <v>1976</v>
      </c>
      <c r="D570" s="53" t="s">
        <v>1830</v>
      </c>
      <c r="E570" s="131">
        <v>45838</v>
      </c>
      <c r="F570" s="127" t="s">
        <v>1007</v>
      </c>
      <c r="G570" s="127" t="s">
        <v>865</v>
      </c>
      <c r="H570" s="54">
        <v>86023.641199999998</v>
      </c>
      <c r="I570" s="138">
        <v>0.34599999999999997</v>
      </c>
      <c r="J570" s="44" t="s">
        <v>831</v>
      </c>
      <c r="K570" s="44" t="s">
        <v>1542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0776-F304-42B9-A935-462979BBDE43}">
  <dimension ref="A1:K1985"/>
  <sheetViews>
    <sheetView zoomScale="90" zoomScaleNormal="90" workbookViewId="0">
      <pane ySplit="1" topLeftCell="A1218" activePane="bottomLeft" state="frozen"/>
      <selection pane="bottomLeft" activeCell="A1138" sqref="A1138:K1242"/>
    </sheetView>
  </sheetViews>
  <sheetFormatPr baseColWidth="10" defaultColWidth="11.44140625" defaultRowHeight="14.4" x14ac:dyDescent="0.3"/>
  <cols>
    <col min="1" max="1" width="8.5546875" style="44" bestFit="1" customWidth="1"/>
    <col min="2" max="2" width="22.5546875" style="44" customWidth="1"/>
    <col min="3" max="3" width="11.44140625" style="44"/>
    <col min="4" max="4" width="13.44140625" style="44" bestFit="1" customWidth="1"/>
    <col min="5" max="6" width="11.44140625" style="44" customWidth="1"/>
    <col min="7" max="7" width="37.44140625" style="44" customWidth="1"/>
    <col min="8" max="8" width="14.109375" style="44" customWidth="1"/>
    <col min="9" max="10" width="11.44140625" style="44"/>
    <col min="11" max="11" width="15.21875" style="44" customWidth="1"/>
    <col min="12" max="16384" width="11.44140625" style="44"/>
  </cols>
  <sheetData>
    <row r="1" spans="1:11" x14ac:dyDescent="0.3">
      <c r="A1" s="123" t="s">
        <v>70</v>
      </c>
      <c r="B1" s="123" t="s">
        <v>61</v>
      </c>
      <c r="C1" s="123" t="s">
        <v>71</v>
      </c>
      <c r="D1" s="123" t="s">
        <v>72</v>
      </c>
      <c r="E1" s="124" t="s">
        <v>73</v>
      </c>
      <c r="F1" s="123" t="s">
        <v>74</v>
      </c>
      <c r="G1" s="123" t="s">
        <v>825</v>
      </c>
      <c r="H1" s="125" t="s">
        <v>76</v>
      </c>
      <c r="I1" s="125" t="s">
        <v>828</v>
      </c>
      <c r="J1" s="125" t="s">
        <v>829</v>
      </c>
      <c r="K1" s="125" t="s">
        <v>1543</v>
      </c>
    </row>
    <row r="2" spans="1:11" x14ac:dyDescent="0.3">
      <c r="A2" s="126" t="s">
        <v>392</v>
      </c>
      <c r="B2" s="126" t="s">
        <v>4</v>
      </c>
      <c r="C2" s="127" t="s">
        <v>868</v>
      </c>
      <c r="D2" s="127" t="s">
        <v>869</v>
      </c>
      <c r="E2" s="128">
        <v>45660</v>
      </c>
      <c r="F2" s="127" t="s">
        <v>372</v>
      </c>
      <c r="G2" s="127" t="s">
        <v>10</v>
      </c>
      <c r="H2" s="129">
        <v>16362.29</v>
      </c>
      <c r="I2" s="106">
        <v>0.42299999999999999</v>
      </c>
      <c r="J2" s="126" t="s">
        <v>848</v>
      </c>
    </row>
    <row r="3" spans="1:11" x14ac:dyDescent="0.3">
      <c r="A3" s="126" t="s">
        <v>392</v>
      </c>
      <c r="B3" s="126" t="s">
        <v>4</v>
      </c>
      <c r="C3" s="127" t="s">
        <v>870</v>
      </c>
      <c r="D3" s="127" t="s">
        <v>871</v>
      </c>
      <c r="E3" s="128">
        <v>45660</v>
      </c>
      <c r="F3" s="127" t="s">
        <v>372</v>
      </c>
      <c r="G3" s="127" t="s">
        <v>10</v>
      </c>
      <c r="H3" s="129">
        <v>17562.29</v>
      </c>
      <c r="I3" s="106">
        <v>0.44900000000000001</v>
      </c>
      <c r="J3" s="126" t="s">
        <v>848</v>
      </c>
    </row>
    <row r="4" spans="1:11" x14ac:dyDescent="0.3">
      <c r="A4" s="126" t="s">
        <v>390</v>
      </c>
      <c r="B4" s="126" t="s">
        <v>4</v>
      </c>
      <c r="C4" s="127" t="s">
        <v>872</v>
      </c>
      <c r="D4" s="127" t="s">
        <v>873</v>
      </c>
      <c r="E4" s="128">
        <v>45660</v>
      </c>
      <c r="F4" s="127" t="s">
        <v>372</v>
      </c>
      <c r="G4" s="127" t="s">
        <v>10</v>
      </c>
      <c r="H4" s="129">
        <v>112970.32</v>
      </c>
      <c r="I4" s="106">
        <v>0.28399999999999997</v>
      </c>
      <c r="J4" s="126" t="s">
        <v>833</v>
      </c>
    </row>
    <row r="5" spans="1:11" x14ac:dyDescent="0.3">
      <c r="A5" s="126" t="s">
        <v>390</v>
      </c>
      <c r="B5" s="126" t="s">
        <v>4</v>
      </c>
      <c r="C5" s="127" t="s">
        <v>874</v>
      </c>
      <c r="D5" s="127" t="s">
        <v>875</v>
      </c>
      <c r="E5" s="128">
        <v>45660</v>
      </c>
      <c r="F5" s="127" t="s">
        <v>372</v>
      </c>
      <c r="G5" s="127" t="s">
        <v>10</v>
      </c>
      <c r="H5" s="129">
        <v>3540</v>
      </c>
      <c r="I5" s="106">
        <v>0.25900000000000001</v>
      </c>
      <c r="J5" s="126" t="s">
        <v>833</v>
      </c>
    </row>
    <row r="6" spans="1:11" x14ac:dyDescent="0.3">
      <c r="A6" s="126" t="s">
        <v>392</v>
      </c>
      <c r="B6" s="126" t="s">
        <v>4</v>
      </c>
      <c r="C6" s="127" t="s">
        <v>876</v>
      </c>
      <c r="D6" s="127" t="s">
        <v>877</v>
      </c>
      <c r="E6" s="128">
        <v>45660</v>
      </c>
      <c r="F6" s="127" t="s">
        <v>372</v>
      </c>
      <c r="G6" s="127" t="s">
        <v>10</v>
      </c>
      <c r="H6" s="129">
        <v>2928.25</v>
      </c>
      <c r="I6" s="106">
        <v>0.59</v>
      </c>
      <c r="J6" s="126" t="s">
        <v>848</v>
      </c>
    </row>
    <row r="7" spans="1:11" x14ac:dyDescent="0.3">
      <c r="A7" s="126" t="s">
        <v>392</v>
      </c>
      <c r="B7" s="126" t="s">
        <v>4</v>
      </c>
      <c r="C7" s="127" t="s">
        <v>878</v>
      </c>
      <c r="D7" s="130" t="s">
        <v>879</v>
      </c>
      <c r="E7" s="128">
        <v>45660</v>
      </c>
      <c r="F7" s="127" t="s">
        <v>372</v>
      </c>
      <c r="G7" s="127" t="s">
        <v>10</v>
      </c>
      <c r="H7" s="129">
        <v>16361.73</v>
      </c>
      <c r="I7" s="106">
        <v>0.42299999999999999</v>
      </c>
      <c r="J7" s="126" t="s">
        <v>848</v>
      </c>
    </row>
    <row r="8" spans="1:11" x14ac:dyDescent="0.3">
      <c r="A8" s="126" t="s">
        <v>390</v>
      </c>
      <c r="B8" s="126" t="s">
        <v>4</v>
      </c>
      <c r="C8" s="127" t="s">
        <v>880</v>
      </c>
      <c r="D8" s="127" t="s">
        <v>881</v>
      </c>
      <c r="E8" s="128">
        <v>45660</v>
      </c>
      <c r="F8" s="127" t="s">
        <v>372</v>
      </c>
      <c r="G8" s="127" t="s">
        <v>10</v>
      </c>
      <c r="H8" s="129">
        <v>10620</v>
      </c>
      <c r="I8" s="106">
        <v>0.25900000000000001</v>
      </c>
      <c r="J8" s="126" t="s">
        <v>833</v>
      </c>
    </row>
    <row r="9" spans="1:11" x14ac:dyDescent="0.3">
      <c r="A9" s="126" t="s">
        <v>390</v>
      </c>
      <c r="B9" s="126" t="s">
        <v>4</v>
      </c>
      <c r="C9" s="127" t="s">
        <v>882</v>
      </c>
      <c r="D9" s="127" t="s">
        <v>883</v>
      </c>
      <c r="E9" s="128">
        <v>45660</v>
      </c>
      <c r="F9" s="127" t="s">
        <v>372</v>
      </c>
      <c r="G9" s="127" t="s">
        <v>10</v>
      </c>
      <c r="H9" s="129">
        <v>79824.55</v>
      </c>
      <c r="I9" s="106">
        <v>0.22500000000000001</v>
      </c>
      <c r="J9" s="126" t="s">
        <v>833</v>
      </c>
    </row>
    <row r="10" spans="1:11" x14ac:dyDescent="0.3">
      <c r="A10" s="126" t="s">
        <v>392</v>
      </c>
      <c r="B10" s="126" t="s">
        <v>4</v>
      </c>
      <c r="C10" s="127" t="s">
        <v>884</v>
      </c>
      <c r="D10" s="127" t="s">
        <v>885</v>
      </c>
      <c r="E10" s="128">
        <v>45660</v>
      </c>
      <c r="F10" s="127" t="s">
        <v>370</v>
      </c>
      <c r="G10" s="127" t="s">
        <v>63</v>
      </c>
      <c r="H10" s="129">
        <v>6908.32</v>
      </c>
      <c r="I10" s="106">
        <v>0.55100000000000005</v>
      </c>
      <c r="J10" s="126" t="s">
        <v>830</v>
      </c>
    </row>
    <row r="11" spans="1:11" x14ac:dyDescent="0.3">
      <c r="A11" s="126" t="s">
        <v>390</v>
      </c>
      <c r="B11" s="126" t="s">
        <v>4</v>
      </c>
      <c r="C11" s="127" t="s">
        <v>886</v>
      </c>
      <c r="D11" s="127" t="s">
        <v>856</v>
      </c>
      <c r="E11" s="128">
        <v>45665</v>
      </c>
      <c r="F11" s="127" t="s">
        <v>811</v>
      </c>
      <c r="G11" s="127" t="s">
        <v>813</v>
      </c>
      <c r="H11" s="129">
        <v>0.01</v>
      </c>
      <c r="I11" s="107">
        <v>0</v>
      </c>
      <c r="J11" s="126" t="s">
        <v>832</v>
      </c>
    </row>
    <row r="12" spans="1:11" x14ac:dyDescent="0.3">
      <c r="A12" s="126" t="s">
        <v>390</v>
      </c>
      <c r="B12" s="126" t="s">
        <v>4</v>
      </c>
      <c r="C12" s="127" t="s">
        <v>887</v>
      </c>
      <c r="D12" s="127" t="s">
        <v>888</v>
      </c>
      <c r="E12" s="128">
        <v>45666</v>
      </c>
      <c r="F12" s="127" t="s">
        <v>372</v>
      </c>
      <c r="G12" s="127" t="s">
        <v>10</v>
      </c>
      <c r="H12" s="129">
        <v>106812.52</v>
      </c>
      <c r="I12" s="106">
        <v>0.308</v>
      </c>
      <c r="J12" s="126" t="s">
        <v>833</v>
      </c>
    </row>
    <row r="13" spans="1:11" x14ac:dyDescent="0.3">
      <c r="A13" s="126" t="s">
        <v>390</v>
      </c>
      <c r="B13" s="126" t="s">
        <v>4</v>
      </c>
      <c r="C13" s="127" t="s">
        <v>889</v>
      </c>
      <c r="D13" s="127" t="s">
        <v>890</v>
      </c>
      <c r="E13" s="128">
        <v>45666</v>
      </c>
      <c r="F13" s="127" t="s">
        <v>372</v>
      </c>
      <c r="G13" s="127" t="s">
        <v>10</v>
      </c>
      <c r="H13" s="129">
        <v>84790.76</v>
      </c>
      <c r="I13" s="106">
        <v>0.29299999999999998</v>
      </c>
      <c r="J13" s="126" t="s">
        <v>833</v>
      </c>
    </row>
    <row r="14" spans="1:11" x14ac:dyDescent="0.3">
      <c r="A14" s="126" t="s">
        <v>392</v>
      </c>
      <c r="B14" s="126" t="s">
        <v>4</v>
      </c>
      <c r="C14" s="127" t="s">
        <v>891</v>
      </c>
      <c r="D14" s="127" t="s">
        <v>892</v>
      </c>
      <c r="E14" s="128">
        <v>45666</v>
      </c>
      <c r="F14" s="127" t="s">
        <v>372</v>
      </c>
      <c r="G14" s="127" t="s">
        <v>10</v>
      </c>
      <c r="H14" s="129">
        <v>18579.25</v>
      </c>
      <c r="I14" s="106">
        <v>0.42099999999999999</v>
      </c>
      <c r="J14" s="126" t="s">
        <v>848</v>
      </c>
    </row>
    <row r="15" spans="1:11" x14ac:dyDescent="0.3">
      <c r="A15" s="126" t="s">
        <v>390</v>
      </c>
      <c r="B15" s="126" t="s">
        <v>4</v>
      </c>
      <c r="C15" s="127" t="s">
        <v>893</v>
      </c>
      <c r="D15" s="130" t="s">
        <v>858</v>
      </c>
      <c r="E15" s="128">
        <v>45666</v>
      </c>
      <c r="F15" s="127" t="s">
        <v>371</v>
      </c>
      <c r="G15" s="127" t="s">
        <v>864</v>
      </c>
      <c r="H15" s="129">
        <v>205227.85</v>
      </c>
      <c r="I15" s="106">
        <v>0.40400000000000003</v>
      </c>
      <c r="J15" s="126" t="s">
        <v>833</v>
      </c>
    </row>
    <row r="16" spans="1:11" x14ac:dyDescent="0.3">
      <c r="A16" s="126" t="s">
        <v>390</v>
      </c>
      <c r="B16" s="126" t="s">
        <v>4</v>
      </c>
      <c r="C16" s="127" t="s">
        <v>894</v>
      </c>
      <c r="D16" s="130" t="s">
        <v>895</v>
      </c>
      <c r="E16" s="128">
        <v>45667</v>
      </c>
      <c r="F16" s="127" t="s">
        <v>372</v>
      </c>
      <c r="G16" s="127" t="s">
        <v>10</v>
      </c>
      <c r="H16" s="129">
        <v>27182.81</v>
      </c>
      <c r="I16" s="106">
        <v>0.21</v>
      </c>
      <c r="J16" s="126" t="s">
        <v>833</v>
      </c>
    </row>
    <row r="17" spans="1:10" x14ac:dyDescent="0.3">
      <c r="A17" s="126" t="s">
        <v>390</v>
      </c>
      <c r="B17" s="126" t="s">
        <v>4</v>
      </c>
      <c r="C17" s="127" t="s">
        <v>896</v>
      </c>
      <c r="D17" s="130" t="s">
        <v>897</v>
      </c>
      <c r="E17" s="128">
        <v>45670</v>
      </c>
      <c r="F17" s="127" t="s">
        <v>371</v>
      </c>
      <c r="G17" s="127" t="s">
        <v>864</v>
      </c>
      <c r="H17" s="129">
        <v>16728.86</v>
      </c>
      <c r="I17" s="106">
        <v>0.41199999999999998</v>
      </c>
      <c r="J17" s="126" t="s">
        <v>833</v>
      </c>
    </row>
    <row r="18" spans="1:10" x14ac:dyDescent="0.3">
      <c r="A18" s="126" t="s">
        <v>392</v>
      </c>
      <c r="B18" s="126" t="s">
        <v>4</v>
      </c>
      <c r="C18" s="127" t="s">
        <v>898</v>
      </c>
      <c r="D18" s="130" t="s">
        <v>899</v>
      </c>
      <c r="E18" s="128">
        <v>45670</v>
      </c>
      <c r="F18" s="127" t="s">
        <v>370</v>
      </c>
      <c r="G18" s="127" t="s">
        <v>63</v>
      </c>
      <c r="H18" s="129">
        <v>15835.71</v>
      </c>
      <c r="I18" s="106">
        <v>0.76600000000000001</v>
      </c>
      <c r="J18" s="126" t="s">
        <v>830</v>
      </c>
    </row>
    <row r="19" spans="1:10" x14ac:dyDescent="0.3">
      <c r="A19" s="126" t="s">
        <v>390</v>
      </c>
      <c r="B19" s="126" t="s">
        <v>4</v>
      </c>
      <c r="C19" s="127" t="s">
        <v>900</v>
      </c>
      <c r="D19" s="130" t="s">
        <v>901</v>
      </c>
      <c r="E19" s="128">
        <v>45670</v>
      </c>
      <c r="F19" s="127" t="s">
        <v>811</v>
      </c>
      <c r="G19" s="127" t="s">
        <v>813</v>
      </c>
      <c r="H19" s="129">
        <v>26279.86</v>
      </c>
      <c r="I19" s="106">
        <v>0.314</v>
      </c>
      <c r="J19" s="126" t="s">
        <v>832</v>
      </c>
    </row>
    <row r="20" spans="1:10" x14ac:dyDescent="0.3">
      <c r="A20" s="126" t="s">
        <v>392</v>
      </c>
      <c r="B20" s="126" t="s">
        <v>4</v>
      </c>
      <c r="C20" s="127" t="s">
        <v>902</v>
      </c>
      <c r="D20" s="130" t="s">
        <v>903</v>
      </c>
      <c r="E20" s="128">
        <v>45671</v>
      </c>
      <c r="F20" s="127" t="s">
        <v>370</v>
      </c>
      <c r="G20" s="127" t="s">
        <v>63</v>
      </c>
      <c r="H20" s="129">
        <v>8006.14</v>
      </c>
      <c r="I20" s="106">
        <v>0.75800000000000001</v>
      </c>
      <c r="J20" s="126" t="s">
        <v>830</v>
      </c>
    </row>
    <row r="21" spans="1:10" x14ac:dyDescent="0.3">
      <c r="A21" s="126" t="s">
        <v>392</v>
      </c>
      <c r="B21" s="126" t="s">
        <v>4</v>
      </c>
      <c r="C21" s="127" t="s">
        <v>904</v>
      </c>
      <c r="D21" s="130" t="s">
        <v>905</v>
      </c>
      <c r="E21" s="128">
        <v>45671</v>
      </c>
      <c r="F21" s="127" t="s">
        <v>370</v>
      </c>
      <c r="G21" s="127" t="s">
        <v>63</v>
      </c>
      <c r="H21" s="129">
        <v>8013.9</v>
      </c>
      <c r="I21" s="106">
        <v>0.75800000000000001</v>
      </c>
      <c r="J21" s="126" t="s">
        <v>830</v>
      </c>
    </row>
    <row r="22" spans="1:10" x14ac:dyDescent="0.3">
      <c r="A22" s="126" t="s">
        <v>392</v>
      </c>
      <c r="B22" s="126" t="s">
        <v>4</v>
      </c>
      <c r="C22" s="127" t="s">
        <v>906</v>
      </c>
      <c r="D22" s="130" t="s">
        <v>907</v>
      </c>
      <c r="E22" s="128">
        <v>45671</v>
      </c>
      <c r="F22" s="127" t="s">
        <v>370</v>
      </c>
      <c r="G22" s="127" t="s">
        <v>63</v>
      </c>
      <c r="H22" s="129">
        <v>8008.72</v>
      </c>
      <c r="I22" s="106">
        <v>0.75800000000000001</v>
      </c>
      <c r="J22" s="126" t="s">
        <v>830</v>
      </c>
    </row>
    <row r="23" spans="1:10" x14ac:dyDescent="0.3">
      <c r="A23" s="126" t="s">
        <v>392</v>
      </c>
      <c r="B23" s="126" t="s">
        <v>4</v>
      </c>
      <c r="C23" s="127" t="s">
        <v>908</v>
      </c>
      <c r="D23" s="127" t="s">
        <v>909</v>
      </c>
      <c r="E23" s="128">
        <v>45671</v>
      </c>
      <c r="F23" s="127" t="s">
        <v>370</v>
      </c>
      <c r="G23" s="127" t="s">
        <v>63</v>
      </c>
      <c r="H23" s="129">
        <v>8013.9</v>
      </c>
      <c r="I23" s="106">
        <v>0.75800000000000001</v>
      </c>
      <c r="J23" s="126" t="s">
        <v>830</v>
      </c>
    </row>
    <row r="24" spans="1:10" x14ac:dyDescent="0.3">
      <c r="A24" s="126" t="s">
        <v>392</v>
      </c>
      <c r="B24" s="126" t="s">
        <v>4</v>
      </c>
      <c r="C24" s="127" t="s">
        <v>910</v>
      </c>
      <c r="D24" s="127" t="s">
        <v>911</v>
      </c>
      <c r="E24" s="128">
        <v>45671</v>
      </c>
      <c r="F24" s="127" t="s">
        <v>370</v>
      </c>
      <c r="G24" s="127" t="s">
        <v>63</v>
      </c>
      <c r="H24" s="129">
        <v>12013.9</v>
      </c>
      <c r="I24" s="106">
        <v>0.81</v>
      </c>
      <c r="J24" s="126" t="s">
        <v>830</v>
      </c>
    </row>
    <row r="25" spans="1:10" x14ac:dyDescent="0.3">
      <c r="A25" s="126" t="s">
        <v>392</v>
      </c>
      <c r="B25" s="126" t="s">
        <v>4</v>
      </c>
      <c r="C25" s="127" t="s">
        <v>912</v>
      </c>
      <c r="D25" s="127" t="s">
        <v>913</v>
      </c>
      <c r="E25" s="128">
        <v>45671</v>
      </c>
      <c r="F25" s="127" t="s">
        <v>370</v>
      </c>
      <c r="G25" s="127" t="s">
        <v>63</v>
      </c>
      <c r="H25" s="129">
        <v>8114.5</v>
      </c>
      <c r="I25" s="106">
        <v>0.58099999999999996</v>
      </c>
      <c r="J25" s="126" t="s">
        <v>830</v>
      </c>
    </row>
    <row r="26" spans="1:10" x14ac:dyDescent="0.3">
      <c r="A26" s="126" t="s">
        <v>392</v>
      </c>
      <c r="B26" s="126" t="s">
        <v>4</v>
      </c>
      <c r="C26" s="127" t="s">
        <v>914</v>
      </c>
      <c r="D26" s="127" t="s">
        <v>915</v>
      </c>
      <c r="E26" s="128">
        <v>45672</v>
      </c>
      <c r="F26" s="127" t="s">
        <v>370</v>
      </c>
      <c r="G26" s="127" t="s">
        <v>63</v>
      </c>
      <c r="H26" s="129">
        <v>8054.06</v>
      </c>
      <c r="I26" s="106">
        <v>0.85099999999999998</v>
      </c>
      <c r="J26" s="126" t="s">
        <v>830</v>
      </c>
    </row>
    <row r="27" spans="1:10" x14ac:dyDescent="0.3">
      <c r="A27" s="126" t="s">
        <v>392</v>
      </c>
      <c r="B27" s="126" t="s">
        <v>4</v>
      </c>
      <c r="C27" s="127" t="s">
        <v>916</v>
      </c>
      <c r="D27" s="127" t="s">
        <v>917</v>
      </c>
      <c r="E27" s="128">
        <v>45672</v>
      </c>
      <c r="F27" s="127" t="s">
        <v>370</v>
      </c>
      <c r="G27" s="127" t="s">
        <v>63</v>
      </c>
      <c r="H27" s="129">
        <v>8026.46</v>
      </c>
      <c r="I27" s="106">
        <v>0.57599999999999996</v>
      </c>
      <c r="J27" s="126" t="s">
        <v>830</v>
      </c>
    </row>
    <row r="28" spans="1:10" x14ac:dyDescent="0.3">
      <c r="A28" s="126" t="s">
        <v>390</v>
      </c>
      <c r="B28" s="126" t="s">
        <v>4</v>
      </c>
      <c r="C28" s="127" t="s">
        <v>918</v>
      </c>
      <c r="D28" s="127" t="s">
        <v>919</v>
      </c>
      <c r="E28" s="128">
        <v>45674</v>
      </c>
      <c r="F28" s="127" t="s">
        <v>371</v>
      </c>
      <c r="G28" s="127" t="s">
        <v>864</v>
      </c>
      <c r="H28" s="129">
        <v>38843.08</v>
      </c>
      <c r="I28" s="106">
        <v>0.20300000000000001</v>
      </c>
      <c r="J28" s="126" t="s">
        <v>833</v>
      </c>
    </row>
    <row r="29" spans="1:10" x14ac:dyDescent="0.3">
      <c r="A29" s="126" t="s">
        <v>390</v>
      </c>
      <c r="B29" s="126" t="s">
        <v>4</v>
      </c>
      <c r="C29" s="127" t="s">
        <v>920</v>
      </c>
      <c r="D29" s="127" t="s">
        <v>921</v>
      </c>
      <c r="E29" s="128">
        <v>45677</v>
      </c>
      <c r="F29" s="127" t="s">
        <v>375</v>
      </c>
      <c r="G29" s="127" t="s">
        <v>62</v>
      </c>
      <c r="H29" s="129">
        <v>87814.69</v>
      </c>
      <c r="I29" s="106">
        <v>0.29299999999999998</v>
      </c>
      <c r="J29" s="126" t="s">
        <v>831</v>
      </c>
    </row>
    <row r="30" spans="1:10" x14ac:dyDescent="0.3">
      <c r="A30" s="126" t="s">
        <v>392</v>
      </c>
      <c r="B30" s="126" t="s">
        <v>4</v>
      </c>
      <c r="C30" s="127" t="s">
        <v>922</v>
      </c>
      <c r="D30" s="127" t="s">
        <v>923</v>
      </c>
      <c r="E30" s="128">
        <v>45677</v>
      </c>
      <c r="F30" s="127" t="s">
        <v>844</v>
      </c>
      <c r="G30" s="127" t="s">
        <v>863</v>
      </c>
      <c r="H30" s="129">
        <v>43000</v>
      </c>
      <c r="I30" s="107">
        <v>0.43</v>
      </c>
      <c r="J30" s="126" t="s">
        <v>831</v>
      </c>
    </row>
    <row r="31" spans="1:10" x14ac:dyDescent="0.3">
      <c r="A31" s="126" t="s">
        <v>392</v>
      </c>
      <c r="B31" s="126" t="s">
        <v>4</v>
      </c>
      <c r="C31" s="127" t="s">
        <v>924</v>
      </c>
      <c r="D31" s="127" t="s">
        <v>925</v>
      </c>
      <c r="E31" s="128">
        <v>45677</v>
      </c>
      <c r="F31" s="127" t="s">
        <v>374</v>
      </c>
      <c r="G31" s="127" t="s">
        <v>17</v>
      </c>
      <c r="H31" s="129">
        <v>4076.46</v>
      </c>
      <c r="I31" s="106">
        <v>0.63200000000000001</v>
      </c>
      <c r="J31" s="126" t="s">
        <v>848</v>
      </c>
    </row>
    <row r="32" spans="1:10" x14ac:dyDescent="0.3">
      <c r="A32" s="126" t="s">
        <v>392</v>
      </c>
      <c r="B32" s="126" t="s">
        <v>4</v>
      </c>
      <c r="C32" s="127" t="s">
        <v>926</v>
      </c>
      <c r="D32" s="127" t="s">
        <v>927</v>
      </c>
      <c r="E32" s="128">
        <v>45677</v>
      </c>
      <c r="F32" s="127" t="s">
        <v>370</v>
      </c>
      <c r="G32" s="127" t="s">
        <v>63</v>
      </c>
      <c r="H32" s="129">
        <v>4738.54</v>
      </c>
      <c r="I32" s="106">
        <v>0.62</v>
      </c>
      <c r="J32" s="126" t="s">
        <v>830</v>
      </c>
    </row>
    <row r="33" spans="1:10" x14ac:dyDescent="0.3">
      <c r="A33" s="126" t="s">
        <v>390</v>
      </c>
      <c r="B33" s="126" t="s">
        <v>4</v>
      </c>
      <c r="C33" s="127" t="s">
        <v>928</v>
      </c>
      <c r="D33" s="127" t="s">
        <v>929</v>
      </c>
      <c r="E33" s="128">
        <v>45678</v>
      </c>
      <c r="F33" s="127" t="s">
        <v>375</v>
      </c>
      <c r="G33" s="127" t="s">
        <v>62</v>
      </c>
      <c r="H33" s="129">
        <v>73564.69</v>
      </c>
      <c r="I33" s="106">
        <v>0.59499999999999997</v>
      </c>
      <c r="J33" s="126" t="s">
        <v>831</v>
      </c>
    </row>
    <row r="34" spans="1:10" x14ac:dyDescent="0.3">
      <c r="A34" s="126" t="s">
        <v>392</v>
      </c>
      <c r="B34" s="126" t="s">
        <v>4</v>
      </c>
      <c r="C34" s="127" t="s">
        <v>930</v>
      </c>
      <c r="D34" s="127" t="s">
        <v>931</v>
      </c>
      <c r="E34" s="128">
        <v>45679</v>
      </c>
      <c r="F34" s="127" t="s">
        <v>844</v>
      </c>
      <c r="G34" s="127" t="s">
        <v>863</v>
      </c>
      <c r="H34" s="129">
        <v>7450</v>
      </c>
      <c r="I34" s="106">
        <v>0.29799999999999999</v>
      </c>
      <c r="J34" s="126" t="s">
        <v>831</v>
      </c>
    </row>
    <row r="35" spans="1:10" x14ac:dyDescent="0.3">
      <c r="A35" s="126" t="s">
        <v>390</v>
      </c>
      <c r="B35" s="126" t="s">
        <v>4</v>
      </c>
      <c r="C35" s="127" t="s">
        <v>932</v>
      </c>
      <c r="D35" s="127" t="s">
        <v>933</v>
      </c>
      <c r="E35" s="128">
        <v>45679</v>
      </c>
      <c r="F35" s="127" t="s">
        <v>372</v>
      </c>
      <c r="G35" s="127" t="s">
        <v>10</v>
      </c>
      <c r="H35" s="129">
        <v>101167.89</v>
      </c>
      <c r="I35" s="106">
        <v>0.36099999999999999</v>
      </c>
      <c r="J35" s="126" t="s">
        <v>833</v>
      </c>
    </row>
    <row r="36" spans="1:10" x14ac:dyDescent="0.3">
      <c r="A36" s="126" t="s">
        <v>392</v>
      </c>
      <c r="B36" s="126" t="s">
        <v>4</v>
      </c>
      <c r="C36" s="127" t="s">
        <v>934</v>
      </c>
      <c r="D36" s="127" t="s">
        <v>935</v>
      </c>
      <c r="E36" s="128">
        <v>45679</v>
      </c>
      <c r="F36" s="127" t="s">
        <v>844</v>
      </c>
      <c r="G36" s="127" t="s">
        <v>863</v>
      </c>
      <c r="H36" s="129">
        <v>20000</v>
      </c>
      <c r="I36" s="106">
        <v>0.82299999999999995</v>
      </c>
      <c r="J36" s="126" t="s">
        <v>831</v>
      </c>
    </row>
    <row r="37" spans="1:10" x14ac:dyDescent="0.3">
      <c r="A37" s="126" t="s">
        <v>390</v>
      </c>
      <c r="B37" s="126" t="s">
        <v>4</v>
      </c>
      <c r="C37" s="127" t="s">
        <v>936</v>
      </c>
      <c r="D37" s="127" t="s">
        <v>937</v>
      </c>
      <c r="E37" s="128">
        <v>45679</v>
      </c>
      <c r="F37" s="127" t="s">
        <v>371</v>
      </c>
      <c r="G37" s="127" t="s">
        <v>864</v>
      </c>
      <c r="H37" s="129">
        <v>15830.09</v>
      </c>
      <c r="I37" s="106">
        <v>0.47099999999999997</v>
      </c>
      <c r="J37" s="126" t="s">
        <v>832</v>
      </c>
    </row>
    <row r="38" spans="1:10" x14ac:dyDescent="0.3">
      <c r="A38" s="126" t="s">
        <v>390</v>
      </c>
      <c r="B38" s="126" t="s">
        <v>4</v>
      </c>
      <c r="C38" s="127" t="s">
        <v>938</v>
      </c>
      <c r="D38" s="127" t="s">
        <v>939</v>
      </c>
      <c r="E38" s="128">
        <v>45679</v>
      </c>
      <c r="F38" s="127" t="s">
        <v>371</v>
      </c>
      <c r="G38" s="127" t="s">
        <v>864</v>
      </c>
      <c r="H38" s="129">
        <v>15129.35</v>
      </c>
      <c r="I38" s="106">
        <v>0.48499999999999999</v>
      </c>
      <c r="J38" s="126" t="s">
        <v>832</v>
      </c>
    </row>
    <row r="39" spans="1:10" x14ac:dyDescent="0.3">
      <c r="A39" s="126" t="s">
        <v>390</v>
      </c>
      <c r="B39" s="126" t="s">
        <v>4</v>
      </c>
      <c r="C39" s="127" t="s">
        <v>940</v>
      </c>
      <c r="D39" s="130" t="s">
        <v>941</v>
      </c>
      <c r="E39" s="128">
        <v>45679</v>
      </c>
      <c r="F39" s="127" t="s">
        <v>372</v>
      </c>
      <c r="G39" s="127" t="s">
        <v>10</v>
      </c>
      <c r="H39" s="129">
        <v>3540</v>
      </c>
      <c r="I39" s="106">
        <v>0.25900000000000001</v>
      </c>
      <c r="J39" s="126" t="s">
        <v>833</v>
      </c>
    </row>
    <row r="40" spans="1:10" x14ac:dyDescent="0.3">
      <c r="A40" s="126" t="s">
        <v>390</v>
      </c>
      <c r="B40" s="126" t="s">
        <v>4</v>
      </c>
      <c r="C40" s="127" t="s">
        <v>942</v>
      </c>
      <c r="D40" s="130" t="s">
        <v>850</v>
      </c>
      <c r="E40" s="128">
        <v>45681</v>
      </c>
      <c r="F40" s="127" t="s">
        <v>371</v>
      </c>
      <c r="G40" s="127" t="s">
        <v>864</v>
      </c>
      <c r="H40" s="129">
        <v>53262</v>
      </c>
      <c r="I40" s="106">
        <v>0.23599999999999999</v>
      </c>
      <c r="J40" s="126" t="s">
        <v>833</v>
      </c>
    </row>
    <row r="41" spans="1:10" x14ac:dyDescent="0.3">
      <c r="A41" s="126" t="s">
        <v>392</v>
      </c>
      <c r="B41" s="126" t="s">
        <v>4</v>
      </c>
      <c r="C41" s="127" t="s">
        <v>943</v>
      </c>
      <c r="D41" s="130" t="s">
        <v>944</v>
      </c>
      <c r="E41" s="128">
        <v>45681</v>
      </c>
      <c r="F41" s="127" t="s">
        <v>372</v>
      </c>
      <c r="G41" s="127" t="s">
        <v>10</v>
      </c>
      <c r="H41" s="129">
        <v>43208</v>
      </c>
      <c r="I41" s="106">
        <v>0.38100000000000001</v>
      </c>
      <c r="J41" s="126" t="s">
        <v>848</v>
      </c>
    </row>
    <row r="42" spans="1:10" x14ac:dyDescent="0.3">
      <c r="A42" s="126" t="s">
        <v>392</v>
      </c>
      <c r="B42" s="126" t="s">
        <v>4</v>
      </c>
      <c r="C42" s="127" t="s">
        <v>945</v>
      </c>
      <c r="D42" s="127" t="s">
        <v>946</v>
      </c>
      <c r="E42" s="128">
        <v>45684</v>
      </c>
      <c r="F42" s="127" t="s">
        <v>372</v>
      </c>
      <c r="G42" s="127" t="s">
        <v>10</v>
      </c>
      <c r="H42" s="129">
        <v>23630.09</v>
      </c>
      <c r="I42" s="106">
        <v>0.40799999999999997</v>
      </c>
      <c r="J42" s="126" t="s">
        <v>848</v>
      </c>
    </row>
    <row r="43" spans="1:10" x14ac:dyDescent="0.3">
      <c r="A43" s="126" t="s">
        <v>390</v>
      </c>
      <c r="B43" s="126" t="s">
        <v>4</v>
      </c>
      <c r="C43" s="127" t="s">
        <v>947</v>
      </c>
      <c r="D43" s="130" t="s">
        <v>948</v>
      </c>
      <c r="E43" s="128">
        <v>45684</v>
      </c>
      <c r="F43" s="127" t="s">
        <v>372</v>
      </c>
      <c r="G43" s="127" t="s">
        <v>10</v>
      </c>
      <c r="H43" s="129">
        <v>29438.47</v>
      </c>
      <c r="I43" s="106">
        <v>0.21099999999999999</v>
      </c>
      <c r="J43" s="126" t="s">
        <v>833</v>
      </c>
    </row>
    <row r="44" spans="1:10" x14ac:dyDescent="0.3">
      <c r="A44" s="126" t="s">
        <v>392</v>
      </c>
      <c r="B44" s="126" t="s">
        <v>4</v>
      </c>
      <c r="C44" s="127" t="s">
        <v>949</v>
      </c>
      <c r="D44" s="127" t="s">
        <v>950</v>
      </c>
      <c r="E44" s="128">
        <v>45685</v>
      </c>
      <c r="F44" s="127" t="s">
        <v>370</v>
      </c>
      <c r="G44" s="127" t="s">
        <v>63</v>
      </c>
      <c r="H44" s="129">
        <v>14131.96</v>
      </c>
      <c r="I44" s="106">
        <v>0.61099999999999999</v>
      </c>
      <c r="J44" s="126" t="s">
        <v>830</v>
      </c>
    </row>
    <row r="45" spans="1:10" x14ac:dyDescent="0.3">
      <c r="A45" s="126" t="s">
        <v>392</v>
      </c>
      <c r="B45" s="126" t="s">
        <v>4</v>
      </c>
      <c r="C45" s="127" t="s">
        <v>951</v>
      </c>
      <c r="D45" s="127" t="s">
        <v>952</v>
      </c>
      <c r="E45" s="128">
        <v>45685</v>
      </c>
      <c r="F45" s="127" t="s">
        <v>370</v>
      </c>
      <c r="G45" s="127" t="s">
        <v>63</v>
      </c>
      <c r="H45" s="129">
        <v>8084.16</v>
      </c>
      <c r="I45" s="106">
        <v>0.67800000000000005</v>
      </c>
      <c r="J45" s="126" t="s">
        <v>830</v>
      </c>
    </row>
    <row r="46" spans="1:10" x14ac:dyDescent="0.3">
      <c r="A46" s="126" t="s">
        <v>392</v>
      </c>
      <c r="B46" s="126" t="s">
        <v>4</v>
      </c>
      <c r="C46" s="127" t="s">
        <v>953</v>
      </c>
      <c r="D46" s="127" t="s">
        <v>954</v>
      </c>
      <c r="E46" s="128">
        <v>45685</v>
      </c>
      <c r="F46" s="127" t="s">
        <v>370</v>
      </c>
      <c r="G46" s="127" t="s">
        <v>63</v>
      </c>
      <c r="H46" s="129">
        <v>8058.6</v>
      </c>
      <c r="I46" s="106">
        <v>0.67700000000000005</v>
      </c>
      <c r="J46" s="126" t="s">
        <v>830</v>
      </c>
    </row>
    <row r="47" spans="1:10" x14ac:dyDescent="0.3">
      <c r="A47" s="126" t="s">
        <v>392</v>
      </c>
      <c r="B47" s="126" t="s">
        <v>4</v>
      </c>
      <c r="C47" s="127" t="s">
        <v>955</v>
      </c>
      <c r="D47" s="127" t="s">
        <v>956</v>
      </c>
      <c r="E47" s="128">
        <v>45685</v>
      </c>
      <c r="F47" s="127" t="s">
        <v>370</v>
      </c>
      <c r="G47" s="127" t="s">
        <v>63</v>
      </c>
      <c r="H47" s="129">
        <v>12680.77</v>
      </c>
      <c r="I47" s="106">
        <v>0.70799999999999996</v>
      </c>
      <c r="J47" s="126" t="s">
        <v>830</v>
      </c>
    </row>
    <row r="48" spans="1:10" x14ac:dyDescent="0.3">
      <c r="A48" s="126" t="s">
        <v>392</v>
      </c>
      <c r="B48" s="126" t="s">
        <v>4</v>
      </c>
      <c r="C48" s="127" t="s">
        <v>957</v>
      </c>
      <c r="D48" s="130" t="s">
        <v>958</v>
      </c>
      <c r="E48" s="128">
        <v>45685</v>
      </c>
      <c r="F48" s="127" t="s">
        <v>370</v>
      </c>
      <c r="G48" s="127" t="s">
        <v>63</v>
      </c>
      <c r="H48" s="129">
        <v>14131.96</v>
      </c>
      <c r="I48" s="106">
        <v>0.61099999999999999</v>
      </c>
      <c r="J48" s="126" t="s">
        <v>830</v>
      </c>
    </row>
    <row r="49" spans="1:10" x14ac:dyDescent="0.3">
      <c r="A49" s="126" t="s">
        <v>390</v>
      </c>
      <c r="B49" s="126" t="s">
        <v>4</v>
      </c>
      <c r="C49" s="127" t="s">
        <v>959</v>
      </c>
      <c r="D49" s="127" t="s">
        <v>960</v>
      </c>
      <c r="E49" s="128">
        <v>45685</v>
      </c>
      <c r="F49" s="127" t="s">
        <v>370</v>
      </c>
      <c r="G49" s="127" t="s">
        <v>63</v>
      </c>
      <c r="H49" s="129">
        <v>40097.5</v>
      </c>
      <c r="I49" s="106">
        <v>0.45700000000000002</v>
      </c>
      <c r="J49" s="126" t="s">
        <v>830</v>
      </c>
    </row>
    <row r="50" spans="1:10" x14ac:dyDescent="0.3">
      <c r="A50" s="126" t="s">
        <v>390</v>
      </c>
      <c r="B50" s="126" t="s">
        <v>4</v>
      </c>
      <c r="C50" s="127" t="s">
        <v>961</v>
      </c>
      <c r="D50" s="127" t="s">
        <v>962</v>
      </c>
      <c r="E50" s="128">
        <v>45685</v>
      </c>
      <c r="F50" s="127" t="s">
        <v>375</v>
      </c>
      <c r="G50" s="127" t="s">
        <v>62</v>
      </c>
      <c r="H50" s="129">
        <v>50206.47</v>
      </c>
      <c r="I50" s="106">
        <v>0.27200000000000002</v>
      </c>
      <c r="J50" s="126" t="s">
        <v>831</v>
      </c>
    </row>
    <row r="51" spans="1:10" x14ac:dyDescent="0.3">
      <c r="A51" s="126" t="s">
        <v>392</v>
      </c>
      <c r="B51" s="126" t="s">
        <v>4</v>
      </c>
      <c r="C51" s="127" t="s">
        <v>963</v>
      </c>
      <c r="D51" s="130" t="s">
        <v>964</v>
      </c>
      <c r="E51" s="128">
        <v>45685</v>
      </c>
      <c r="F51" s="127" t="s">
        <v>370</v>
      </c>
      <c r="G51" s="127" t="s">
        <v>63</v>
      </c>
      <c r="H51" s="129">
        <v>6928.26</v>
      </c>
      <c r="I51" s="106">
        <v>0.53800000000000003</v>
      </c>
      <c r="J51" s="126" t="s">
        <v>830</v>
      </c>
    </row>
    <row r="52" spans="1:10" x14ac:dyDescent="0.3">
      <c r="A52" s="126" t="s">
        <v>392</v>
      </c>
      <c r="B52" s="126" t="s">
        <v>4</v>
      </c>
      <c r="C52" s="127" t="s">
        <v>965</v>
      </c>
      <c r="D52" s="130" t="s">
        <v>966</v>
      </c>
      <c r="E52" s="128">
        <v>45685</v>
      </c>
      <c r="F52" s="127" t="s">
        <v>370</v>
      </c>
      <c r="G52" s="127" t="s">
        <v>63</v>
      </c>
      <c r="H52" s="129">
        <v>14661.91</v>
      </c>
      <c r="I52" s="106">
        <v>0.47499999999999998</v>
      </c>
      <c r="J52" s="126" t="s">
        <v>830</v>
      </c>
    </row>
    <row r="53" spans="1:10" x14ac:dyDescent="0.3">
      <c r="A53" s="126" t="s">
        <v>392</v>
      </c>
      <c r="B53" s="126" t="s">
        <v>4</v>
      </c>
      <c r="C53" s="127" t="s">
        <v>967</v>
      </c>
      <c r="D53" s="127" t="s">
        <v>968</v>
      </c>
      <c r="E53" s="128">
        <v>45685</v>
      </c>
      <c r="F53" s="127" t="s">
        <v>370</v>
      </c>
      <c r="G53" s="127" t="s">
        <v>63</v>
      </c>
      <c r="H53" s="129">
        <v>3073.13</v>
      </c>
      <c r="I53" s="106">
        <v>0.61</v>
      </c>
      <c r="J53" s="126" t="s">
        <v>830</v>
      </c>
    </row>
    <row r="54" spans="1:10" x14ac:dyDescent="0.3">
      <c r="A54" s="126" t="s">
        <v>390</v>
      </c>
      <c r="B54" s="126" t="s">
        <v>4</v>
      </c>
      <c r="C54" s="127" t="s">
        <v>969</v>
      </c>
      <c r="D54" s="130" t="s">
        <v>970</v>
      </c>
      <c r="E54" s="128">
        <v>45685</v>
      </c>
      <c r="F54" s="127" t="s">
        <v>375</v>
      </c>
      <c r="G54" s="127" t="s">
        <v>62</v>
      </c>
      <c r="H54" s="129">
        <v>86910</v>
      </c>
      <c r="I54" s="107">
        <v>0.37</v>
      </c>
      <c r="J54" s="126" t="s">
        <v>831</v>
      </c>
    </row>
    <row r="55" spans="1:10" x14ac:dyDescent="0.3">
      <c r="A55" s="126" t="s">
        <v>390</v>
      </c>
      <c r="B55" s="126" t="s">
        <v>4</v>
      </c>
      <c r="C55" s="127" t="s">
        <v>971</v>
      </c>
      <c r="D55" s="127" t="s">
        <v>972</v>
      </c>
      <c r="E55" s="128">
        <v>45685</v>
      </c>
      <c r="F55" s="127" t="s">
        <v>375</v>
      </c>
      <c r="G55" s="127" t="s">
        <v>62</v>
      </c>
      <c r="H55" s="129">
        <v>1627.5</v>
      </c>
      <c r="I55" s="106">
        <v>0.34289999999999998</v>
      </c>
      <c r="J55" s="126" t="s">
        <v>831</v>
      </c>
    </row>
    <row r="56" spans="1:10" x14ac:dyDescent="0.3">
      <c r="A56" s="126" t="s">
        <v>392</v>
      </c>
      <c r="B56" s="126" t="s">
        <v>4</v>
      </c>
      <c r="C56" s="127" t="s">
        <v>973</v>
      </c>
      <c r="D56" s="127" t="s">
        <v>974</v>
      </c>
      <c r="E56" s="128">
        <v>45685</v>
      </c>
      <c r="F56" s="127" t="s">
        <v>370</v>
      </c>
      <c r="G56" s="127" t="s">
        <v>63</v>
      </c>
      <c r="H56" s="129">
        <v>15815.59</v>
      </c>
      <c r="I56" s="106">
        <v>0.76600000000000001</v>
      </c>
      <c r="J56" s="126" t="s">
        <v>830</v>
      </c>
    </row>
    <row r="57" spans="1:10" x14ac:dyDescent="0.3">
      <c r="A57" s="126" t="s">
        <v>390</v>
      </c>
      <c r="B57" s="126" t="s">
        <v>4</v>
      </c>
      <c r="C57" s="127" t="s">
        <v>975</v>
      </c>
      <c r="D57" s="130" t="s">
        <v>976</v>
      </c>
      <c r="E57" s="128">
        <v>45687</v>
      </c>
      <c r="F57" s="127" t="s">
        <v>371</v>
      </c>
      <c r="G57" s="127" t="s">
        <v>864</v>
      </c>
      <c r="H57" s="129">
        <v>14016.38</v>
      </c>
      <c r="I57" s="106">
        <v>0.50800000000000001</v>
      </c>
      <c r="J57" s="126" t="s">
        <v>832</v>
      </c>
    </row>
    <row r="58" spans="1:10" x14ac:dyDescent="0.3">
      <c r="A58" s="126" t="s">
        <v>390</v>
      </c>
      <c r="B58" s="126" t="s">
        <v>4</v>
      </c>
      <c r="C58" s="127" t="s">
        <v>977</v>
      </c>
      <c r="D58" s="130" t="s">
        <v>978</v>
      </c>
      <c r="E58" s="128">
        <v>45687</v>
      </c>
      <c r="F58" s="127" t="s">
        <v>371</v>
      </c>
      <c r="G58" s="127" t="s">
        <v>864</v>
      </c>
      <c r="H58" s="129">
        <v>34614.5</v>
      </c>
      <c r="I58" s="106">
        <v>0.27200000000000002</v>
      </c>
      <c r="J58" s="126" t="s">
        <v>832</v>
      </c>
    </row>
    <row r="59" spans="1:10" x14ac:dyDescent="0.3">
      <c r="A59" s="126" t="s">
        <v>392</v>
      </c>
      <c r="B59" s="126" t="s">
        <v>4</v>
      </c>
      <c r="C59" s="127" t="s">
        <v>979</v>
      </c>
      <c r="D59" s="127" t="s">
        <v>980</v>
      </c>
      <c r="E59" s="128">
        <v>45687</v>
      </c>
      <c r="F59" s="127" t="s">
        <v>842</v>
      </c>
      <c r="G59" s="127" t="s">
        <v>843</v>
      </c>
      <c r="H59" s="129">
        <v>22000</v>
      </c>
      <c r="I59" s="106">
        <v>0.437</v>
      </c>
      <c r="J59" s="126" t="s">
        <v>1018</v>
      </c>
    </row>
    <row r="60" spans="1:10" x14ac:dyDescent="0.3">
      <c r="A60" s="126" t="s">
        <v>392</v>
      </c>
      <c r="B60" s="126" t="s">
        <v>4</v>
      </c>
      <c r="C60" s="127" t="s">
        <v>981</v>
      </c>
      <c r="D60" s="127" t="s">
        <v>982</v>
      </c>
      <c r="E60" s="128">
        <v>45687</v>
      </c>
      <c r="F60" s="127" t="s">
        <v>844</v>
      </c>
      <c r="G60" s="127" t="s">
        <v>863</v>
      </c>
      <c r="H60" s="129">
        <v>27288.7</v>
      </c>
      <c r="I60" s="106">
        <v>0.35899999999999999</v>
      </c>
      <c r="J60" s="126" t="s">
        <v>831</v>
      </c>
    </row>
    <row r="61" spans="1:10" x14ac:dyDescent="0.3">
      <c r="A61" s="126" t="s">
        <v>392</v>
      </c>
      <c r="B61" s="126" t="s">
        <v>4</v>
      </c>
      <c r="C61" s="127" t="s">
        <v>983</v>
      </c>
      <c r="D61" s="127" t="s">
        <v>984</v>
      </c>
      <c r="E61" s="128">
        <v>45688</v>
      </c>
      <c r="F61" s="127" t="s">
        <v>619</v>
      </c>
      <c r="G61" s="127" t="s">
        <v>16</v>
      </c>
      <c r="H61" s="129">
        <v>7483.43</v>
      </c>
      <c r="I61" s="106">
        <v>0.495</v>
      </c>
      <c r="J61" s="126" t="s">
        <v>831</v>
      </c>
    </row>
    <row r="62" spans="1:10" x14ac:dyDescent="0.3">
      <c r="A62" s="126" t="s">
        <v>390</v>
      </c>
      <c r="B62" s="126" t="s">
        <v>4</v>
      </c>
      <c r="C62" s="127" t="s">
        <v>985</v>
      </c>
      <c r="D62" s="127" t="s">
        <v>860</v>
      </c>
      <c r="E62" s="128">
        <v>45688</v>
      </c>
      <c r="F62" s="127" t="s">
        <v>619</v>
      </c>
      <c r="G62" s="127" t="s">
        <v>16</v>
      </c>
      <c r="H62" s="129">
        <v>2170</v>
      </c>
      <c r="I62" s="106">
        <v>0.311</v>
      </c>
      <c r="J62" s="126" t="s">
        <v>831</v>
      </c>
    </row>
    <row r="63" spans="1:10" x14ac:dyDescent="0.3">
      <c r="A63" s="126" t="s">
        <v>392</v>
      </c>
      <c r="B63" s="126" t="s">
        <v>4</v>
      </c>
      <c r="C63" s="127" t="s">
        <v>986</v>
      </c>
      <c r="D63" s="127" t="s">
        <v>987</v>
      </c>
      <c r="E63" s="128">
        <v>45688</v>
      </c>
      <c r="F63" s="127" t="s">
        <v>370</v>
      </c>
      <c r="G63" s="127" t="s">
        <v>63</v>
      </c>
      <c r="H63" s="129">
        <v>14110.06</v>
      </c>
      <c r="I63" s="106">
        <v>0.61</v>
      </c>
      <c r="J63" s="126" t="s">
        <v>830</v>
      </c>
    </row>
    <row r="64" spans="1:10" x14ac:dyDescent="0.3">
      <c r="A64" s="126" t="s">
        <v>392</v>
      </c>
      <c r="B64" s="126" t="s">
        <v>4</v>
      </c>
      <c r="C64" s="127" t="s">
        <v>988</v>
      </c>
      <c r="D64" s="127" t="s">
        <v>989</v>
      </c>
      <c r="E64" s="128">
        <v>45688</v>
      </c>
      <c r="F64" s="127" t="s">
        <v>370</v>
      </c>
      <c r="G64" s="127" t="s">
        <v>63</v>
      </c>
      <c r="H64" s="129">
        <v>14710.06</v>
      </c>
      <c r="I64" s="106">
        <v>0.626</v>
      </c>
      <c r="J64" s="126" t="s">
        <v>830</v>
      </c>
    </row>
    <row r="65" spans="1:11" x14ac:dyDescent="0.3">
      <c r="A65" s="126" t="s">
        <v>390</v>
      </c>
      <c r="B65" s="126" t="s">
        <v>4</v>
      </c>
      <c r="C65" s="127" t="s">
        <v>990</v>
      </c>
      <c r="D65" s="127" t="s">
        <v>991</v>
      </c>
      <c r="E65" s="128">
        <v>45688</v>
      </c>
      <c r="F65" s="127" t="s">
        <v>854</v>
      </c>
      <c r="G65" s="127" t="s">
        <v>855</v>
      </c>
      <c r="H65" s="129">
        <v>29447.57</v>
      </c>
      <c r="I65" s="106">
        <v>0.34200000000000003</v>
      </c>
      <c r="J65" s="126" t="s">
        <v>831</v>
      </c>
    </row>
    <row r="66" spans="1:11" x14ac:dyDescent="0.3">
      <c r="A66" s="126" t="s">
        <v>392</v>
      </c>
      <c r="B66" s="126" t="s">
        <v>4</v>
      </c>
      <c r="C66" s="127" t="s">
        <v>992</v>
      </c>
      <c r="D66" s="127" t="s">
        <v>993</v>
      </c>
      <c r="E66" s="128">
        <v>45688</v>
      </c>
      <c r="F66" s="127" t="s">
        <v>844</v>
      </c>
      <c r="G66" s="127" t="s">
        <v>863</v>
      </c>
      <c r="H66" s="129">
        <v>21730.959999999999</v>
      </c>
      <c r="I66" s="106">
        <v>0.248</v>
      </c>
      <c r="J66" s="126" t="s">
        <v>831</v>
      </c>
    </row>
    <row r="67" spans="1:11" x14ac:dyDescent="0.3">
      <c r="A67" s="126" t="s">
        <v>392</v>
      </c>
      <c r="B67" s="126" t="s">
        <v>4</v>
      </c>
      <c r="C67" s="127" t="s">
        <v>994</v>
      </c>
      <c r="D67" s="127" t="s">
        <v>995</v>
      </c>
      <c r="E67" s="128">
        <v>45688</v>
      </c>
      <c r="F67" s="127" t="s">
        <v>844</v>
      </c>
      <c r="G67" s="127" t="s">
        <v>863</v>
      </c>
      <c r="H67" s="129">
        <v>17400</v>
      </c>
      <c r="I67" s="107">
        <v>0.46</v>
      </c>
      <c r="J67" s="126" t="s">
        <v>831</v>
      </c>
    </row>
    <row r="68" spans="1:11" x14ac:dyDescent="0.3">
      <c r="A68" s="126" t="s">
        <v>390</v>
      </c>
      <c r="B68" s="126" t="s">
        <v>4</v>
      </c>
      <c r="C68" s="127" t="s">
        <v>996</v>
      </c>
      <c r="D68" s="127" t="s">
        <v>997</v>
      </c>
      <c r="E68" s="128">
        <v>45688</v>
      </c>
      <c r="F68" s="127" t="s">
        <v>375</v>
      </c>
      <c r="G68" s="127" t="s">
        <v>62</v>
      </c>
      <c r="H68" s="129">
        <v>45120.39</v>
      </c>
      <c r="I68" s="106">
        <v>0.26300000000000001</v>
      </c>
      <c r="J68" s="126" t="s">
        <v>831</v>
      </c>
    </row>
    <row r="69" spans="1:11" x14ac:dyDescent="0.3">
      <c r="A69" s="126" t="s">
        <v>390</v>
      </c>
      <c r="B69" s="126" t="s">
        <v>4</v>
      </c>
      <c r="C69" s="127" t="s">
        <v>998</v>
      </c>
      <c r="D69" s="127" t="s">
        <v>999</v>
      </c>
      <c r="E69" s="128">
        <v>45688</v>
      </c>
      <c r="F69" s="127" t="s">
        <v>375</v>
      </c>
      <c r="G69" s="127" t="s">
        <v>62</v>
      </c>
      <c r="H69" s="129">
        <v>98665</v>
      </c>
      <c r="I69" s="106">
        <v>0.34899999999999998</v>
      </c>
      <c r="J69" s="126" t="s">
        <v>831</v>
      </c>
    </row>
    <row r="70" spans="1:11" x14ac:dyDescent="0.3">
      <c r="A70" s="126" t="s">
        <v>390</v>
      </c>
      <c r="B70" s="126" t="s">
        <v>4</v>
      </c>
      <c r="C70" s="126" t="s">
        <v>1000</v>
      </c>
      <c r="D70" s="126" t="s">
        <v>901</v>
      </c>
      <c r="E70" s="131">
        <v>45670</v>
      </c>
      <c r="F70" s="126" t="s">
        <v>811</v>
      </c>
      <c r="G70" s="127" t="s">
        <v>813</v>
      </c>
      <c r="H70" s="132">
        <v>31460.280705000001</v>
      </c>
      <c r="I70" s="106">
        <v>0.314</v>
      </c>
      <c r="J70" s="126" t="s">
        <v>832</v>
      </c>
    </row>
    <row r="71" spans="1:11" x14ac:dyDescent="0.3">
      <c r="A71" s="126" t="s">
        <v>392</v>
      </c>
      <c r="B71" s="126" t="s">
        <v>4</v>
      </c>
      <c r="C71" s="126" t="s">
        <v>1001</v>
      </c>
      <c r="D71" s="126" t="s">
        <v>1002</v>
      </c>
      <c r="E71" s="131">
        <v>45680</v>
      </c>
      <c r="F71" s="126" t="s">
        <v>844</v>
      </c>
      <c r="G71" s="127" t="s">
        <v>863</v>
      </c>
      <c r="H71" s="132">
        <v>18116.4375</v>
      </c>
      <c r="I71" s="107">
        <v>0.27</v>
      </c>
      <c r="J71" s="126" t="s">
        <v>831</v>
      </c>
    </row>
    <row r="72" spans="1:11" x14ac:dyDescent="0.3">
      <c r="A72" s="126" t="s">
        <v>392</v>
      </c>
      <c r="B72" s="126" t="s">
        <v>4</v>
      </c>
      <c r="C72" s="126" t="s">
        <v>1003</v>
      </c>
      <c r="D72" s="126" t="s">
        <v>1004</v>
      </c>
      <c r="E72" s="131">
        <v>45680</v>
      </c>
      <c r="F72" s="126" t="s">
        <v>844</v>
      </c>
      <c r="G72" s="127" t="s">
        <v>863</v>
      </c>
      <c r="H72" s="132">
        <v>140301.69999999998</v>
      </c>
      <c r="I72" s="106">
        <v>0.17499999999999999</v>
      </c>
      <c r="J72" s="126" t="s">
        <v>831</v>
      </c>
    </row>
    <row r="73" spans="1:11" x14ac:dyDescent="0.3">
      <c r="A73" s="126" t="s">
        <v>390</v>
      </c>
      <c r="B73" s="126" t="s">
        <v>4</v>
      </c>
      <c r="C73" s="126" t="s">
        <v>1005</v>
      </c>
      <c r="D73" s="126" t="s">
        <v>1006</v>
      </c>
      <c r="E73" s="131">
        <v>45681</v>
      </c>
      <c r="F73" s="126" t="s">
        <v>1007</v>
      </c>
      <c r="G73" s="127" t="s">
        <v>865</v>
      </c>
      <c r="H73" s="132">
        <v>83820.573000000004</v>
      </c>
      <c r="I73" s="106">
        <v>0.34599999999999997</v>
      </c>
      <c r="J73" s="126" t="s">
        <v>831</v>
      </c>
      <c r="K73" s="44" t="s">
        <v>1542</v>
      </c>
    </row>
    <row r="74" spans="1:11" x14ac:dyDescent="0.3">
      <c r="A74" s="126" t="s">
        <v>390</v>
      </c>
      <c r="B74" s="126" t="s">
        <v>4</v>
      </c>
      <c r="C74" s="126" t="s">
        <v>1008</v>
      </c>
      <c r="D74" s="126" t="s">
        <v>1009</v>
      </c>
      <c r="E74" s="131">
        <v>45681</v>
      </c>
      <c r="F74" s="127" t="s">
        <v>372</v>
      </c>
      <c r="G74" s="127" t="s">
        <v>10</v>
      </c>
      <c r="H74" s="132">
        <v>114208.08</v>
      </c>
      <c r="I74" s="106">
        <v>0.27100000000000002</v>
      </c>
      <c r="J74" s="126" t="s">
        <v>833</v>
      </c>
    </row>
    <row r="75" spans="1:11" x14ac:dyDescent="0.3">
      <c r="A75" s="126" t="s">
        <v>392</v>
      </c>
      <c r="B75" s="126" t="s">
        <v>4</v>
      </c>
      <c r="C75" s="126" t="s">
        <v>1010</v>
      </c>
      <c r="D75" s="126" t="s">
        <v>1011</v>
      </c>
      <c r="E75" s="131">
        <v>45687</v>
      </c>
      <c r="F75" s="126" t="s">
        <v>844</v>
      </c>
      <c r="G75" s="127" t="s">
        <v>863</v>
      </c>
      <c r="H75" s="132">
        <v>125977.16249999999</v>
      </c>
      <c r="I75" s="106">
        <v>0.20499999999999999</v>
      </c>
      <c r="J75" s="126" t="s">
        <v>831</v>
      </c>
    </row>
    <row r="76" spans="1:11" x14ac:dyDescent="0.3">
      <c r="A76" s="126" t="s">
        <v>390</v>
      </c>
      <c r="B76" s="126" t="s">
        <v>4</v>
      </c>
      <c r="C76" s="126" t="s">
        <v>1012</v>
      </c>
      <c r="D76" s="126" t="s">
        <v>1013</v>
      </c>
      <c r="E76" s="131">
        <v>45687</v>
      </c>
      <c r="F76" s="126" t="s">
        <v>811</v>
      </c>
      <c r="G76" s="127" t="s">
        <v>813</v>
      </c>
      <c r="H76" s="132">
        <v>7712.8874999999998</v>
      </c>
      <c r="I76" s="107">
        <v>0.3</v>
      </c>
      <c r="J76" s="126" t="s">
        <v>832</v>
      </c>
    </row>
    <row r="77" spans="1:11" x14ac:dyDescent="0.3">
      <c r="A77" s="126" t="s">
        <v>390</v>
      </c>
      <c r="B77" s="126" t="s">
        <v>4</v>
      </c>
      <c r="C77" s="126" t="s">
        <v>1014</v>
      </c>
      <c r="D77" s="126" t="s">
        <v>841</v>
      </c>
      <c r="E77" s="131">
        <v>45687</v>
      </c>
      <c r="F77" s="126" t="s">
        <v>811</v>
      </c>
      <c r="G77" s="127" t="s">
        <v>813</v>
      </c>
      <c r="H77" s="132">
        <v>5141.9249999999993</v>
      </c>
      <c r="I77" s="106">
        <v>0.23200000000000001</v>
      </c>
      <c r="J77" s="126" t="s">
        <v>832</v>
      </c>
    </row>
    <row r="78" spans="1:11" x14ac:dyDescent="0.3">
      <c r="A78" s="126" t="s">
        <v>390</v>
      </c>
      <c r="B78" s="126" t="s">
        <v>4</v>
      </c>
      <c r="C78" s="126" t="s">
        <v>1015</v>
      </c>
      <c r="D78" s="126" t="s">
        <v>1016</v>
      </c>
      <c r="E78" s="131">
        <v>45688</v>
      </c>
      <c r="F78" s="126" t="s">
        <v>1017</v>
      </c>
      <c r="G78" s="127" t="s">
        <v>862</v>
      </c>
      <c r="H78" s="132">
        <v>1230867.443</v>
      </c>
      <c r="I78" s="137">
        <v>-0.36399999999999999</v>
      </c>
      <c r="J78" s="126" t="s">
        <v>1018</v>
      </c>
    </row>
    <row r="79" spans="1:11" x14ac:dyDescent="0.3">
      <c r="A79" s="126" t="s">
        <v>390</v>
      </c>
      <c r="B79" s="126" t="s">
        <v>1019</v>
      </c>
      <c r="C79" s="53" t="s">
        <v>1020</v>
      </c>
      <c r="D79" s="53" t="s">
        <v>1009</v>
      </c>
      <c r="E79" s="131">
        <v>45694</v>
      </c>
      <c r="F79" s="127" t="s">
        <v>372</v>
      </c>
      <c r="G79" s="127" t="s">
        <v>10</v>
      </c>
      <c r="H79" s="54">
        <v>107360.24</v>
      </c>
      <c r="I79" s="137">
        <v>0.27100000000000002</v>
      </c>
      <c r="J79" s="44" t="s">
        <v>833</v>
      </c>
    </row>
    <row r="80" spans="1:11" x14ac:dyDescent="0.3">
      <c r="A80" s="126" t="s">
        <v>390</v>
      </c>
      <c r="B80" s="126" t="s">
        <v>1019</v>
      </c>
      <c r="C80" s="53" t="s">
        <v>1021</v>
      </c>
      <c r="D80" s="53" t="s">
        <v>1022</v>
      </c>
      <c r="E80" s="131">
        <v>45694</v>
      </c>
      <c r="F80" s="127" t="s">
        <v>372</v>
      </c>
      <c r="G80" s="127" t="s">
        <v>10</v>
      </c>
      <c r="H80" s="54">
        <v>73868.289999999994</v>
      </c>
      <c r="I80" s="137">
        <v>0.28799999999999998</v>
      </c>
      <c r="J80" s="44" t="s">
        <v>833</v>
      </c>
    </row>
    <row r="81" spans="1:10" x14ac:dyDescent="0.3">
      <c r="A81" s="126" t="s">
        <v>390</v>
      </c>
      <c r="B81" s="126" t="s">
        <v>1019</v>
      </c>
      <c r="C81" s="53" t="s">
        <v>1023</v>
      </c>
      <c r="D81" s="53" t="s">
        <v>1024</v>
      </c>
      <c r="E81" s="131">
        <v>45694</v>
      </c>
      <c r="F81" s="53" t="s">
        <v>371</v>
      </c>
      <c r="G81" s="127" t="s">
        <v>864</v>
      </c>
      <c r="H81" s="54">
        <v>13293.3</v>
      </c>
      <c r="I81" s="137">
        <v>0.41399999999999998</v>
      </c>
      <c r="J81" s="44" t="s">
        <v>832</v>
      </c>
    </row>
    <row r="82" spans="1:10" x14ac:dyDescent="0.3">
      <c r="A82" s="126" t="s">
        <v>390</v>
      </c>
      <c r="B82" s="126" t="s">
        <v>1019</v>
      </c>
      <c r="C82" s="53" t="s">
        <v>1025</v>
      </c>
      <c r="D82" s="53" t="s">
        <v>1026</v>
      </c>
      <c r="E82" s="131">
        <v>45694</v>
      </c>
      <c r="F82" s="127" t="s">
        <v>375</v>
      </c>
      <c r="G82" s="127" t="s">
        <v>62</v>
      </c>
      <c r="H82" s="54">
        <v>143742.45000000001</v>
      </c>
      <c r="I82" s="137">
        <v>0.36099999999999999</v>
      </c>
      <c r="J82" s="44" t="s">
        <v>831</v>
      </c>
    </row>
    <row r="83" spans="1:10" x14ac:dyDescent="0.3">
      <c r="A83" s="126" t="s">
        <v>392</v>
      </c>
      <c r="B83" s="126" t="s">
        <v>1019</v>
      </c>
      <c r="C83" s="53" t="s">
        <v>1027</v>
      </c>
      <c r="D83" s="53" t="s">
        <v>1028</v>
      </c>
      <c r="E83" s="131">
        <v>45695</v>
      </c>
      <c r="F83" s="127" t="s">
        <v>372</v>
      </c>
      <c r="G83" s="127" t="s">
        <v>10</v>
      </c>
      <c r="H83" s="54">
        <v>26000.04</v>
      </c>
      <c r="I83" s="138">
        <v>0.38600000000000001</v>
      </c>
      <c r="J83" s="44" t="s">
        <v>848</v>
      </c>
    </row>
    <row r="84" spans="1:10" x14ac:dyDescent="0.3">
      <c r="A84" s="126" t="s">
        <v>392</v>
      </c>
      <c r="B84" s="126" t="s">
        <v>1019</v>
      </c>
      <c r="C84" s="53" t="s">
        <v>1029</v>
      </c>
      <c r="D84" s="63" t="s">
        <v>1030</v>
      </c>
      <c r="E84" s="131">
        <v>45695</v>
      </c>
      <c r="F84" s="127" t="s">
        <v>371</v>
      </c>
      <c r="G84" s="127" t="s">
        <v>864</v>
      </c>
      <c r="H84" s="54">
        <v>15295.72</v>
      </c>
      <c r="I84" s="137">
        <v>0.85599999999999998</v>
      </c>
      <c r="J84" s="44" t="s">
        <v>848</v>
      </c>
    </row>
    <row r="85" spans="1:10" x14ac:dyDescent="0.3">
      <c r="A85" s="126" t="s">
        <v>390</v>
      </c>
      <c r="B85" s="126" t="s">
        <v>1019</v>
      </c>
      <c r="C85" s="53" t="s">
        <v>1031</v>
      </c>
      <c r="D85" s="53" t="s">
        <v>1032</v>
      </c>
      <c r="E85" s="131">
        <v>45699</v>
      </c>
      <c r="F85" s="127" t="s">
        <v>844</v>
      </c>
      <c r="G85" s="127" t="s">
        <v>863</v>
      </c>
      <c r="H85" s="54">
        <v>21320.23</v>
      </c>
      <c r="I85" s="137">
        <v>0.25900000000000001</v>
      </c>
      <c r="J85" s="44" t="s">
        <v>831</v>
      </c>
    </row>
    <row r="86" spans="1:10" x14ac:dyDescent="0.3">
      <c r="A86" s="126" t="s">
        <v>392</v>
      </c>
      <c r="B86" s="126" t="s">
        <v>1019</v>
      </c>
      <c r="C86" s="53" t="s">
        <v>1033</v>
      </c>
      <c r="D86" s="53" t="s">
        <v>1034</v>
      </c>
      <c r="E86" s="131">
        <v>45699</v>
      </c>
      <c r="F86" s="127" t="s">
        <v>842</v>
      </c>
      <c r="G86" s="127" t="s">
        <v>843</v>
      </c>
      <c r="H86" s="54">
        <v>66000</v>
      </c>
      <c r="I86" s="138">
        <v>0.438</v>
      </c>
      <c r="J86" s="44" t="s">
        <v>832</v>
      </c>
    </row>
    <row r="87" spans="1:10" x14ac:dyDescent="0.3">
      <c r="A87" s="126" t="s">
        <v>392</v>
      </c>
      <c r="B87" s="126" t="s">
        <v>1019</v>
      </c>
      <c r="C87" s="53" t="s">
        <v>1035</v>
      </c>
      <c r="D87" s="53" t="s">
        <v>1036</v>
      </c>
      <c r="E87" s="131">
        <v>45699</v>
      </c>
      <c r="F87" s="127" t="s">
        <v>370</v>
      </c>
      <c r="G87" s="127" t="s">
        <v>63</v>
      </c>
      <c r="H87" s="54">
        <v>8039.94</v>
      </c>
      <c r="I87" s="137">
        <v>0.74199999999999999</v>
      </c>
      <c r="J87" s="44" t="s">
        <v>830</v>
      </c>
    </row>
    <row r="88" spans="1:10" x14ac:dyDescent="0.3">
      <c r="A88" s="126" t="s">
        <v>392</v>
      </c>
      <c r="B88" s="126" t="s">
        <v>1019</v>
      </c>
      <c r="C88" s="53" t="s">
        <v>1037</v>
      </c>
      <c r="D88" s="53" t="s">
        <v>1038</v>
      </c>
      <c r="E88" s="131">
        <v>45699</v>
      </c>
      <c r="F88" s="127" t="s">
        <v>370</v>
      </c>
      <c r="G88" s="127" t="s">
        <v>63</v>
      </c>
      <c r="H88" s="54">
        <v>4121.3599999999997</v>
      </c>
      <c r="I88" s="137">
        <v>0.56299999999999994</v>
      </c>
      <c r="J88" s="44" t="s">
        <v>830</v>
      </c>
    </row>
    <row r="89" spans="1:10" x14ac:dyDescent="0.3">
      <c r="A89" s="126" t="s">
        <v>392</v>
      </c>
      <c r="B89" s="126" t="s">
        <v>1019</v>
      </c>
      <c r="C89" s="53" t="s">
        <v>1039</v>
      </c>
      <c r="D89" s="53" t="s">
        <v>1040</v>
      </c>
      <c r="E89" s="131">
        <v>45699</v>
      </c>
      <c r="F89" s="127" t="s">
        <v>370</v>
      </c>
      <c r="G89" s="127" t="s">
        <v>63</v>
      </c>
      <c r="H89" s="54">
        <v>8071.36</v>
      </c>
      <c r="I89" s="138">
        <v>0.74299999999999999</v>
      </c>
      <c r="J89" s="44" t="s">
        <v>830</v>
      </c>
    </row>
    <row r="90" spans="1:10" x14ac:dyDescent="0.3">
      <c r="A90" s="126" t="s">
        <v>392</v>
      </c>
      <c r="B90" s="126" t="s">
        <v>1019</v>
      </c>
      <c r="C90" s="53" t="s">
        <v>1041</v>
      </c>
      <c r="D90" s="53" t="s">
        <v>1042</v>
      </c>
      <c r="E90" s="131">
        <v>45699</v>
      </c>
      <c r="F90" s="127" t="s">
        <v>370</v>
      </c>
      <c r="G90" s="127" t="s">
        <v>63</v>
      </c>
      <c r="H90" s="54">
        <v>8035.36</v>
      </c>
      <c r="I90" s="138">
        <v>0.74199999999999999</v>
      </c>
      <c r="J90" s="44" t="s">
        <v>830</v>
      </c>
    </row>
    <row r="91" spans="1:10" x14ac:dyDescent="0.3">
      <c r="A91" s="126" t="s">
        <v>392</v>
      </c>
      <c r="B91" s="126" t="s">
        <v>1019</v>
      </c>
      <c r="C91" s="53" t="s">
        <v>1043</v>
      </c>
      <c r="D91" s="53" t="s">
        <v>1044</v>
      </c>
      <c r="E91" s="131">
        <v>45699</v>
      </c>
      <c r="F91" s="127" t="s">
        <v>370</v>
      </c>
      <c r="G91" s="127" t="s">
        <v>63</v>
      </c>
      <c r="H91" s="54">
        <v>8035.36</v>
      </c>
      <c r="I91" s="138">
        <v>0.74199999999999999</v>
      </c>
      <c r="J91" s="44" t="s">
        <v>830</v>
      </c>
    </row>
    <row r="92" spans="1:10" x14ac:dyDescent="0.3">
      <c r="A92" s="126" t="s">
        <v>392</v>
      </c>
      <c r="B92" s="126" t="s">
        <v>1019</v>
      </c>
      <c r="C92" s="53" t="s">
        <v>1045</v>
      </c>
      <c r="D92" s="63" t="s">
        <v>1046</v>
      </c>
      <c r="E92" s="131">
        <v>45699</v>
      </c>
      <c r="F92" s="127" t="s">
        <v>370</v>
      </c>
      <c r="G92" s="127" t="s">
        <v>63</v>
      </c>
      <c r="H92" s="54">
        <v>8022.43</v>
      </c>
      <c r="I92" s="138">
        <v>0.74099999999999999</v>
      </c>
      <c r="J92" s="44" t="s">
        <v>830</v>
      </c>
    </row>
    <row r="93" spans="1:10" x14ac:dyDescent="0.3">
      <c r="A93" s="126" t="s">
        <v>392</v>
      </c>
      <c r="B93" s="126" t="s">
        <v>1019</v>
      </c>
      <c r="C93" s="53" t="s">
        <v>1047</v>
      </c>
      <c r="D93" s="63" t="s">
        <v>1048</v>
      </c>
      <c r="E93" s="131">
        <v>45699</v>
      </c>
      <c r="F93" s="127" t="s">
        <v>370</v>
      </c>
      <c r="G93" s="127" t="s">
        <v>63</v>
      </c>
      <c r="H93" s="54">
        <v>8025.02</v>
      </c>
      <c r="I93" s="138">
        <v>0.74099999999999999</v>
      </c>
      <c r="J93" s="44" t="s">
        <v>830</v>
      </c>
    </row>
    <row r="94" spans="1:10" x14ac:dyDescent="0.3">
      <c r="A94" s="126" t="s">
        <v>392</v>
      </c>
      <c r="B94" s="126" t="s">
        <v>1019</v>
      </c>
      <c r="C94" s="53" t="s">
        <v>1049</v>
      </c>
      <c r="D94" s="63" t="s">
        <v>1050</v>
      </c>
      <c r="E94" s="131">
        <v>45699</v>
      </c>
      <c r="F94" s="127" t="s">
        <v>372</v>
      </c>
      <c r="G94" s="127" t="s">
        <v>10</v>
      </c>
      <c r="H94" s="54">
        <v>9013.77</v>
      </c>
      <c r="I94" s="138">
        <v>0.42699999999999999</v>
      </c>
      <c r="J94" s="44" t="s">
        <v>848</v>
      </c>
    </row>
    <row r="95" spans="1:10" x14ac:dyDescent="0.3">
      <c r="A95" s="126" t="s">
        <v>392</v>
      </c>
      <c r="B95" s="126" t="s">
        <v>1019</v>
      </c>
      <c r="C95" s="53" t="s">
        <v>1051</v>
      </c>
      <c r="D95" s="63" t="s">
        <v>1052</v>
      </c>
      <c r="E95" s="131">
        <v>45700</v>
      </c>
      <c r="F95" s="127" t="s">
        <v>370</v>
      </c>
      <c r="G95" s="127" t="s">
        <v>63</v>
      </c>
      <c r="H95" s="54">
        <v>9677.26</v>
      </c>
      <c r="I95" s="138">
        <v>0.70299999999999996</v>
      </c>
      <c r="J95" s="44" t="s">
        <v>830</v>
      </c>
    </row>
    <row r="96" spans="1:10" x14ac:dyDescent="0.3">
      <c r="A96" s="126" t="s">
        <v>392</v>
      </c>
      <c r="B96" s="126" t="s">
        <v>1019</v>
      </c>
      <c r="C96" s="53" t="s">
        <v>1053</v>
      </c>
      <c r="D96" s="63" t="s">
        <v>1054</v>
      </c>
      <c r="E96" s="131">
        <v>45700</v>
      </c>
      <c r="F96" s="127" t="s">
        <v>370</v>
      </c>
      <c r="G96" s="127" t="s">
        <v>63</v>
      </c>
      <c r="H96" s="54">
        <v>20291.439999999999</v>
      </c>
      <c r="I96" s="138">
        <v>0.72499999999999998</v>
      </c>
      <c r="J96" s="44" t="s">
        <v>830</v>
      </c>
    </row>
    <row r="97" spans="1:10" x14ac:dyDescent="0.3">
      <c r="A97" s="126" t="s">
        <v>390</v>
      </c>
      <c r="B97" s="126" t="s">
        <v>1019</v>
      </c>
      <c r="C97" s="53" t="s">
        <v>1055</v>
      </c>
      <c r="D97" s="63" t="s">
        <v>1056</v>
      </c>
      <c r="E97" s="131">
        <v>45700</v>
      </c>
      <c r="F97" s="127" t="s">
        <v>372</v>
      </c>
      <c r="G97" s="127" t="s">
        <v>10</v>
      </c>
      <c r="H97" s="54">
        <v>38816.61</v>
      </c>
      <c r="I97" s="138">
        <v>0.25600000000000001</v>
      </c>
      <c r="J97" s="44" t="s">
        <v>833</v>
      </c>
    </row>
    <row r="98" spans="1:10" x14ac:dyDescent="0.3">
      <c r="A98" s="126" t="s">
        <v>392</v>
      </c>
      <c r="B98" s="126" t="s">
        <v>1019</v>
      </c>
      <c r="C98" s="53" t="s">
        <v>1057</v>
      </c>
      <c r="D98" s="63" t="s">
        <v>1058</v>
      </c>
      <c r="E98" s="131">
        <v>45701</v>
      </c>
      <c r="F98" s="127" t="s">
        <v>842</v>
      </c>
      <c r="G98" s="127" t="s">
        <v>843</v>
      </c>
      <c r="H98" s="54">
        <v>22000</v>
      </c>
      <c r="I98" s="138">
        <v>0.443</v>
      </c>
      <c r="J98" s="44" t="s">
        <v>832</v>
      </c>
    </row>
    <row r="99" spans="1:10" x14ac:dyDescent="0.3">
      <c r="A99" s="126" t="s">
        <v>390</v>
      </c>
      <c r="B99" s="126" t="s">
        <v>1019</v>
      </c>
      <c r="C99" s="53" t="s">
        <v>1059</v>
      </c>
      <c r="D99" s="63" t="s">
        <v>1060</v>
      </c>
      <c r="E99" s="131">
        <v>45701</v>
      </c>
      <c r="F99" s="127" t="s">
        <v>619</v>
      </c>
      <c r="G99" s="127" t="s">
        <v>16</v>
      </c>
      <c r="H99" s="54">
        <v>21926.3</v>
      </c>
      <c r="I99" s="138">
        <v>0.36799999999999999</v>
      </c>
      <c r="J99" s="44" t="s">
        <v>831</v>
      </c>
    </row>
    <row r="100" spans="1:10" x14ac:dyDescent="0.3">
      <c r="A100" s="126" t="s">
        <v>390</v>
      </c>
      <c r="B100" s="126" t="s">
        <v>1019</v>
      </c>
      <c r="C100" s="53" t="s">
        <v>1061</v>
      </c>
      <c r="D100" s="53" t="s">
        <v>1062</v>
      </c>
      <c r="E100" s="131">
        <v>45701</v>
      </c>
      <c r="F100" s="127" t="s">
        <v>619</v>
      </c>
      <c r="G100" s="127" t="s">
        <v>16</v>
      </c>
      <c r="H100" s="54">
        <v>22092.27</v>
      </c>
      <c r="I100" s="138">
        <v>0.24299999999999999</v>
      </c>
      <c r="J100" s="44" t="s">
        <v>831</v>
      </c>
    </row>
    <row r="101" spans="1:10" x14ac:dyDescent="0.3">
      <c r="A101" s="126" t="s">
        <v>390</v>
      </c>
      <c r="B101" s="126" t="s">
        <v>1019</v>
      </c>
      <c r="C101" s="53" t="s">
        <v>1063</v>
      </c>
      <c r="D101" s="53" t="s">
        <v>1064</v>
      </c>
      <c r="E101" s="131">
        <v>45701</v>
      </c>
      <c r="F101" s="127" t="s">
        <v>371</v>
      </c>
      <c r="G101" s="127" t="s">
        <v>864</v>
      </c>
      <c r="H101" s="54">
        <v>61555.79</v>
      </c>
      <c r="I101" s="138">
        <v>0.20799999999999999</v>
      </c>
      <c r="J101" s="44" t="s">
        <v>832</v>
      </c>
    </row>
    <row r="102" spans="1:10" x14ac:dyDescent="0.3">
      <c r="A102" s="126" t="s">
        <v>390</v>
      </c>
      <c r="B102" s="126" t="s">
        <v>1019</v>
      </c>
      <c r="C102" s="53" t="s">
        <v>1065</v>
      </c>
      <c r="D102" s="53" t="s">
        <v>1066</v>
      </c>
      <c r="E102" s="131">
        <v>45701</v>
      </c>
      <c r="F102" s="127" t="s">
        <v>371</v>
      </c>
      <c r="G102" s="127" t="s">
        <v>864</v>
      </c>
      <c r="H102" s="54">
        <v>10776.17</v>
      </c>
      <c r="I102" s="138">
        <v>0.57399999999999995</v>
      </c>
      <c r="J102" s="44" t="s">
        <v>832</v>
      </c>
    </row>
    <row r="103" spans="1:10" x14ac:dyDescent="0.3">
      <c r="A103" s="126" t="s">
        <v>390</v>
      </c>
      <c r="B103" s="126" t="s">
        <v>1019</v>
      </c>
      <c r="C103" s="53" t="s">
        <v>1067</v>
      </c>
      <c r="D103" s="53" t="s">
        <v>1068</v>
      </c>
      <c r="E103" s="131">
        <v>45701</v>
      </c>
      <c r="F103" s="127" t="s">
        <v>376</v>
      </c>
      <c r="G103" s="127" t="s">
        <v>14</v>
      </c>
      <c r="H103" s="54">
        <v>9336.15</v>
      </c>
      <c r="I103" s="138">
        <v>0.35699999999999998</v>
      </c>
      <c r="J103" s="44" t="s">
        <v>832</v>
      </c>
    </row>
    <row r="104" spans="1:10" x14ac:dyDescent="0.3">
      <c r="A104" s="126" t="s">
        <v>392</v>
      </c>
      <c r="B104" s="126" t="s">
        <v>1019</v>
      </c>
      <c r="C104" s="53" t="s">
        <v>1069</v>
      </c>
      <c r="D104" s="53" t="s">
        <v>1070</v>
      </c>
      <c r="E104" s="131">
        <v>45701</v>
      </c>
      <c r="F104" s="127" t="s">
        <v>842</v>
      </c>
      <c r="G104" s="127" t="s">
        <v>843</v>
      </c>
      <c r="H104" s="54">
        <v>20000</v>
      </c>
      <c r="I104" s="138">
        <v>0.35</v>
      </c>
      <c r="J104" s="44" t="s">
        <v>832</v>
      </c>
    </row>
    <row r="105" spans="1:10" x14ac:dyDescent="0.3">
      <c r="A105" s="126" t="s">
        <v>392</v>
      </c>
      <c r="B105" s="126" t="s">
        <v>1019</v>
      </c>
      <c r="C105" s="53" t="s">
        <v>1071</v>
      </c>
      <c r="D105" s="53" t="s">
        <v>1072</v>
      </c>
      <c r="E105" s="131">
        <v>45705</v>
      </c>
      <c r="F105" s="127" t="s">
        <v>371</v>
      </c>
      <c r="G105" s="127" t="s">
        <v>864</v>
      </c>
      <c r="H105" s="54">
        <v>100458.15</v>
      </c>
      <c r="I105" s="138">
        <v>0.52800000000000002</v>
      </c>
      <c r="J105" s="44" t="s">
        <v>848</v>
      </c>
    </row>
    <row r="106" spans="1:10" x14ac:dyDescent="0.3">
      <c r="A106" s="126" t="s">
        <v>390</v>
      </c>
      <c r="B106" s="126" t="s">
        <v>1019</v>
      </c>
      <c r="C106" s="53" t="s">
        <v>1073</v>
      </c>
      <c r="D106" s="53" t="s">
        <v>1074</v>
      </c>
      <c r="E106" s="131">
        <v>45705</v>
      </c>
      <c r="F106" s="127" t="s">
        <v>372</v>
      </c>
      <c r="G106" s="127" t="s">
        <v>10</v>
      </c>
      <c r="H106" s="54">
        <v>11406.38</v>
      </c>
      <c r="I106" s="138">
        <v>0.36299999999999999</v>
      </c>
      <c r="J106" s="44" t="s">
        <v>833</v>
      </c>
    </row>
    <row r="107" spans="1:10" x14ac:dyDescent="0.3">
      <c r="A107" s="126" t="s">
        <v>392</v>
      </c>
      <c r="B107" s="126" t="s">
        <v>1019</v>
      </c>
      <c r="C107" s="53" t="s">
        <v>1075</v>
      </c>
      <c r="D107" s="53" t="s">
        <v>1076</v>
      </c>
      <c r="E107" s="131">
        <v>45705</v>
      </c>
      <c r="F107" s="127" t="s">
        <v>372</v>
      </c>
      <c r="G107" s="127" t="s">
        <v>10</v>
      </c>
      <c r="H107" s="54">
        <v>41110.239999999998</v>
      </c>
      <c r="I107" s="138">
        <v>0.314</v>
      </c>
      <c r="J107" s="44" t="s">
        <v>848</v>
      </c>
    </row>
    <row r="108" spans="1:10" x14ac:dyDescent="0.3">
      <c r="A108" s="126" t="s">
        <v>392</v>
      </c>
      <c r="B108" s="126" t="s">
        <v>1019</v>
      </c>
      <c r="C108" s="53" t="s">
        <v>1077</v>
      </c>
      <c r="D108" s="53" t="s">
        <v>1078</v>
      </c>
      <c r="E108" s="131">
        <v>45706</v>
      </c>
      <c r="F108" s="127" t="s">
        <v>370</v>
      </c>
      <c r="G108" s="127" t="s">
        <v>63</v>
      </c>
      <c r="H108" s="54">
        <v>6985.2</v>
      </c>
      <c r="I108" s="138">
        <v>0.48499999999999999</v>
      </c>
      <c r="J108" s="44" t="s">
        <v>830</v>
      </c>
    </row>
    <row r="109" spans="1:10" x14ac:dyDescent="0.3">
      <c r="A109" s="126" t="s">
        <v>392</v>
      </c>
      <c r="B109" s="126" t="s">
        <v>1019</v>
      </c>
      <c r="C109" s="53" t="s">
        <v>1079</v>
      </c>
      <c r="D109" s="53" t="s">
        <v>1080</v>
      </c>
      <c r="E109" s="131">
        <v>45706</v>
      </c>
      <c r="F109" s="127" t="s">
        <v>372</v>
      </c>
      <c r="G109" s="127" t="s">
        <v>10</v>
      </c>
      <c r="H109" s="54">
        <v>41113.599999999999</v>
      </c>
      <c r="I109" s="138">
        <v>0.40300000000000002</v>
      </c>
      <c r="J109" s="44" t="s">
        <v>848</v>
      </c>
    </row>
    <row r="110" spans="1:10" x14ac:dyDescent="0.3">
      <c r="A110" s="126" t="s">
        <v>392</v>
      </c>
      <c r="B110" s="126" t="s">
        <v>1019</v>
      </c>
      <c r="C110" s="53" t="s">
        <v>1081</v>
      </c>
      <c r="D110" s="53" t="s">
        <v>1082</v>
      </c>
      <c r="E110" s="131">
        <v>45706</v>
      </c>
      <c r="F110" s="127" t="s">
        <v>370</v>
      </c>
      <c r="G110" s="127" t="s">
        <v>63</v>
      </c>
      <c r="H110" s="54">
        <v>7045.45</v>
      </c>
      <c r="I110" s="138">
        <v>0.48899999999999999</v>
      </c>
      <c r="J110" s="44" t="s">
        <v>830</v>
      </c>
    </row>
    <row r="111" spans="1:10" x14ac:dyDescent="0.3">
      <c r="A111" s="126" t="s">
        <v>392</v>
      </c>
      <c r="B111" s="126" t="s">
        <v>1019</v>
      </c>
      <c r="C111" s="53" t="s">
        <v>1083</v>
      </c>
      <c r="D111" s="53" t="s">
        <v>1084</v>
      </c>
      <c r="E111" s="131">
        <v>45706</v>
      </c>
      <c r="F111" s="127" t="s">
        <v>370</v>
      </c>
      <c r="G111" s="127" t="s">
        <v>63</v>
      </c>
      <c r="H111" s="54">
        <v>14090.89</v>
      </c>
      <c r="I111" s="138">
        <v>0.42199999999999999</v>
      </c>
      <c r="J111" s="44" t="s">
        <v>830</v>
      </c>
    </row>
    <row r="112" spans="1:10" x14ac:dyDescent="0.3">
      <c r="A112" s="126" t="s">
        <v>390</v>
      </c>
      <c r="B112" s="126" t="s">
        <v>1019</v>
      </c>
      <c r="C112" s="53" t="s">
        <v>1085</v>
      </c>
      <c r="D112" s="53" t="s">
        <v>1086</v>
      </c>
      <c r="E112" s="131">
        <v>45706</v>
      </c>
      <c r="F112" s="127" t="s">
        <v>372</v>
      </c>
      <c r="G112" s="127" t="s">
        <v>10</v>
      </c>
      <c r="H112" s="54">
        <v>16244.3</v>
      </c>
      <c r="I112" s="138">
        <v>0.41799999999999998</v>
      </c>
      <c r="J112" s="44" t="s">
        <v>833</v>
      </c>
    </row>
    <row r="113" spans="1:11" x14ac:dyDescent="0.3">
      <c r="A113" s="126" t="s">
        <v>390</v>
      </c>
      <c r="B113" s="126" t="s">
        <v>1019</v>
      </c>
      <c r="C113" s="53" t="s">
        <v>1087</v>
      </c>
      <c r="D113" s="53" t="s">
        <v>860</v>
      </c>
      <c r="E113" s="131">
        <v>45707</v>
      </c>
      <c r="F113" s="127" t="s">
        <v>619</v>
      </c>
      <c r="G113" s="127" t="s">
        <v>16</v>
      </c>
      <c r="H113" s="54">
        <v>94500</v>
      </c>
      <c r="I113" s="138">
        <v>0.26600000000000001</v>
      </c>
      <c r="J113" s="44" t="s">
        <v>831</v>
      </c>
    </row>
    <row r="114" spans="1:11" x14ac:dyDescent="0.3">
      <c r="A114" s="126" t="s">
        <v>392</v>
      </c>
      <c r="B114" s="126" t="s">
        <v>1019</v>
      </c>
      <c r="C114" s="53" t="s">
        <v>1088</v>
      </c>
      <c r="D114" s="53" t="s">
        <v>1089</v>
      </c>
      <c r="E114" s="131">
        <v>45707</v>
      </c>
      <c r="F114" s="127" t="s">
        <v>370</v>
      </c>
      <c r="G114" s="127" t="s">
        <v>63</v>
      </c>
      <c r="H114" s="54">
        <v>8060.24</v>
      </c>
      <c r="I114" s="138">
        <v>0.64</v>
      </c>
      <c r="J114" s="44" t="s">
        <v>830</v>
      </c>
    </row>
    <row r="115" spans="1:11" x14ac:dyDescent="0.3">
      <c r="A115" s="126" t="s">
        <v>392</v>
      </c>
      <c r="B115" s="126" t="s">
        <v>1019</v>
      </c>
      <c r="C115" s="53" t="s">
        <v>1090</v>
      </c>
      <c r="D115" s="53" t="s">
        <v>1091</v>
      </c>
      <c r="E115" s="131">
        <v>45707</v>
      </c>
      <c r="F115" s="127" t="s">
        <v>370</v>
      </c>
      <c r="G115" s="127" t="s">
        <v>63</v>
      </c>
      <c r="H115" s="54">
        <v>8060.24</v>
      </c>
      <c r="I115" s="138">
        <v>0.64</v>
      </c>
      <c r="J115" s="44" t="s">
        <v>830</v>
      </c>
    </row>
    <row r="116" spans="1:11" x14ac:dyDescent="0.3">
      <c r="A116" s="126" t="s">
        <v>392</v>
      </c>
      <c r="B116" s="126" t="s">
        <v>1019</v>
      </c>
      <c r="C116" s="53" t="s">
        <v>1092</v>
      </c>
      <c r="D116" s="63" t="s">
        <v>1093</v>
      </c>
      <c r="E116" s="131">
        <v>45707</v>
      </c>
      <c r="F116" s="127" t="s">
        <v>370</v>
      </c>
      <c r="G116" s="127" t="s">
        <v>63</v>
      </c>
      <c r="H116" s="54">
        <v>11224.98</v>
      </c>
      <c r="I116" s="138">
        <v>0.72399999999999998</v>
      </c>
      <c r="J116" s="44" t="s">
        <v>830</v>
      </c>
    </row>
    <row r="117" spans="1:11" x14ac:dyDescent="0.3">
      <c r="A117" s="126" t="s">
        <v>392</v>
      </c>
      <c r="B117" s="126" t="s">
        <v>1019</v>
      </c>
      <c r="C117" s="53" t="s">
        <v>1094</v>
      </c>
      <c r="D117" s="63" t="s">
        <v>1095</v>
      </c>
      <c r="E117" s="131">
        <v>45707</v>
      </c>
      <c r="F117" s="127" t="s">
        <v>370</v>
      </c>
      <c r="G117" s="127" t="s">
        <v>63</v>
      </c>
      <c r="H117" s="54">
        <v>14070.4</v>
      </c>
      <c r="I117" s="138">
        <v>0.47399999999999998</v>
      </c>
      <c r="J117" s="44" t="s">
        <v>830</v>
      </c>
    </row>
    <row r="118" spans="1:11" x14ac:dyDescent="0.3">
      <c r="A118" s="126" t="s">
        <v>390</v>
      </c>
      <c r="B118" s="126" t="s">
        <v>1019</v>
      </c>
      <c r="C118" s="53" t="s">
        <v>1096</v>
      </c>
      <c r="D118" s="63" t="s">
        <v>1097</v>
      </c>
      <c r="E118" s="131">
        <v>45707</v>
      </c>
      <c r="F118" s="127" t="s">
        <v>371</v>
      </c>
      <c r="G118" s="127" t="s">
        <v>864</v>
      </c>
      <c r="H118" s="54">
        <v>14879.38</v>
      </c>
      <c r="I118" s="138">
        <v>0.38300000000000001</v>
      </c>
      <c r="J118" s="44" t="s">
        <v>832</v>
      </c>
    </row>
    <row r="119" spans="1:11" x14ac:dyDescent="0.3">
      <c r="A119" s="126" t="s">
        <v>392</v>
      </c>
      <c r="B119" s="126" t="s">
        <v>1019</v>
      </c>
      <c r="C119" s="53" t="s">
        <v>1098</v>
      </c>
      <c r="D119" s="53" t="s">
        <v>1099</v>
      </c>
      <c r="E119" s="131">
        <v>45707</v>
      </c>
      <c r="F119" s="127" t="s">
        <v>844</v>
      </c>
      <c r="G119" s="127" t="s">
        <v>863</v>
      </c>
      <c r="H119" s="54">
        <v>18000</v>
      </c>
      <c r="I119" s="138">
        <v>0.26</v>
      </c>
      <c r="J119" s="44" t="s">
        <v>831</v>
      </c>
    </row>
    <row r="120" spans="1:11" x14ac:dyDescent="0.3">
      <c r="A120" s="126" t="s">
        <v>390</v>
      </c>
      <c r="B120" s="126" t="s">
        <v>1019</v>
      </c>
      <c r="C120" s="134" t="s">
        <v>1100</v>
      </c>
      <c r="D120" s="135" t="s">
        <v>1101</v>
      </c>
      <c r="E120" s="131">
        <v>45707</v>
      </c>
      <c r="F120" s="127" t="s">
        <v>844</v>
      </c>
      <c r="G120" s="127" t="s">
        <v>863</v>
      </c>
      <c r="H120" s="136">
        <v>25000</v>
      </c>
      <c r="I120" s="138">
        <v>0.55900000000000005</v>
      </c>
      <c r="J120" s="44" t="s">
        <v>831</v>
      </c>
    </row>
    <row r="121" spans="1:11" x14ac:dyDescent="0.3">
      <c r="A121" s="126" t="s">
        <v>392</v>
      </c>
      <c r="B121" s="126" t="s">
        <v>1019</v>
      </c>
      <c r="C121" s="53" t="s">
        <v>1102</v>
      </c>
      <c r="D121" s="53" t="s">
        <v>1103</v>
      </c>
      <c r="E121" s="131">
        <v>45708</v>
      </c>
      <c r="F121" s="127" t="s">
        <v>374</v>
      </c>
      <c r="G121" s="127" t="s">
        <v>17</v>
      </c>
      <c r="H121" s="54">
        <v>10275.6</v>
      </c>
      <c r="I121" s="138">
        <v>0.63</v>
      </c>
      <c r="J121" s="44" t="s">
        <v>848</v>
      </c>
    </row>
    <row r="122" spans="1:11" x14ac:dyDescent="0.3">
      <c r="A122" s="126" t="s">
        <v>390</v>
      </c>
      <c r="B122" s="126" t="s">
        <v>1019</v>
      </c>
      <c r="C122" s="53" t="s">
        <v>1104</v>
      </c>
      <c r="D122" s="53" t="s">
        <v>972</v>
      </c>
      <c r="E122" s="131">
        <v>45708</v>
      </c>
      <c r="F122" s="127" t="s">
        <v>375</v>
      </c>
      <c r="G122" s="127" t="s">
        <v>62</v>
      </c>
      <c r="H122" s="54">
        <v>87882.04</v>
      </c>
      <c r="I122" s="138">
        <v>0.30299999999999999</v>
      </c>
      <c r="J122" s="44" t="s">
        <v>831</v>
      </c>
    </row>
    <row r="123" spans="1:11" x14ac:dyDescent="0.3">
      <c r="A123" s="126" t="s">
        <v>392</v>
      </c>
      <c r="B123" s="126" t="s">
        <v>1019</v>
      </c>
      <c r="C123" s="53" t="s">
        <v>1105</v>
      </c>
      <c r="D123" s="53" t="s">
        <v>1106</v>
      </c>
      <c r="E123" s="131">
        <v>45708</v>
      </c>
      <c r="F123" s="127" t="s">
        <v>370</v>
      </c>
      <c r="G123" s="127" t="s">
        <v>63</v>
      </c>
      <c r="H123" s="54">
        <v>4713.54</v>
      </c>
      <c r="I123" s="138">
        <v>0.61799999999999999</v>
      </c>
      <c r="J123" s="44" t="s">
        <v>830</v>
      </c>
    </row>
    <row r="124" spans="1:11" x14ac:dyDescent="0.3">
      <c r="A124" s="126" t="s">
        <v>392</v>
      </c>
      <c r="B124" s="126" t="s">
        <v>1019</v>
      </c>
      <c r="C124" s="53" t="s">
        <v>1107</v>
      </c>
      <c r="D124" s="53" t="s">
        <v>1108</v>
      </c>
      <c r="E124" s="131">
        <v>45708</v>
      </c>
      <c r="F124" s="127" t="s">
        <v>370</v>
      </c>
      <c r="G124" s="127" t="s">
        <v>63</v>
      </c>
      <c r="H124" s="54">
        <v>8047.47</v>
      </c>
      <c r="I124" s="138">
        <v>0.64</v>
      </c>
      <c r="J124" s="44" t="s">
        <v>830</v>
      </c>
    </row>
    <row r="125" spans="1:11" x14ac:dyDescent="0.3">
      <c r="A125" s="126" t="s">
        <v>390</v>
      </c>
      <c r="B125" s="126" t="s">
        <v>1019</v>
      </c>
      <c r="C125" s="134" t="s">
        <v>1109</v>
      </c>
      <c r="D125" s="63" t="s">
        <v>1006</v>
      </c>
      <c r="E125" s="131">
        <v>45709</v>
      </c>
      <c r="F125" s="127" t="s">
        <v>1007</v>
      </c>
      <c r="G125" s="127" t="s">
        <v>865</v>
      </c>
      <c r="H125" s="54">
        <v>95976</v>
      </c>
      <c r="I125" s="138">
        <v>0.34599999999999997</v>
      </c>
      <c r="J125" s="44" t="s">
        <v>831</v>
      </c>
      <c r="K125" s="44" t="s">
        <v>1542</v>
      </c>
    </row>
    <row r="126" spans="1:11" x14ac:dyDescent="0.3">
      <c r="A126" s="126" t="s">
        <v>390</v>
      </c>
      <c r="B126" s="126" t="s">
        <v>1019</v>
      </c>
      <c r="C126" s="53" t="s">
        <v>1110</v>
      </c>
      <c r="D126" s="53" t="s">
        <v>1006</v>
      </c>
      <c r="E126" s="131">
        <v>45709</v>
      </c>
      <c r="F126" s="127" t="s">
        <v>1007</v>
      </c>
      <c r="G126" s="127" t="s">
        <v>865</v>
      </c>
      <c r="H126" s="54">
        <v>1333</v>
      </c>
      <c r="I126" s="138">
        <v>0.34599999999999997</v>
      </c>
      <c r="J126" s="44" t="s">
        <v>831</v>
      </c>
      <c r="K126" s="44" t="s">
        <v>1542</v>
      </c>
    </row>
    <row r="127" spans="1:11" x14ac:dyDescent="0.3">
      <c r="A127" s="126" t="s">
        <v>392</v>
      </c>
      <c r="B127" s="126" t="s">
        <v>1019</v>
      </c>
      <c r="C127" s="53" t="s">
        <v>1111</v>
      </c>
      <c r="D127" s="53" t="s">
        <v>1112</v>
      </c>
      <c r="E127" s="131">
        <v>45709</v>
      </c>
      <c r="F127" s="127" t="s">
        <v>370</v>
      </c>
      <c r="G127" s="127" t="s">
        <v>63</v>
      </c>
      <c r="H127" s="54">
        <v>4133.8599999999997</v>
      </c>
      <c r="I127" s="138">
        <v>0.56499999999999995</v>
      </c>
      <c r="J127" s="44" t="s">
        <v>830</v>
      </c>
    </row>
    <row r="128" spans="1:11" x14ac:dyDescent="0.3">
      <c r="A128" s="126" t="s">
        <v>392</v>
      </c>
      <c r="B128" s="126" t="s">
        <v>1019</v>
      </c>
      <c r="C128" s="53" t="s">
        <v>1113</v>
      </c>
      <c r="D128" s="63" t="s">
        <v>1114</v>
      </c>
      <c r="E128" s="131">
        <v>45709</v>
      </c>
      <c r="F128" s="127" t="s">
        <v>370</v>
      </c>
      <c r="G128" s="127" t="s">
        <v>63</v>
      </c>
      <c r="H128" s="54">
        <v>20348.240000000002</v>
      </c>
      <c r="I128" s="138">
        <v>0.66100000000000003</v>
      </c>
      <c r="J128" s="44" t="s">
        <v>830</v>
      </c>
    </row>
    <row r="129" spans="1:10" x14ac:dyDescent="0.3">
      <c r="A129" s="126" t="s">
        <v>392</v>
      </c>
      <c r="B129" s="126" t="s">
        <v>1019</v>
      </c>
      <c r="C129" s="53" t="s">
        <v>1115</v>
      </c>
      <c r="D129" s="63" t="s">
        <v>1116</v>
      </c>
      <c r="E129" s="131">
        <v>45712</v>
      </c>
      <c r="F129" s="127" t="s">
        <v>372</v>
      </c>
      <c r="G129" s="127" t="s">
        <v>10</v>
      </c>
      <c r="H129" s="54">
        <v>41061.64</v>
      </c>
      <c r="I129" s="138">
        <v>0.35</v>
      </c>
      <c r="J129" s="44" t="s">
        <v>848</v>
      </c>
    </row>
    <row r="130" spans="1:10" x14ac:dyDescent="0.3">
      <c r="A130" s="126" t="s">
        <v>390</v>
      </c>
      <c r="B130" s="126" t="s">
        <v>1019</v>
      </c>
      <c r="C130" s="53" t="s">
        <v>1117</v>
      </c>
      <c r="D130" s="53" t="s">
        <v>1118</v>
      </c>
      <c r="E130" s="131">
        <v>45713</v>
      </c>
      <c r="F130" s="127" t="s">
        <v>372</v>
      </c>
      <c r="G130" s="127" t="s">
        <v>10</v>
      </c>
      <c r="H130" s="54">
        <v>31019.93</v>
      </c>
      <c r="I130" s="138">
        <v>0.20599999999999999</v>
      </c>
      <c r="J130" s="44" t="s">
        <v>833</v>
      </c>
    </row>
    <row r="131" spans="1:10" x14ac:dyDescent="0.3">
      <c r="A131" s="126" t="s">
        <v>392</v>
      </c>
      <c r="B131" s="126" t="s">
        <v>1019</v>
      </c>
      <c r="C131" s="53" t="s">
        <v>1119</v>
      </c>
      <c r="D131" s="63" t="s">
        <v>1120</v>
      </c>
      <c r="E131" s="131">
        <v>45713</v>
      </c>
      <c r="F131" s="127" t="s">
        <v>372</v>
      </c>
      <c r="G131" s="127" t="s">
        <v>10</v>
      </c>
      <c r="H131" s="54">
        <v>2982.36</v>
      </c>
      <c r="I131" s="138">
        <v>0.46400000000000002</v>
      </c>
      <c r="J131" s="44" t="s">
        <v>848</v>
      </c>
    </row>
    <row r="132" spans="1:10" x14ac:dyDescent="0.3">
      <c r="A132" s="126" t="s">
        <v>390</v>
      </c>
      <c r="B132" s="126" t="s">
        <v>1019</v>
      </c>
      <c r="C132" s="53" t="s">
        <v>1121</v>
      </c>
      <c r="D132" s="53" t="s">
        <v>1122</v>
      </c>
      <c r="E132" s="131">
        <v>45713</v>
      </c>
      <c r="F132" s="127" t="s">
        <v>375</v>
      </c>
      <c r="G132" s="127" t="s">
        <v>62</v>
      </c>
      <c r="H132" s="54">
        <v>42337.5</v>
      </c>
      <c r="I132" s="138">
        <v>0.40500000000000003</v>
      </c>
      <c r="J132" s="44" t="s">
        <v>831</v>
      </c>
    </row>
    <row r="133" spans="1:10" x14ac:dyDescent="0.3">
      <c r="A133" s="126" t="s">
        <v>392</v>
      </c>
      <c r="B133" s="126" t="s">
        <v>1019</v>
      </c>
      <c r="C133" s="53" t="s">
        <v>1123</v>
      </c>
      <c r="D133" s="53" t="s">
        <v>1124</v>
      </c>
      <c r="E133" s="131">
        <v>45713</v>
      </c>
      <c r="F133" s="127" t="s">
        <v>842</v>
      </c>
      <c r="G133" s="127" t="s">
        <v>843</v>
      </c>
      <c r="H133" s="54">
        <v>22000</v>
      </c>
      <c r="I133" s="138">
        <v>0.4</v>
      </c>
      <c r="J133" s="44" t="s">
        <v>832</v>
      </c>
    </row>
    <row r="134" spans="1:10" x14ac:dyDescent="0.3">
      <c r="A134" s="126" t="s">
        <v>392</v>
      </c>
      <c r="B134" s="126" t="s">
        <v>1019</v>
      </c>
      <c r="C134" s="53" t="s">
        <v>1125</v>
      </c>
      <c r="D134" s="63" t="s">
        <v>1126</v>
      </c>
      <c r="E134" s="131">
        <v>45714</v>
      </c>
      <c r="F134" s="127" t="s">
        <v>372</v>
      </c>
      <c r="G134" s="127" t="s">
        <v>10</v>
      </c>
      <c r="H134" s="54">
        <v>42268.959999999999</v>
      </c>
      <c r="I134" s="138">
        <v>0.437</v>
      </c>
      <c r="J134" s="44" t="s">
        <v>848</v>
      </c>
    </row>
    <row r="135" spans="1:10" x14ac:dyDescent="0.3">
      <c r="A135" s="126" t="s">
        <v>392</v>
      </c>
      <c r="B135" s="126" t="s">
        <v>1019</v>
      </c>
      <c r="C135" s="53" t="s">
        <v>1127</v>
      </c>
      <c r="D135" s="63" t="s">
        <v>1128</v>
      </c>
      <c r="E135" s="131">
        <v>45714</v>
      </c>
      <c r="F135" s="127" t="s">
        <v>842</v>
      </c>
      <c r="G135" s="127" t="s">
        <v>843</v>
      </c>
      <c r="H135" s="54">
        <v>22000</v>
      </c>
      <c r="I135" s="138">
        <v>0.44700000000000001</v>
      </c>
      <c r="J135" s="44" t="s">
        <v>832</v>
      </c>
    </row>
    <row r="136" spans="1:10" x14ac:dyDescent="0.3">
      <c r="A136" s="126" t="s">
        <v>392</v>
      </c>
      <c r="B136" s="126" t="s">
        <v>1019</v>
      </c>
      <c r="C136" s="53" t="s">
        <v>1129</v>
      </c>
      <c r="D136" s="53" t="s">
        <v>1130</v>
      </c>
      <c r="E136" s="131">
        <v>45714</v>
      </c>
      <c r="F136" s="127" t="s">
        <v>842</v>
      </c>
      <c r="G136" s="127" t="s">
        <v>843</v>
      </c>
      <c r="H136" s="54">
        <v>22000</v>
      </c>
      <c r="I136" s="138">
        <v>0.44700000000000001</v>
      </c>
      <c r="J136" s="44" t="s">
        <v>832</v>
      </c>
    </row>
    <row r="137" spans="1:10" x14ac:dyDescent="0.3">
      <c r="A137" s="126" t="s">
        <v>392</v>
      </c>
      <c r="B137" s="126" t="s">
        <v>1019</v>
      </c>
      <c r="C137" s="53" t="s">
        <v>1131</v>
      </c>
      <c r="D137" s="53" t="s">
        <v>1132</v>
      </c>
      <c r="E137" s="131">
        <v>45714</v>
      </c>
      <c r="F137" s="127" t="s">
        <v>844</v>
      </c>
      <c r="G137" s="127" t="s">
        <v>863</v>
      </c>
      <c r="H137" s="54">
        <v>17000</v>
      </c>
      <c r="I137" s="138">
        <v>0.106</v>
      </c>
      <c r="J137" s="44" t="s">
        <v>831</v>
      </c>
    </row>
    <row r="138" spans="1:10" x14ac:dyDescent="0.3">
      <c r="A138" s="126" t="s">
        <v>392</v>
      </c>
      <c r="B138" s="126" t="s">
        <v>1019</v>
      </c>
      <c r="C138" s="53" t="s">
        <v>1133</v>
      </c>
      <c r="D138" s="53" t="s">
        <v>1134</v>
      </c>
      <c r="E138" s="131">
        <v>45714</v>
      </c>
      <c r="F138" s="127" t="s">
        <v>842</v>
      </c>
      <c r="G138" s="127" t="s">
        <v>843</v>
      </c>
      <c r="H138" s="54">
        <v>22000</v>
      </c>
      <c r="I138" s="138">
        <v>0.44400000000000001</v>
      </c>
      <c r="J138" s="44" t="s">
        <v>832</v>
      </c>
    </row>
    <row r="139" spans="1:10" x14ac:dyDescent="0.3">
      <c r="A139" s="126" t="s">
        <v>392</v>
      </c>
      <c r="B139" s="126" t="s">
        <v>1019</v>
      </c>
      <c r="C139" s="53" t="s">
        <v>1135</v>
      </c>
      <c r="D139" s="53" t="s">
        <v>1136</v>
      </c>
      <c r="E139" s="131">
        <v>45714</v>
      </c>
      <c r="F139" s="127" t="s">
        <v>842</v>
      </c>
      <c r="G139" s="127" t="s">
        <v>843</v>
      </c>
      <c r="H139" s="54">
        <v>22000</v>
      </c>
      <c r="I139" s="138">
        <v>0.44400000000000001</v>
      </c>
      <c r="J139" s="44" t="s">
        <v>832</v>
      </c>
    </row>
    <row r="140" spans="1:10" x14ac:dyDescent="0.3">
      <c r="A140" s="126" t="s">
        <v>392</v>
      </c>
      <c r="B140" s="126" t="s">
        <v>1019</v>
      </c>
      <c r="C140" s="53" t="s">
        <v>1137</v>
      </c>
      <c r="D140" s="53" t="s">
        <v>1138</v>
      </c>
      <c r="E140" s="131">
        <v>45714</v>
      </c>
      <c r="F140" s="127" t="s">
        <v>370</v>
      </c>
      <c r="G140" s="127" t="s">
        <v>63</v>
      </c>
      <c r="H140" s="54">
        <v>4099.5600000000004</v>
      </c>
      <c r="I140" s="138">
        <v>0.56100000000000005</v>
      </c>
      <c r="J140" s="44" t="s">
        <v>830</v>
      </c>
    </row>
    <row r="141" spans="1:10" x14ac:dyDescent="0.3">
      <c r="A141" s="126" t="s">
        <v>392</v>
      </c>
      <c r="B141" s="126" t="s">
        <v>1019</v>
      </c>
      <c r="C141" s="53" t="s">
        <v>1139</v>
      </c>
      <c r="D141" s="53" t="s">
        <v>1140</v>
      </c>
      <c r="E141" s="131">
        <v>45714</v>
      </c>
      <c r="F141" s="127" t="s">
        <v>370</v>
      </c>
      <c r="G141" s="127" t="s">
        <v>63</v>
      </c>
      <c r="H141" s="54">
        <v>6992.45</v>
      </c>
      <c r="I141" s="138">
        <v>0.48499999999999999</v>
      </c>
      <c r="J141" s="44" t="s">
        <v>830</v>
      </c>
    </row>
    <row r="142" spans="1:10" x14ac:dyDescent="0.3">
      <c r="A142" s="126" t="s">
        <v>392</v>
      </c>
      <c r="B142" s="126" t="s">
        <v>1019</v>
      </c>
      <c r="C142" s="53" t="s">
        <v>1141</v>
      </c>
      <c r="D142" s="53" t="s">
        <v>1142</v>
      </c>
      <c r="E142" s="131">
        <v>45714</v>
      </c>
      <c r="F142" s="127" t="s">
        <v>370</v>
      </c>
      <c r="G142" s="127" t="s">
        <v>63</v>
      </c>
      <c r="H142" s="54">
        <v>14034.9</v>
      </c>
      <c r="I142" s="138">
        <v>0.47299999999999998</v>
      </c>
      <c r="J142" s="44" t="s">
        <v>830</v>
      </c>
    </row>
    <row r="143" spans="1:10" x14ac:dyDescent="0.3">
      <c r="A143" s="126" t="s">
        <v>390</v>
      </c>
      <c r="B143" s="126" t="s">
        <v>1019</v>
      </c>
      <c r="C143" s="53" t="s">
        <v>1143</v>
      </c>
      <c r="D143" s="53" t="s">
        <v>1144</v>
      </c>
      <c r="E143" s="131">
        <v>45714</v>
      </c>
      <c r="F143" s="127" t="s">
        <v>372</v>
      </c>
      <c r="G143" s="127" t="s">
        <v>10</v>
      </c>
      <c r="H143" s="54">
        <v>101221.38</v>
      </c>
      <c r="I143" s="138">
        <v>0.36499999999999999</v>
      </c>
      <c r="J143" s="44" t="s">
        <v>833</v>
      </c>
    </row>
    <row r="144" spans="1:10" x14ac:dyDescent="0.3">
      <c r="A144" s="126" t="s">
        <v>390</v>
      </c>
      <c r="B144" s="126" t="s">
        <v>1019</v>
      </c>
      <c r="C144" s="53" t="s">
        <v>1145</v>
      </c>
      <c r="D144" s="53" t="s">
        <v>1146</v>
      </c>
      <c r="E144" s="131">
        <v>45715</v>
      </c>
      <c r="F144" s="127" t="s">
        <v>854</v>
      </c>
      <c r="G144" s="127" t="s">
        <v>855</v>
      </c>
      <c r="H144" s="54">
        <v>11572.07</v>
      </c>
      <c r="I144" s="138">
        <v>0.29899999999999999</v>
      </c>
      <c r="J144" s="44" t="s">
        <v>832</v>
      </c>
    </row>
    <row r="145" spans="1:10" x14ac:dyDescent="0.3">
      <c r="A145" s="126" t="s">
        <v>390</v>
      </c>
      <c r="B145" s="126" t="s">
        <v>1019</v>
      </c>
      <c r="C145" s="53" t="s">
        <v>1147</v>
      </c>
      <c r="D145" s="53" t="s">
        <v>1148</v>
      </c>
      <c r="E145" s="131">
        <v>45715</v>
      </c>
      <c r="F145" s="127" t="s">
        <v>375</v>
      </c>
      <c r="G145" s="127" t="s">
        <v>62</v>
      </c>
      <c r="H145" s="54">
        <v>16149.34</v>
      </c>
      <c r="I145" s="138">
        <v>0.59699999999999998</v>
      </c>
      <c r="J145" s="44" t="s">
        <v>831</v>
      </c>
    </row>
    <row r="146" spans="1:10" x14ac:dyDescent="0.3">
      <c r="A146" s="126" t="s">
        <v>392</v>
      </c>
      <c r="B146" s="126" t="s">
        <v>1019</v>
      </c>
      <c r="C146" s="53" t="s">
        <v>1149</v>
      </c>
      <c r="D146" s="53" t="s">
        <v>1150</v>
      </c>
      <c r="E146" s="131">
        <v>45715</v>
      </c>
      <c r="F146" s="127" t="s">
        <v>370</v>
      </c>
      <c r="G146" s="127" t="s">
        <v>63</v>
      </c>
      <c r="H146" s="54">
        <v>4092.8</v>
      </c>
      <c r="I146" s="138">
        <v>0.56000000000000005</v>
      </c>
      <c r="J146" s="44" t="s">
        <v>830</v>
      </c>
    </row>
    <row r="147" spans="1:10" x14ac:dyDescent="0.3">
      <c r="A147" s="126" t="s">
        <v>392</v>
      </c>
      <c r="B147" s="126" t="s">
        <v>1019</v>
      </c>
      <c r="C147" s="53" t="s">
        <v>1151</v>
      </c>
      <c r="D147" s="53" t="s">
        <v>1152</v>
      </c>
      <c r="E147" s="131">
        <v>45715</v>
      </c>
      <c r="F147" s="127" t="s">
        <v>370</v>
      </c>
      <c r="G147" s="127" t="s">
        <v>63</v>
      </c>
      <c r="H147" s="54">
        <v>20248.64</v>
      </c>
      <c r="I147" s="138">
        <v>0.63</v>
      </c>
      <c r="J147" s="44" t="s">
        <v>830</v>
      </c>
    </row>
    <row r="148" spans="1:10" x14ac:dyDescent="0.3">
      <c r="A148" s="126" t="s">
        <v>392</v>
      </c>
      <c r="B148" s="126" t="s">
        <v>1019</v>
      </c>
      <c r="C148" s="53" t="s">
        <v>1153</v>
      </c>
      <c r="D148" s="53" t="s">
        <v>1154</v>
      </c>
      <c r="E148" s="131">
        <v>45715</v>
      </c>
      <c r="F148" s="127" t="s">
        <v>844</v>
      </c>
      <c r="G148" s="127" t="s">
        <v>863</v>
      </c>
      <c r="H148" s="54">
        <v>13605.05</v>
      </c>
      <c r="I148" s="138">
        <v>2.1999999999999999E-2</v>
      </c>
      <c r="J148" s="44" t="s">
        <v>831</v>
      </c>
    </row>
    <row r="149" spans="1:10" x14ac:dyDescent="0.3">
      <c r="A149" s="126" t="s">
        <v>390</v>
      </c>
      <c r="B149" s="126" t="s">
        <v>1019</v>
      </c>
      <c r="C149" s="53" t="s">
        <v>1155</v>
      </c>
      <c r="D149" s="53" t="s">
        <v>1156</v>
      </c>
      <c r="E149" s="131">
        <v>45716</v>
      </c>
      <c r="F149" s="127" t="s">
        <v>375</v>
      </c>
      <c r="G149" s="127" t="s">
        <v>62</v>
      </c>
      <c r="H149" s="54">
        <v>42762.85</v>
      </c>
      <c r="I149" s="138">
        <v>0.32400000000000001</v>
      </c>
      <c r="J149" s="44" t="s">
        <v>831</v>
      </c>
    </row>
    <row r="150" spans="1:10" x14ac:dyDescent="0.3">
      <c r="A150" s="126" t="s">
        <v>392</v>
      </c>
      <c r="B150" s="126" t="s">
        <v>1019</v>
      </c>
      <c r="C150" s="53" t="s">
        <v>1157</v>
      </c>
      <c r="D150" s="53" t="s">
        <v>1158</v>
      </c>
      <c r="E150" s="131">
        <v>45716</v>
      </c>
      <c r="F150" s="127" t="s">
        <v>842</v>
      </c>
      <c r="G150" s="127" t="s">
        <v>843</v>
      </c>
      <c r="H150" s="54">
        <v>22000</v>
      </c>
      <c r="I150" s="138">
        <v>0.44400000000000001</v>
      </c>
      <c r="J150" s="44" t="s">
        <v>832</v>
      </c>
    </row>
    <row r="151" spans="1:10" x14ac:dyDescent="0.3">
      <c r="A151" s="126" t="s">
        <v>390</v>
      </c>
      <c r="B151" s="126" t="s">
        <v>1019</v>
      </c>
      <c r="C151" s="53" t="s">
        <v>1159</v>
      </c>
      <c r="D151" s="53" t="s">
        <v>1026</v>
      </c>
      <c r="E151" s="131">
        <v>45694</v>
      </c>
      <c r="F151" s="127" t="s">
        <v>375</v>
      </c>
      <c r="G151" s="127" t="s">
        <v>62</v>
      </c>
      <c r="H151" s="54">
        <v>6087.7084999999997</v>
      </c>
      <c r="I151" s="138">
        <v>0.36099999999999999</v>
      </c>
      <c r="J151" s="44" t="s">
        <v>831</v>
      </c>
    </row>
    <row r="152" spans="1:10" x14ac:dyDescent="0.3">
      <c r="A152" s="126" t="s">
        <v>390</v>
      </c>
      <c r="B152" s="126" t="s">
        <v>1019</v>
      </c>
      <c r="C152" s="53" t="s">
        <v>1160</v>
      </c>
      <c r="D152" s="53" t="s">
        <v>1161</v>
      </c>
      <c r="E152" s="131">
        <v>45694</v>
      </c>
      <c r="F152" s="127" t="s">
        <v>1174</v>
      </c>
      <c r="G152" s="127" t="s">
        <v>857</v>
      </c>
      <c r="H152" s="54">
        <v>1547.7224999999999</v>
      </c>
      <c r="I152" s="138">
        <v>0.78900000000000003</v>
      </c>
      <c r="J152" s="44" t="s">
        <v>831</v>
      </c>
    </row>
    <row r="153" spans="1:10" x14ac:dyDescent="0.3">
      <c r="A153" s="126" t="s">
        <v>390</v>
      </c>
      <c r="B153" s="126" t="s">
        <v>1019</v>
      </c>
      <c r="C153" s="53" t="s">
        <v>1162</v>
      </c>
      <c r="D153" s="53" t="s">
        <v>1161</v>
      </c>
      <c r="E153" s="131">
        <v>45701</v>
      </c>
      <c r="F153" s="127" t="s">
        <v>1175</v>
      </c>
      <c r="G153" s="127" t="s">
        <v>852</v>
      </c>
      <c r="H153" s="54">
        <v>5020.4665000000005</v>
      </c>
      <c r="I153" s="138">
        <v>0.78900000000000003</v>
      </c>
      <c r="J153" s="44" t="s">
        <v>831</v>
      </c>
    </row>
    <row r="154" spans="1:10" x14ac:dyDescent="0.3">
      <c r="A154" s="126" t="s">
        <v>390</v>
      </c>
      <c r="B154" s="126" t="s">
        <v>1019</v>
      </c>
      <c r="C154" s="53" t="s">
        <v>1163</v>
      </c>
      <c r="D154" s="53" t="s">
        <v>1161</v>
      </c>
      <c r="E154" s="131">
        <v>45701</v>
      </c>
      <c r="F154" s="127" t="s">
        <v>1175</v>
      </c>
      <c r="G154" s="127" t="s">
        <v>852</v>
      </c>
      <c r="H154" s="54">
        <v>2971.2965000000004</v>
      </c>
      <c r="I154" s="138">
        <v>0.78900000000000003</v>
      </c>
      <c r="J154" s="44" t="s">
        <v>831</v>
      </c>
    </row>
    <row r="155" spans="1:10" x14ac:dyDescent="0.3">
      <c r="A155" s="126" t="s">
        <v>390</v>
      </c>
      <c r="B155" s="126" t="s">
        <v>1019</v>
      </c>
      <c r="C155" s="53" t="s">
        <v>1164</v>
      </c>
      <c r="D155" s="53" t="s">
        <v>1165</v>
      </c>
      <c r="E155" s="131">
        <v>45701</v>
      </c>
      <c r="F155" s="127" t="s">
        <v>1176</v>
      </c>
      <c r="G155" s="127" t="s">
        <v>1177</v>
      </c>
      <c r="H155" s="54">
        <v>4815.5495000000001</v>
      </c>
      <c r="I155" s="138">
        <v>0.66600000000000004</v>
      </c>
      <c r="J155" s="44" t="s">
        <v>832</v>
      </c>
    </row>
    <row r="156" spans="1:10" x14ac:dyDescent="0.3">
      <c r="A156" s="126" t="s">
        <v>390</v>
      </c>
      <c r="B156" s="126" t="s">
        <v>1019</v>
      </c>
      <c r="C156" s="53" t="s">
        <v>1166</v>
      </c>
      <c r="D156" s="53" t="s">
        <v>1165</v>
      </c>
      <c r="E156" s="131">
        <v>45707</v>
      </c>
      <c r="F156" s="127" t="s">
        <v>1178</v>
      </c>
      <c r="G156" s="127" t="s">
        <v>1179</v>
      </c>
      <c r="H156" s="54">
        <v>2127.4785000000002</v>
      </c>
      <c r="I156" s="138">
        <v>0.66600000000000004</v>
      </c>
      <c r="J156" s="44" t="s">
        <v>832</v>
      </c>
    </row>
    <row r="157" spans="1:10" x14ac:dyDescent="0.3">
      <c r="A157" s="126" t="s">
        <v>390</v>
      </c>
      <c r="B157" s="126" t="s">
        <v>1019</v>
      </c>
      <c r="C157" s="53" t="s">
        <v>1167</v>
      </c>
      <c r="D157" s="53" t="s">
        <v>1165</v>
      </c>
      <c r="E157" s="131">
        <v>45707</v>
      </c>
      <c r="F157" s="127" t="s">
        <v>1178</v>
      </c>
      <c r="G157" s="127" t="s">
        <v>1179</v>
      </c>
      <c r="H157" s="54">
        <v>1013.085</v>
      </c>
      <c r="I157" s="138">
        <v>0.66600000000000004</v>
      </c>
      <c r="J157" s="44" t="s">
        <v>832</v>
      </c>
    </row>
    <row r="158" spans="1:10" x14ac:dyDescent="0.3">
      <c r="A158" s="126" t="s">
        <v>390</v>
      </c>
      <c r="B158" s="126" t="s">
        <v>1019</v>
      </c>
      <c r="C158" s="53" t="s">
        <v>1168</v>
      </c>
      <c r="D158" s="53" t="s">
        <v>991</v>
      </c>
      <c r="E158" s="131">
        <v>45712</v>
      </c>
      <c r="F158" s="127" t="s">
        <v>854</v>
      </c>
      <c r="G158" s="127" t="s">
        <v>855</v>
      </c>
      <c r="H158" s="54">
        <v>35094.78</v>
      </c>
      <c r="I158" s="138">
        <v>0.33700000000000002</v>
      </c>
      <c r="J158" s="44" t="s">
        <v>831</v>
      </c>
    </row>
    <row r="159" spans="1:10" x14ac:dyDescent="0.3">
      <c r="A159" s="126" t="s">
        <v>392</v>
      </c>
      <c r="B159" s="126" t="s">
        <v>1019</v>
      </c>
      <c r="C159" s="53" t="s">
        <v>1169</v>
      </c>
      <c r="D159" s="53" t="s">
        <v>1170</v>
      </c>
      <c r="E159" s="131">
        <v>45714</v>
      </c>
      <c r="F159" s="127" t="s">
        <v>844</v>
      </c>
      <c r="G159" s="127" t="s">
        <v>863</v>
      </c>
      <c r="H159" s="54">
        <v>125368.33749999999</v>
      </c>
      <c r="I159" s="138">
        <v>0.20799999999999999</v>
      </c>
      <c r="J159" s="44" t="s">
        <v>831</v>
      </c>
    </row>
    <row r="160" spans="1:10" x14ac:dyDescent="0.3">
      <c r="A160" s="126" t="s">
        <v>390</v>
      </c>
      <c r="B160" s="126" t="s">
        <v>1019</v>
      </c>
      <c r="C160" s="53" t="s">
        <v>1171</v>
      </c>
      <c r="D160" s="53" t="s">
        <v>1172</v>
      </c>
      <c r="E160" s="131">
        <v>45715</v>
      </c>
      <c r="F160" s="127" t="s">
        <v>1175</v>
      </c>
      <c r="G160" s="127" t="s">
        <v>852</v>
      </c>
      <c r="H160" s="54">
        <v>5004.7865000000002</v>
      </c>
      <c r="I160" s="138">
        <v>0.65600000000000003</v>
      </c>
      <c r="J160" s="44" t="s">
        <v>831</v>
      </c>
    </row>
    <row r="161" spans="1:10" x14ac:dyDescent="0.3">
      <c r="A161" s="126" t="s">
        <v>390</v>
      </c>
      <c r="B161" s="126" t="s">
        <v>1019</v>
      </c>
      <c r="C161" s="53" t="s">
        <v>1173</v>
      </c>
      <c r="D161" s="53" t="s">
        <v>1172</v>
      </c>
      <c r="E161" s="131">
        <v>45715</v>
      </c>
      <c r="F161" s="127" t="s">
        <v>1175</v>
      </c>
      <c r="G161" s="127" t="s">
        <v>852</v>
      </c>
      <c r="H161" s="54">
        <v>2553.4625000000001</v>
      </c>
      <c r="I161" s="138">
        <v>0.65600000000000003</v>
      </c>
      <c r="J161" s="44" t="s">
        <v>831</v>
      </c>
    </row>
    <row r="162" spans="1:10" x14ac:dyDescent="0.3">
      <c r="A162" s="126" t="s">
        <v>390</v>
      </c>
      <c r="B162" s="126" t="s">
        <v>6</v>
      </c>
      <c r="C162" s="53" t="s">
        <v>1180</v>
      </c>
      <c r="D162" s="53" t="s">
        <v>1181</v>
      </c>
      <c r="E162" s="131">
        <v>45720</v>
      </c>
      <c r="F162" s="127" t="s">
        <v>375</v>
      </c>
      <c r="G162" s="127" t="s">
        <v>62</v>
      </c>
      <c r="H162" s="54">
        <v>27923.01</v>
      </c>
      <c r="I162" s="138">
        <v>0.40400000000000003</v>
      </c>
      <c r="J162" s="44" t="s">
        <v>831</v>
      </c>
    </row>
    <row r="163" spans="1:10" x14ac:dyDescent="0.3">
      <c r="A163" s="126" t="s">
        <v>392</v>
      </c>
      <c r="B163" s="126" t="s">
        <v>6</v>
      </c>
      <c r="C163" s="53" t="s">
        <v>1182</v>
      </c>
      <c r="D163" s="53" t="s">
        <v>1183</v>
      </c>
      <c r="E163" s="131">
        <v>45721</v>
      </c>
      <c r="F163" s="127" t="s">
        <v>370</v>
      </c>
      <c r="G163" s="127" t="s">
        <v>1184</v>
      </c>
      <c r="H163" s="54">
        <v>14040.49</v>
      </c>
      <c r="I163" s="138">
        <v>0.47299999999999998</v>
      </c>
      <c r="J163" s="44" t="s">
        <v>830</v>
      </c>
    </row>
    <row r="164" spans="1:10" x14ac:dyDescent="0.3">
      <c r="A164" s="126" t="s">
        <v>392</v>
      </c>
      <c r="B164" s="126" t="s">
        <v>6</v>
      </c>
      <c r="C164" s="53" t="s">
        <v>1185</v>
      </c>
      <c r="D164" s="53" t="s">
        <v>1186</v>
      </c>
      <c r="E164" s="131">
        <v>45721</v>
      </c>
      <c r="F164" s="127" t="s">
        <v>370</v>
      </c>
      <c r="G164" s="127" t="s">
        <v>1184</v>
      </c>
      <c r="H164" s="54">
        <v>14040.49</v>
      </c>
      <c r="I164" s="138">
        <v>0.47299999999999998</v>
      </c>
      <c r="J164" s="44" t="s">
        <v>830</v>
      </c>
    </row>
    <row r="165" spans="1:10" x14ac:dyDescent="0.3">
      <c r="A165" s="126" t="s">
        <v>390</v>
      </c>
      <c r="B165" s="126" t="s">
        <v>6</v>
      </c>
      <c r="C165" s="53" t="s">
        <v>1187</v>
      </c>
      <c r="D165" s="53" t="s">
        <v>1188</v>
      </c>
      <c r="E165" s="131">
        <v>45722</v>
      </c>
      <c r="F165" s="127" t="s">
        <v>372</v>
      </c>
      <c r="G165" s="127" t="s">
        <v>10</v>
      </c>
      <c r="H165" s="54">
        <v>73861.990000000005</v>
      </c>
      <c r="I165" s="138">
        <v>0.22900000000000001</v>
      </c>
      <c r="J165" s="44" t="s">
        <v>833</v>
      </c>
    </row>
    <row r="166" spans="1:10" x14ac:dyDescent="0.3">
      <c r="A166" s="126" t="s">
        <v>392</v>
      </c>
      <c r="B166" s="126" t="s">
        <v>6</v>
      </c>
      <c r="C166" s="53" t="s">
        <v>1189</v>
      </c>
      <c r="D166" s="53" t="s">
        <v>1190</v>
      </c>
      <c r="E166" s="131">
        <v>45722</v>
      </c>
      <c r="F166" s="127" t="s">
        <v>370</v>
      </c>
      <c r="G166" s="127" t="s">
        <v>1184</v>
      </c>
      <c r="H166" s="54">
        <v>14163.85</v>
      </c>
      <c r="I166" s="138">
        <v>0.57599999999999996</v>
      </c>
      <c r="J166" s="44" t="s">
        <v>830</v>
      </c>
    </row>
    <row r="167" spans="1:10" x14ac:dyDescent="0.3">
      <c r="A167" s="126" t="s">
        <v>392</v>
      </c>
      <c r="B167" s="126" t="s">
        <v>6</v>
      </c>
      <c r="C167" s="53" t="s">
        <v>1191</v>
      </c>
      <c r="D167" s="53" t="s">
        <v>1192</v>
      </c>
      <c r="E167" s="131">
        <v>45722</v>
      </c>
      <c r="F167" s="127" t="s">
        <v>374</v>
      </c>
      <c r="G167" s="127" t="s">
        <v>17</v>
      </c>
      <c r="H167" s="54">
        <v>7700.77</v>
      </c>
      <c r="I167" s="138">
        <v>0.70099999999999996</v>
      </c>
      <c r="J167" s="44" t="s">
        <v>848</v>
      </c>
    </row>
    <row r="168" spans="1:10" x14ac:dyDescent="0.3">
      <c r="A168" s="126" t="s">
        <v>390</v>
      </c>
      <c r="B168" s="126" t="s">
        <v>6</v>
      </c>
      <c r="C168" s="53" t="s">
        <v>1193</v>
      </c>
      <c r="D168" s="53" t="s">
        <v>1194</v>
      </c>
      <c r="E168" s="131">
        <v>45722</v>
      </c>
      <c r="F168" s="127" t="s">
        <v>587</v>
      </c>
      <c r="G168" s="127" t="s">
        <v>11</v>
      </c>
      <c r="H168" s="54">
        <v>34700</v>
      </c>
      <c r="I168" s="138">
        <v>0.52600000000000002</v>
      </c>
      <c r="J168" s="44" t="s">
        <v>831</v>
      </c>
    </row>
    <row r="169" spans="1:10" x14ac:dyDescent="0.3">
      <c r="A169" s="126" t="s">
        <v>390</v>
      </c>
      <c r="B169" s="126" t="s">
        <v>6</v>
      </c>
      <c r="C169" s="53" t="s">
        <v>1195</v>
      </c>
      <c r="D169" s="53" t="s">
        <v>1196</v>
      </c>
      <c r="E169" s="131">
        <v>45726</v>
      </c>
      <c r="F169" s="127" t="s">
        <v>372</v>
      </c>
      <c r="G169" s="127" t="s">
        <v>10</v>
      </c>
      <c r="H169" s="54">
        <v>11340.08</v>
      </c>
      <c r="I169" s="138">
        <v>0.30299999999999999</v>
      </c>
      <c r="J169" s="44" t="s">
        <v>833</v>
      </c>
    </row>
    <row r="170" spans="1:10" x14ac:dyDescent="0.3">
      <c r="A170" s="126" t="s">
        <v>390</v>
      </c>
      <c r="B170" s="126" t="s">
        <v>6</v>
      </c>
      <c r="C170" s="53" t="s">
        <v>1197</v>
      </c>
      <c r="D170" s="53" t="s">
        <v>1198</v>
      </c>
      <c r="E170" s="131">
        <v>45728</v>
      </c>
      <c r="F170" s="127" t="s">
        <v>372</v>
      </c>
      <c r="G170" s="127" t="s">
        <v>10</v>
      </c>
      <c r="H170" s="54">
        <v>3540</v>
      </c>
      <c r="I170" s="138">
        <v>0.25900000000000001</v>
      </c>
      <c r="J170" s="44" t="s">
        <v>833</v>
      </c>
    </row>
    <row r="171" spans="1:10" x14ac:dyDescent="0.3">
      <c r="A171" s="126" t="s">
        <v>392</v>
      </c>
      <c r="B171" s="126" t="s">
        <v>6</v>
      </c>
      <c r="C171" s="53" t="s">
        <v>1199</v>
      </c>
      <c r="D171" s="53" t="s">
        <v>1200</v>
      </c>
      <c r="E171" s="131">
        <v>45729</v>
      </c>
      <c r="F171" s="127" t="s">
        <v>370</v>
      </c>
      <c r="G171" s="127" t="s">
        <v>1184</v>
      </c>
      <c r="H171" s="54">
        <v>4101.6000000000004</v>
      </c>
      <c r="I171" s="138">
        <v>0.56100000000000005</v>
      </c>
      <c r="J171" s="44" t="s">
        <v>830</v>
      </c>
    </row>
    <row r="172" spans="1:10" x14ac:dyDescent="0.3">
      <c r="A172" s="126" t="s">
        <v>392</v>
      </c>
      <c r="B172" s="126" t="s">
        <v>6</v>
      </c>
      <c r="C172" s="53" t="s">
        <v>1201</v>
      </c>
      <c r="D172" s="53" t="s">
        <v>1202</v>
      </c>
      <c r="E172" s="131">
        <v>45729</v>
      </c>
      <c r="F172" s="127" t="s">
        <v>370</v>
      </c>
      <c r="G172" s="127" t="s">
        <v>1184</v>
      </c>
      <c r="H172" s="54">
        <v>14155.54</v>
      </c>
      <c r="I172" s="138">
        <v>0.49099999999999999</v>
      </c>
      <c r="J172" s="44" t="s">
        <v>830</v>
      </c>
    </row>
    <row r="173" spans="1:10" x14ac:dyDescent="0.3">
      <c r="A173" s="126" t="s">
        <v>392</v>
      </c>
      <c r="B173" s="126" t="s">
        <v>6</v>
      </c>
      <c r="C173" s="53" t="s">
        <v>1203</v>
      </c>
      <c r="D173" s="53" t="s">
        <v>1204</v>
      </c>
      <c r="E173" s="131">
        <v>45729</v>
      </c>
      <c r="F173" s="127" t="s">
        <v>370</v>
      </c>
      <c r="G173" s="127" t="s">
        <v>1184</v>
      </c>
      <c r="H173" s="54">
        <v>8120.36</v>
      </c>
      <c r="I173" s="138">
        <v>0.68799999999999994</v>
      </c>
      <c r="J173" s="44" t="s">
        <v>830</v>
      </c>
    </row>
    <row r="174" spans="1:10" x14ac:dyDescent="0.3">
      <c r="A174" s="126" t="s">
        <v>392</v>
      </c>
      <c r="B174" s="126" t="s">
        <v>6</v>
      </c>
      <c r="C174" s="53" t="s">
        <v>1205</v>
      </c>
      <c r="D174" s="53" t="s">
        <v>1206</v>
      </c>
      <c r="E174" s="131">
        <v>45729</v>
      </c>
      <c r="F174" s="127" t="s">
        <v>370</v>
      </c>
      <c r="G174" s="127" t="s">
        <v>1184</v>
      </c>
      <c r="H174" s="54">
        <v>8120.36</v>
      </c>
      <c r="I174" s="138">
        <v>0.68799999999999994</v>
      </c>
      <c r="J174" s="44" t="s">
        <v>830</v>
      </c>
    </row>
    <row r="175" spans="1:10" x14ac:dyDescent="0.3">
      <c r="A175" s="126" t="s">
        <v>392</v>
      </c>
      <c r="B175" s="126" t="s">
        <v>6</v>
      </c>
      <c r="C175" s="53" t="s">
        <v>1207</v>
      </c>
      <c r="D175" s="53" t="s">
        <v>1208</v>
      </c>
      <c r="E175" s="131">
        <v>45729</v>
      </c>
      <c r="F175" s="127" t="s">
        <v>370</v>
      </c>
      <c r="G175" s="127" t="s">
        <v>1184</v>
      </c>
      <c r="H175" s="54">
        <v>8120.36</v>
      </c>
      <c r="I175" s="138">
        <v>0.68799999999999994</v>
      </c>
      <c r="J175" s="44" t="s">
        <v>830</v>
      </c>
    </row>
    <row r="176" spans="1:10" x14ac:dyDescent="0.3">
      <c r="A176" s="126" t="s">
        <v>392</v>
      </c>
      <c r="B176" s="126" t="s">
        <v>6</v>
      </c>
      <c r="C176" s="53" t="s">
        <v>1209</v>
      </c>
      <c r="D176" s="53" t="s">
        <v>1210</v>
      </c>
      <c r="E176" s="131">
        <v>45729</v>
      </c>
      <c r="F176" s="127" t="s">
        <v>370</v>
      </c>
      <c r="G176" s="127" t="s">
        <v>1184</v>
      </c>
      <c r="H176" s="54">
        <v>14155.54</v>
      </c>
      <c r="I176" s="138">
        <v>0.49099999999999999</v>
      </c>
      <c r="J176" s="44" t="s">
        <v>830</v>
      </c>
    </row>
    <row r="177" spans="1:10" x14ac:dyDescent="0.3">
      <c r="A177" s="126" t="s">
        <v>390</v>
      </c>
      <c r="B177" s="126" t="s">
        <v>6</v>
      </c>
      <c r="C177" s="53" t="s">
        <v>1211</v>
      </c>
      <c r="D177" s="53" t="s">
        <v>1212</v>
      </c>
      <c r="E177" s="131">
        <v>45730</v>
      </c>
      <c r="F177" s="127" t="s">
        <v>372</v>
      </c>
      <c r="G177" s="127" t="s">
        <v>10</v>
      </c>
      <c r="H177" s="54">
        <v>9517.7999999999993</v>
      </c>
      <c r="I177" s="138">
        <v>0.38600000000000001</v>
      </c>
      <c r="J177" s="44" t="s">
        <v>833</v>
      </c>
    </row>
    <row r="178" spans="1:10" x14ac:dyDescent="0.3">
      <c r="A178" s="126" t="s">
        <v>392</v>
      </c>
      <c r="B178" s="126" t="s">
        <v>6</v>
      </c>
      <c r="C178" s="53" t="s">
        <v>1213</v>
      </c>
      <c r="D178" s="53" t="s">
        <v>1214</v>
      </c>
      <c r="E178" s="131">
        <v>45730</v>
      </c>
      <c r="F178" s="127" t="s">
        <v>371</v>
      </c>
      <c r="G178" s="127" t="s">
        <v>864</v>
      </c>
      <c r="H178" s="54">
        <v>15356</v>
      </c>
      <c r="I178" s="138">
        <v>0.65</v>
      </c>
      <c r="J178" s="44" t="s">
        <v>848</v>
      </c>
    </row>
    <row r="179" spans="1:10" x14ac:dyDescent="0.3">
      <c r="A179" s="126" t="s">
        <v>390</v>
      </c>
      <c r="B179" s="126" t="s">
        <v>6</v>
      </c>
      <c r="C179" s="53" t="s">
        <v>1215</v>
      </c>
      <c r="D179" s="53" t="s">
        <v>1216</v>
      </c>
      <c r="E179" s="131">
        <v>45730</v>
      </c>
      <c r="F179" s="127" t="s">
        <v>375</v>
      </c>
      <c r="G179" s="127" t="s">
        <v>62</v>
      </c>
      <c r="H179" s="54">
        <v>16078.51</v>
      </c>
      <c r="I179" s="138">
        <v>0.39700000000000002</v>
      </c>
      <c r="J179" s="44" t="s">
        <v>831</v>
      </c>
    </row>
    <row r="180" spans="1:10" x14ac:dyDescent="0.3">
      <c r="A180" s="126" t="s">
        <v>392</v>
      </c>
      <c r="B180" s="126" t="s">
        <v>6</v>
      </c>
      <c r="C180" s="53" t="s">
        <v>1217</v>
      </c>
      <c r="D180" s="53" t="s">
        <v>1218</v>
      </c>
      <c r="E180" s="131">
        <v>45735</v>
      </c>
      <c r="F180" s="127" t="s">
        <v>842</v>
      </c>
      <c r="G180" s="127" t="s">
        <v>843</v>
      </c>
      <c r="H180" s="54">
        <v>22000</v>
      </c>
      <c r="I180" s="138">
        <v>0.44700000000000001</v>
      </c>
      <c r="J180" s="44" t="s">
        <v>832</v>
      </c>
    </row>
    <row r="181" spans="1:10" x14ac:dyDescent="0.3">
      <c r="A181" s="126" t="s">
        <v>392</v>
      </c>
      <c r="B181" s="126" t="s">
        <v>6</v>
      </c>
      <c r="C181" s="53" t="s">
        <v>1219</v>
      </c>
      <c r="D181" s="53" t="s">
        <v>1220</v>
      </c>
      <c r="E181" s="131">
        <v>45735</v>
      </c>
      <c r="F181" s="127" t="s">
        <v>842</v>
      </c>
      <c r="G181" s="127" t="s">
        <v>843</v>
      </c>
      <c r="H181" s="54">
        <v>22000</v>
      </c>
      <c r="I181" s="138">
        <v>0.44700000000000001</v>
      </c>
      <c r="J181" s="44" t="s">
        <v>832</v>
      </c>
    </row>
    <row r="182" spans="1:10" x14ac:dyDescent="0.3">
      <c r="A182" s="126" t="s">
        <v>392</v>
      </c>
      <c r="B182" s="126" t="s">
        <v>6</v>
      </c>
      <c r="C182" s="53" t="s">
        <v>1221</v>
      </c>
      <c r="D182" s="53" t="s">
        <v>1222</v>
      </c>
      <c r="E182" s="131">
        <v>45735</v>
      </c>
      <c r="F182" s="127" t="s">
        <v>842</v>
      </c>
      <c r="G182" s="127" t="s">
        <v>843</v>
      </c>
      <c r="H182" s="54">
        <v>22000</v>
      </c>
      <c r="I182" s="138">
        <v>0.44700000000000001</v>
      </c>
      <c r="J182" s="44" t="s">
        <v>832</v>
      </c>
    </row>
    <row r="183" spans="1:10" x14ac:dyDescent="0.3">
      <c r="A183" s="126" t="s">
        <v>392</v>
      </c>
      <c r="B183" s="126" t="s">
        <v>6</v>
      </c>
      <c r="C183" s="53" t="s">
        <v>1223</v>
      </c>
      <c r="D183" s="53" t="s">
        <v>1224</v>
      </c>
      <c r="E183" s="131">
        <v>45735</v>
      </c>
      <c r="F183" s="127" t="s">
        <v>842</v>
      </c>
      <c r="G183" s="127" t="s">
        <v>843</v>
      </c>
      <c r="H183" s="54">
        <v>22000</v>
      </c>
      <c r="I183" s="138">
        <v>0.44700000000000001</v>
      </c>
      <c r="J183" s="44" t="s">
        <v>832</v>
      </c>
    </row>
    <row r="184" spans="1:10" x14ac:dyDescent="0.3">
      <c r="A184" s="126" t="s">
        <v>390</v>
      </c>
      <c r="B184" s="126" t="s">
        <v>6</v>
      </c>
      <c r="C184" s="53" t="s">
        <v>1225</v>
      </c>
      <c r="D184" s="53" t="s">
        <v>1226</v>
      </c>
      <c r="E184" s="131">
        <v>45735</v>
      </c>
      <c r="F184" s="127" t="s">
        <v>376</v>
      </c>
      <c r="G184" s="127" t="s">
        <v>14</v>
      </c>
      <c r="H184" s="54">
        <v>19998</v>
      </c>
      <c r="I184" s="138">
        <v>0.55200000000000005</v>
      </c>
      <c r="J184" s="44" t="s">
        <v>832</v>
      </c>
    </row>
    <row r="185" spans="1:10" x14ac:dyDescent="0.3">
      <c r="A185" s="126" t="s">
        <v>392</v>
      </c>
      <c r="B185" s="126" t="s">
        <v>6</v>
      </c>
      <c r="C185" s="53" t="s">
        <v>1227</v>
      </c>
      <c r="D185" s="53" t="s">
        <v>1228</v>
      </c>
      <c r="E185" s="131">
        <v>45735</v>
      </c>
      <c r="F185" s="127" t="s">
        <v>370</v>
      </c>
      <c r="G185" s="127" t="s">
        <v>1184</v>
      </c>
      <c r="H185" s="54">
        <v>8005.74</v>
      </c>
      <c r="I185" s="138">
        <v>0.7006</v>
      </c>
      <c r="J185" s="44" t="s">
        <v>830</v>
      </c>
    </row>
    <row r="186" spans="1:10" x14ac:dyDescent="0.3">
      <c r="A186" s="126" t="s">
        <v>392</v>
      </c>
      <c r="B186" s="126" t="s">
        <v>6</v>
      </c>
      <c r="C186" s="53" t="s">
        <v>1229</v>
      </c>
      <c r="D186" s="53" t="s">
        <v>1230</v>
      </c>
      <c r="E186" s="131">
        <v>45735</v>
      </c>
      <c r="F186" s="127" t="s">
        <v>370</v>
      </c>
      <c r="G186" s="127" t="s">
        <v>1184</v>
      </c>
      <c r="H186" s="54">
        <v>8036.66</v>
      </c>
      <c r="I186" s="138">
        <v>0.70799999999999996</v>
      </c>
      <c r="J186" s="44" t="s">
        <v>830</v>
      </c>
    </row>
    <row r="187" spans="1:10" x14ac:dyDescent="0.3">
      <c r="A187" s="126" t="s">
        <v>392</v>
      </c>
      <c r="B187" s="126" t="s">
        <v>6</v>
      </c>
      <c r="C187" s="53" t="s">
        <v>1231</v>
      </c>
      <c r="D187" s="53" t="s">
        <v>1232</v>
      </c>
      <c r="E187" s="131">
        <v>45735</v>
      </c>
      <c r="F187" s="127" t="s">
        <v>370</v>
      </c>
      <c r="G187" s="127" t="s">
        <v>1184</v>
      </c>
      <c r="H187" s="54">
        <v>8008.44</v>
      </c>
      <c r="I187" s="138">
        <v>0.70699999999999996</v>
      </c>
      <c r="J187" s="44" t="s">
        <v>830</v>
      </c>
    </row>
    <row r="188" spans="1:10" x14ac:dyDescent="0.3">
      <c r="A188" s="126" t="s">
        <v>392</v>
      </c>
      <c r="B188" s="126" t="s">
        <v>6</v>
      </c>
      <c r="C188" s="53" t="s">
        <v>1233</v>
      </c>
      <c r="D188" s="53" t="s">
        <v>1234</v>
      </c>
      <c r="E188" s="131">
        <v>45735</v>
      </c>
      <c r="F188" s="127" t="s">
        <v>370</v>
      </c>
      <c r="G188" s="127" t="s">
        <v>1184</v>
      </c>
      <c r="H188" s="54">
        <v>8008.44</v>
      </c>
      <c r="I188" s="138">
        <v>0.70699999999999996</v>
      </c>
      <c r="J188" s="44" t="s">
        <v>830</v>
      </c>
    </row>
    <row r="189" spans="1:10" x14ac:dyDescent="0.3">
      <c r="A189" s="126" t="s">
        <v>392</v>
      </c>
      <c r="B189" s="126" t="s">
        <v>6</v>
      </c>
      <c r="C189" s="53" t="s">
        <v>1235</v>
      </c>
      <c r="D189" s="53" t="s">
        <v>1236</v>
      </c>
      <c r="E189" s="131">
        <v>45735</v>
      </c>
      <c r="F189" s="127" t="s">
        <v>370</v>
      </c>
      <c r="G189" s="127" t="s">
        <v>1184</v>
      </c>
      <c r="H189" s="54">
        <v>8008.44</v>
      </c>
      <c r="I189" s="138">
        <v>0.70699999999999996</v>
      </c>
      <c r="J189" s="44" t="s">
        <v>830</v>
      </c>
    </row>
    <row r="190" spans="1:10" x14ac:dyDescent="0.3">
      <c r="A190" s="126" t="s">
        <v>392</v>
      </c>
      <c r="B190" s="126" t="s">
        <v>6</v>
      </c>
      <c r="C190" s="53" t="s">
        <v>1237</v>
      </c>
      <c r="D190" s="53" t="s">
        <v>1238</v>
      </c>
      <c r="E190" s="131">
        <v>45735</v>
      </c>
      <c r="F190" s="127" t="s">
        <v>370</v>
      </c>
      <c r="G190" s="127" t="s">
        <v>1184</v>
      </c>
      <c r="H190" s="54">
        <v>8017.76</v>
      </c>
      <c r="I190" s="138">
        <v>0.70699999999999996</v>
      </c>
      <c r="J190" s="44" t="s">
        <v>830</v>
      </c>
    </row>
    <row r="191" spans="1:10" x14ac:dyDescent="0.3">
      <c r="A191" s="126" t="s">
        <v>392</v>
      </c>
      <c r="B191" s="126" t="s">
        <v>6</v>
      </c>
      <c r="C191" s="53" t="s">
        <v>1239</v>
      </c>
      <c r="D191" s="53" t="s">
        <v>1240</v>
      </c>
      <c r="E191" s="131">
        <v>45735</v>
      </c>
      <c r="F191" s="127" t="s">
        <v>370</v>
      </c>
      <c r="G191" s="127" t="s">
        <v>1184</v>
      </c>
      <c r="H191" s="54">
        <v>8017.76</v>
      </c>
      <c r="I191" s="138">
        <v>0.70699999999999996</v>
      </c>
      <c r="J191" s="44" t="s">
        <v>830</v>
      </c>
    </row>
    <row r="192" spans="1:10" x14ac:dyDescent="0.3">
      <c r="A192" s="126" t="s">
        <v>390</v>
      </c>
      <c r="B192" s="126" t="s">
        <v>6</v>
      </c>
      <c r="C192" s="53" t="s">
        <v>1241</v>
      </c>
      <c r="D192" s="53" t="s">
        <v>1242</v>
      </c>
      <c r="E192" s="131">
        <v>45736</v>
      </c>
      <c r="F192" s="127" t="s">
        <v>371</v>
      </c>
      <c r="G192" s="127" t="s">
        <v>864</v>
      </c>
      <c r="H192" s="54">
        <v>30790.959999999999</v>
      </c>
      <c r="I192" s="138">
        <v>0.23300000000000001</v>
      </c>
      <c r="J192" s="44" t="s">
        <v>833</v>
      </c>
    </row>
    <row r="193" spans="1:10" x14ac:dyDescent="0.3">
      <c r="A193" s="126" t="s">
        <v>392</v>
      </c>
      <c r="B193" s="126" t="s">
        <v>6</v>
      </c>
      <c r="C193" s="53" t="s">
        <v>1243</v>
      </c>
      <c r="D193" s="53" t="s">
        <v>1244</v>
      </c>
      <c r="E193" s="131">
        <v>45736</v>
      </c>
      <c r="F193" s="127" t="s">
        <v>370</v>
      </c>
      <c r="G193" s="127" t="s">
        <v>1184</v>
      </c>
      <c r="H193" s="54">
        <v>20221.04</v>
      </c>
      <c r="I193" s="138">
        <v>0.68600000000000005</v>
      </c>
      <c r="J193" s="44" t="s">
        <v>830</v>
      </c>
    </row>
    <row r="194" spans="1:10" x14ac:dyDescent="0.3">
      <c r="A194" s="126" t="s">
        <v>392</v>
      </c>
      <c r="B194" s="126" t="s">
        <v>6</v>
      </c>
      <c r="C194" s="53" t="s">
        <v>1245</v>
      </c>
      <c r="D194" s="53" t="s">
        <v>1246</v>
      </c>
      <c r="E194" s="131">
        <v>45736</v>
      </c>
      <c r="F194" s="127" t="s">
        <v>370</v>
      </c>
      <c r="G194" s="127" t="s">
        <v>1184</v>
      </c>
      <c r="H194" s="54">
        <v>14001.64</v>
      </c>
      <c r="I194" s="138">
        <v>0.55000000000000004</v>
      </c>
      <c r="J194" s="44" t="s">
        <v>830</v>
      </c>
    </row>
    <row r="195" spans="1:10" x14ac:dyDescent="0.3">
      <c r="A195" s="126" t="s">
        <v>390</v>
      </c>
      <c r="B195" s="126" t="s">
        <v>6</v>
      </c>
      <c r="C195" s="53" t="s">
        <v>1247</v>
      </c>
      <c r="D195" s="53" t="s">
        <v>1181</v>
      </c>
      <c r="E195" s="131">
        <v>45736</v>
      </c>
      <c r="F195" s="127" t="s">
        <v>375</v>
      </c>
      <c r="G195" s="127" t="s">
        <v>62</v>
      </c>
      <c r="H195" s="54">
        <v>11000</v>
      </c>
      <c r="I195" s="138">
        <v>0.40400000000000003</v>
      </c>
      <c r="J195" s="44" t="s">
        <v>831</v>
      </c>
    </row>
    <row r="196" spans="1:10" x14ac:dyDescent="0.3">
      <c r="A196" s="126" t="s">
        <v>390</v>
      </c>
      <c r="B196" s="126" t="s">
        <v>6</v>
      </c>
      <c r="C196" s="53" t="s">
        <v>1248</v>
      </c>
      <c r="D196" s="53" t="s">
        <v>1249</v>
      </c>
      <c r="E196" s="131">
        <v>45736</v>
      </c>
      <c r="F196" s="127" t="s">
        <v>844</v>
      </c>
      <c r="G196" s="127" t="s">
        <v>863</v>
      </c>
      <c r="H196" s="54">
        <v>15556</v>
      </c>
      <c r="I196" s="138">
        <v>0.25900000000000001</v>
      </c>
      <c r="J196" s="44" t="s">
        <v>831</v>
      </c>
    </row>
    <row r="197" spans="1:10" x14ac:dyDescent="0.3">
      <c r="A197" s="126" t="s">
        <v>390</v>
      </c>
      <c r="B197" s="126" t="s">
        <v>6</v>
      </c>
      <c r="C197" s="53" t="s">
        <v>1250</v>
      </c>
      <c r="D197" s="53" t="s">
        <v>1251</v>
      </c>
      <c r="E197" s="131">
        <v>45736</v>
      </c>
      <c r="F197" s="127" t="s">
        <v>371</v>
      </c>
      <c r="G197" s="127" t="s">
        <v>864</v>
      </c>
      <c r="H197" s="54">
        <v>13943.68</v>
      </c>
      <c r="I197" s="138">
        <v>0.51</v>
      </c>
      <c r="J197" s="44" t="s">
        <v>832</v>
      </c>
    </row>
    <row r="198" spans="1:10" x14ac:dyDescent="0.3">
      <c r="A198" s="126" t="s">
        <v>392</v>
      </c>
      <c r="B198" s="126" t="s">
        <v>6</v>
      </c>
      <c r="C198" s="53" t="s">
        <v>1252</v>
      </c>
      <c r="D198" s="53" t="s">
        <v>1253</v>
      </c>
      <c r="E198" s="131">
        <v>45737</v>
      </c>
      <c r="F198" s="127" t="s">
        <v>372</v>
      </c>
      <c r="G198" s="127" t="s">
        <v>10</v>
      </c>
      <c r="H198" s="54">
        <v>3041.66</v>
      </c>
      <c r="I198" s="138">
        <v>0.41</v>
      </c>
      <c r="J198" s="44" t="s">
        <v>848</v>
      </c>
    </row>
    <row r="199" spans="1:10" x14ac:dyDescent="0.3">
      <c r="A199" s="126" t="s">
        <v>392</v>
      </c>
      <c r="B199" s="126" t="s">
        <v>6</v>
      </c>
      <c r="C199" s="53" t="s">
        <v>1254</v>
      </c>
      <c r="D199" s="53" t="s">
        <v>1255</v>
      </c>
      <c r="E199" s="131">
        <v>45737</v>
      </c>
      <c r="F199" s="127" t="s">
        <v>370</v>
      </c>
      <c r="G199" s="127" t="s">
        <v>1184</v>
      </c>
      <c r="H199" s="54">
        <v>14001.64</v>
      </c>
      <c r="I199" s="138">
        <v>0.55000000000000004</v>
      </c>
      <c r="J199" s="44" t="s">
        <v>830</v>
      </c>
    </row>
    <row r="200" spans="1:10" x14ac:dyDescent="0.3">
      <c r="A200" s="126" t="s">
        <v>392</v>
      </c>
      <c r="B200" s="126" t="s">
        <v>6</v>
      </c>
      <c r="C200" s="53" t="s">
        <v>1256</v>
      </c>
      <c r="D200" s="53" t="s">
        <v>1257</v>
      </c>
      <c r="E200" s="131">
        <v>45737</v>
      </c>
      <c r="F200" s="127" t="s">
        <v>844</v>
      </c>
      <c r="G200" s="127" t="s">
        <v>863</v>
      </c>
      <c r="H200" s="54">
        <v>15525</v>
      </c>
      <c r="I200" s="138">
        <v>3.4000000000000002E-2</v>
      </c>
      <c r="J200" s="44" t="s">
        <v>831</v>
      </c>
    </row>
    <row r="201" spans="1:10" x14ac:dyDescent="0.3">
      <c r="A201" s="126" t="s">
        <v>390</v>
      </c>
      <c r="B201" s="126" t="s">
        <v>6</v>
      </c>
      <c r="C201" s="53" t="s">
        <v>1258</v>
      </c>
      <c r="D201" s="53" t="s">
        <v>1259</v>
      </c>
      <c r="E201" s="131">
        <v>45737</v>
      </c>
      <c r="F201" s="127" t="s">
        <v>371</v>
      </c>
      <c r="G201" s="127" t="s">
        <v>864</v>
      </c>
      <c r="H201" s="54">
        <v>13193.61</v>
      </c>
      <c r="I201" s="138">
        <v>0.52700000000000002</v>
      </c>
      <c r="J201" s="44" t="s">
        <v>832</v>
      </c>
    </row>
    <row r="202" spans="1:10" x14ac:dyDescent="0.3">
      <c r="A202" s="126" t="s">
        <v>392</v>
      </c>
      <c r="B202" s="126" t="s">
        <v>6</v>
      </c>
      <c r="C202" s="53" t="s">
        <v>1260</v>
      </c>
      <c r="D202" s="53" t="s">
        <v>1261</v>
      </c>
      <c r="E202" s="131">
        <v>45737</v>
      </c>
      <c r="F202" s="127" t="s">
        <v>842</v>
      </c>
      <c r="G202" s="127" t="s">
        <v>843</v>
      </c>
      <c r="H202" s="54">
        <v>22000</v>
      </c>
      <c r="I202" s="138">
        <v>0.442</v>
      </c>
      <c r="J202" s="44" t="s">
        <v>832</v>
      </c>
    </row>
    <row r="203" spans="1:10" x14ac:dyDescent="0.3">
      <c r="A203" s="126" t="s">
        <v>392</v>
      </c>
      <c r="B203" s="126" t="s">
        <v>6</v>
      </c>
      <c r="C203" s="53" t="s">
        <v>1262</v>
      </c>
      <c r="D203" s="53" t="s">
        <v>1263</v>
      </c>
      <c r="E203" s="131">
        <v>45737</v>
      </c>
      <c r="F203" s="127" t="s">
        <v>842</v>
      </c>
      <c r="G203" s="127" t="s">
        <v>843</v>
      </c>
      <c r="H203" s="54">
        <v>22000</v>
      </c>
      <c r="I203" s="138">
        <v>0.441</v>
      </c>
      <c r="J203" s="44" t="s">
        <v>832</v>
      </c>
    </row>
    <row r="204" spans="1:10" x14ac:dyDescent="0.3">
      <c r="A204" s="126" t="s">
        <v>392</v>
      </c>
      <c r="B204" s="126" t="s">
        <v>6</v>
      </c>
      <c r="C204" s="53" t="s">
        <v>1264</v>
      </c>
      <c r="D204" s="53" t="s">
        <v>1265</v>
      </c>
      <c r="E204" s="131">
        <v>45737</v>
      </c>
      <c r="F204" s="127" t="s">
        <v>842</v>
      </c>
      <c r="G204" s="127" t="s">
        <v>843</v>
      </c>
      <c r="H204" s="54">
        <v>22000</v>
      </c>
      <c r="I204" s="138">
        <v>0.443</v>
      </c>
      <c r="J204" s="44" t="s">
        <v>832</v>
      </c>
    </row>
    <row r="205" spans="1:10" x14ac:dyDescent="0.3">
      <c r="A205" s="126" t="s">
        <v>392</v>
      </c>
      <c r="B205" s="126" t="s">
        <v>6</v>
      </c>
      <c r="C205" s="53" t="s">
        <v>1266</v>
      </c>
      <c r="D205" s="53" t="s">
        <v>1267</v>
      </c>
      <c r="E205" s="131">
        <v>45737</v>
      </c>
      <c r="F205" s="127" t="s">
        <v>842</v>
      </c>
      <c r="G205" s="127" t="s">
        <v>843</v>
      </c>
      <c r="H205" s="54">
        <v>22000</v>
      </c>
      <c r="I205" s="138">
        <v>0.441</v>
      </c>
      <c r="J205" s="44" t="s">
        <v>832</v>
      </c>
    </row>
    <row r="206" spans="1:10" x14ac:dyDescent="0.3">
      <c r="A206" s="126" t="s">
        <v>392</v>
      </c>
      <c r="B206" s="126" t="s">
        <v>6</v>
      </c>
      <c r="C206" s="53" t="s">
        <v>1268</v>
      </c>
      <c r="D206" s="53" t="s">
        <v>1269</v>
      </c>
      <c r="E206" s="131">
        <v>45737</v>
      </c>
      <c r="F206" s="127" t="s">
        <v>842</v>
      </c>
      <c r="G206" s="127" t="s">
        <v>843</v>
      </c>
      <c r="H206" s="54">
        <v>22000</v>
      </c>
      <c r="I206" s="138">
        <v>0.43099999999999999</v>
      </c>
      <c r="J206" s="44" t="s">
        <v>832</v>
      </c>
    </row>
    <row r="207" spans="1:10" x14ac:dyDescent="0.3">
      <c r="A207" s="126" t="s">
        <v>392</v>
      </c>
      <c r="B207" s="126" t="s">
        <v>6</v>
      </c>
      <c r="C207" s="53" t="s">
        <v>1270</v>
      </c>
      <c r="D207" s="53" t="s">
        <v>1271</v>
      </c>
      <c r="E207" s="131">
        <v>45737</v>
      </c>
      <c r="F207" s="127" t="s">
        <v>842</v>
      </c>
      <c r="G207" s="127" t="s">
        <v>843</v>
      </c>
      <c r="H207" s="54">
        <v>22000</v>
      </c>
      <c r="I207" s="138">
        <v>0.43099999999999999</v>
      </c>
      <c r="J207" s="44" t="s">
        <v>832</v>
      </c>
    </row>
    <row r="208" spans="1:10" x14ac:dyDescent="0.3">
      <c r="A208" s="126" t="s">
        <v>392</v>
      </c>
      <c r="B208" s="126" t="s">
        <v>6</v>
      </c>
      <c r="C208" s="53" t="s">
        <v>1272</v>
      </c>
      <c r="D208" s="53" t="s">
        <v>1273</v>
      </c>
      <c r="E208" s="131">
        <v>45737</v>
      </c>
      <c r="F208" s="127" t="s">
        <v>842</v>
      </c>
      <c r="G208" s="127" t="s">
        <v>843</v>
      </c>
      <c r="H208" s="54">
        <v>22000</v>
      </c>
      <c r="I208" s="138">
        <v>0.43099999999999999</v>
      </c>
      <c r="J208" s="44" t="s">
        <v>832</v>
      </c>
    </row>
    <row r="209" spans="1:10" x14ac:dyDescent="0.3">
      <c r="A209" s="126" t="s">
        <v>390</v>
      </c>
      <c r="B209" s="126" t="s">
        <v>6</v>
      </c>
      <c r="C209" s="53" t="s">
        <v>1274</v>
      </c>
      <c r="D209" s="53" t="s">
        <v>1275</v>
      </c>
      <c r="E209" s="131">
        <v>45737</v>
      </c>
      <c r="F209" s="127" t="s">
        <v>372</v>
      </c>
      <c r="G209" s="127" t="s">
        <v>10</v>
      </c>
      <c r="H209" s="54">
        <v>73837.66</v>
      </c>
      <c r="I209" s="138">
        <v>0.23100000000000001</v>
      </c>
      <c r="J209" s="44" t="s">
        <v>833</v>
      </c>
    </row>
    <row r="210" spans="1:10" x14ac:dyDescent="0.3">
      <c r="A210" s="126" t="s">
        <v>392</v>
      </c>
      <c r="B210" s="126" t="s">
        <v>6</v>
      </c>
      <c r="C210" s="53" t="s">
        <v>1276</v>
      </c>
      <c r="D210" s="53" t="s">
        <v>1277</v>
      </c>
      <c r="E210" s="131">
        <v>45740</v>
      </c>
      <c r="F210" s="127" t="s">
        <v>372</v>
      </c>
      <c r="G210" s="127" t="s">
        <v>10</v>
      </c>
      <c r="H210" s="54">
        <v>22496.9</v>
      </c>
      <c r="I210" s="138">
        <v>0.45300000000000001</v>
      </c>
      <c r="J210" s="44" t="s">
        <v>848</v>
      </c>
    </row>
    <row r="211" spans="1:10" x14ac:dyDescent="0.3">
      <c r="A211" s="126" t="s">
        <v>392</v>
      </c>
      <c r="B211" s="126" t="s">
        <v>6</v>
      </c>
      <c r="C211" s="53" t="s">
        <v>1278</v>
      </c>
      <c r="D211" s="53" t="s">
        <v>1279</v>
      </c>
      <c r="E211" s="131">
        <v>45740</v>
      </c>
      <c r="F211" s="127" t="s">
        <v>372</v>
      </c>
      <c r="G211" s="127" t="s">
        <v>10</v>
      </c>
      <c r="H211" s="54">
        <v>22473.86</v>
      </c>
      <c r="I211" s="138">
        <v>0.45300000000000001</v>
      </c>
      <c r="J211" s="44" t="s">
        <v>848</v>
      </c>
    </row>
    <row r="212" spans="1:10" x14ac:dyDescent="0.3">
      <c r="A212" s="126" t="s">
        <v>390</v>
      </c>
      <c r="B212" s="126" t="s">
        <v>6</v>
      </c>
      <c r="C212" s="53" t="s">
        <v>1280</v>
      </c>
      <c r="D212" s="53" t="s">
        <v>1281</v>
      </c>
      <c r="E212" s="131">
        <v>45740</v>
      </c>
      <c r="F212" s="127" t="s">
        <v>370</v>
      </c>
      <c r="G212" s="127" t="s">
        <v>1184</v>
      </c>
      <c r="H212" s="54">
        <v>49156.6</v>
      </c>
      <c r="I212" s="138">
        <v>0.23799999999999999</v>
      </c>
      <c r="J212" s="44" t="s">
        <v>833</v>
      </c>
    </row>
    <row r="213" spans="1:10" x14ac:dyDescent="0.3">
      <c r="A213" s="126" t="s">
        <v>390</v>
      </c>
      <c r="B213" s="126" t="s">
        <v>6</v>
      </c>
      <c r="C213" s="53" t="s">
        <v>1282</v>
      </c>
      <c r="D213" s="53" t="s">
        <v>1281</v>
      </c>
      <c r="E213" s="131">
        <v>45740</v>
      </c>
      <c r="F213" s="127" t="s">
        <v>370</v>
      </c>
      <c r="G213" s="127" t="s">
        <v>1184</v>
      </c>
      <c r="H213" s="54">
        <v>80600.87</v>
      </c>
      <c r="I213" s="138">
        <v>0.23799999999999999</v>
      </c>
      <c r="J213" s="44" t="s">
        <v>833</v>
      </c>
    </row>
    <row r="214" spans="1:10" x14ac:dyDescent="0.3">
      <c r="A214" s="126" t="s">
        <v>390</v>
      </c>
      <c r="B214" s="126" t="s">
        <v>6</v>
      </c>
      <c r="C214" s="53" t="s">
        <v>1283</v>
      </c>
      <c r="D214" s="53" t="s">
        <v>1284</v>
      </c>
      <c r="E214" s="131">
        <v>45741</v>
      </c>
      <c r="F214" s="127" t="s">
        <v>811</v>
      </c>
      <c r="G214" s="127" t="s">
        <v>813</v>
      </c>
      <c r="H214" s="54">
        <v>25217.02</v>
      </c>
      <c r="I214" s="138">
        <v>0.254</v>
      </c>
      <c r="J214" s="44" t="s">
        <v>832</v>
      </c>
    </row>
    <row r="215" spans="1:10" x14ac:dyDescent="0.3">
      <c r="A215" s="126" t="s">
        <v>392</v>
      </c>
      <c r="B215" s="126" t="s">
        <v>6</v>
      </c>
      <c r="C215" s="53" t="s">
        <v>1285</v>
      </c>
      <c r="D215" s="53" t="s">
        <v>1286</v>
      </c>
      <c r="E215" s="131">
        <v>45741</v>
      </c>
      <c r="F215" s="127" t="s">
        <v>370</v>
      </c>
      <c r="G215" s="127" t="s">
        <v>1184</v>
      </c>
      <c r="H215" s="54">
        <v>7961.06</v>
      </c>
      <c r="I215" s="138">
        <v>0.70499999999999996</v>
      </c>
      <c r="J215" s="44" t="s">
        <v>830</v>
      </c>
    </row>
    <row r="216" spans="1:10" x14ac:dyDescent="0.3">
      <c r="A216" s="126" t="s">
        <v>392</v>
      </c>
      <c r="B216" s="126" t="s">
        <v>6</v>
      </c>
      <c r="C216" s="53" t="s">
        <v>1287</v>
      </c>
      <c r="D216" s="53" t="s">
        <v>1288</v>
      </c>
      <c r="E216" s="131">
        <v>45741</v>
      </c>
      <c r="F216" s="127" t="s">
        <v>370</v>
      </c>
      <c r="G216" s="127" t="s">
        <v>1184</v>
      </c>
      <c r="H216" s="54">
        <v>7961.06</v>
      </c>
      <c r="I216" s="138">
        <v>0.70499999999999996</v>
      </c>
      <c r="J216" s="44" t="s">
        <v>830</v>
      </c>
    </row>
    <row r="217" spans="1:10" x14ac:dyDescent="0.3">
      <c r="A217" s="126" t="s">
        <v>392</v>
      </c>
      <c r="B217" s="126" t="s">
        <v>6</v>
      </c>
      <c r="C217" s="53" t="s">
        <v>1289</v>
      </c>
      <c r="D217" s="53" t="s">
        <v>1290</v>
      </c>
      <c r="E217" s="131">
        <v>45741</v>
      </c>
      <c r="F217" s="127" t="s">
        <v>370</v>
      </c>
      <c r="G217" s="127" t="s">
        <v>1184</v>
      </c>
      <c r="H217" s="54">
        <v>7961.06</v>
      </c>
      <c r="I217" s="138">
        <v>0.70499999999999996</v>
      </c>
      <c r="J217" s="44" t="s">
        <v>830</v>
      </c>
    </row>
    <row r="218" spans="1:10" x14ac:dyDescent="0.3">
      <c r="A218" s="126" t="s">
        <v>392</v>
      </c>
      <c r="B218" s="126" t="s">
        <v>6</v>
      </c>
      <c r="C218" s="53" t="s">
        <v>1291</v>
      </c>
      <c r="D218" s="53" t="s">
        <v>1292</v>
      </c>
      <c r="E218" s="131">
        <v>45741</v>
      </c>
      <c r="F218" s="127" t="s">
        <v>370</v>
      </c>
      <c r="G218" s="127" t="s">
        <v>1184</v>
      </c>
      <c r="H218" s="54">
        <v>6947.67</v>
      </c>
      <c r="I218" s="138">
        <v>0.48199999999999998</v>
      </c>
      <c r="J218" s="44" t="s">
        <v>830</v>
      </c>
    </row>
    <row r="219" spans="1:10" x14ac:dyDescent="0.3">
      <c r="A219" s="126" t="s">
        <v>392</v>
      </c>
      <c r="B219" s="126" t="s">
        <v>6</v>
      </c>
      <c r="C219" s="53" t="s">
        <v>1293</v>
      </c>
      <c r="D219" s="53" t="s">
        <v>1294</v>
      </c>
      <c r="E219" s="131">
        <v>45741</v>
      </c>
      <c r="F219" s="127" t="s">
        <v>370</v>
      </c>
      <c r="G219" s="127" t="s">
        <v>1184</v>
      </c>
      <c r="H219" s="54">
        <v>6947.67</v>
      </c>
      <c r="I219" s="138">
        <v>0.48199999999999998</v>
      </c>
      <c r="J219" s="44" t="s">
        <v>830</v>
      </c>
    </row>
    <row r="220" spans="1:10" x14ac:dyDescent="0.3">
      <c r="A220" s="126" t="s">
        <v>392</v>
      </c>
      <c r="B220" s="126" t="s">
        <v>6</v>
      </c>
      <c r="C220" s="53" t="s">
        <v>1295</v>
      </c>
      <c r="D220" s="53" t="s">
        <v>1296</v>
      </c>
      <c r="E220" s="131">
        <v>45741</v>
      </c>
      <c r="F220" s="127" t="s">
        <v>370</v>
      </c>
      <c r="G220" s="127" t="s">
        <v>1184</v>
      </c>
      <c r="H220" s="54">
        <v>3996.9</v>
      </c>
      <c r="I220" s="138">
        <v>0.55000000000000004</v>
      </c>
      <c r="J220" s="44" t="s">
        <v>830</v>
      </c>
    </row>
    <row r="221" spans="1:10" x14ac:dyDescent="0.3">
      <c r="A221" s="126" t="s">
        <v>390</v>
      </c>
      <c r="B221" s="126" t="s">
        <v>6</v>
      </c>
      <c r="C221" s="53" t="s">
        <v>1297</v>
      </c>
      <c r="D221" s="53" t="s">
        <v>1298</v>
      </c>
      <c r="E221" s="131">
        <v>45741</v>
      </c>
      <c r="F221" s="127" t="s">
        <v>370</v>
      </c>
      <c r="G221" s="127" t="s">
        <v>1184</v>
      </c>
      <c r="H221" s="54">
        <v>47558.44</v>
      </c>
      <c r="I221" s="138">
        <v>0.38400000000000001</v>
      </c>
      <c r="J221" s="44" t="s">
        <v>830</v>
      </c>
    </row>
    <row r="222" spans="1:10" x14ac:dyDescent="0.3">
      <c r="A222" s="126" t="s">
        <v>392</v>
      </c>
      <c r="B222" s="126" t="s">
        <v>6</v>
      </c>
      <c r="C222" s="53" t="s">
        <v>1299</v>
      </c>
      <c r="D222" s="53" t="s">
        <v>1300</v>
      </c>
      <c r="E222" s="131">
        <v>45741</v>
      </c>
      <c r="F222" s="127" t="s">
        <v>842</v>
      </c>
      <c r="G222" s="127" t="s">
        <v>843</v>
      </c>
      <c r="H222" s="54">
        <v>22000</v>
      </c>
      <c r="I222" s="138">
        <v>0.442</v>
      </c>
      <c r="J222" s="44" t="s">
        <v>832</v>
      </c>
    </row>
    <row r="223" spans="1:10" x14ac:dyDescent="0.3">
      <c r="A223" s="126" t="s">
        <v>392</v>
      </c>
      <c r="B223" s="126" t="s">
        <v>6</v>
      </c>
      <c r="C223" s="53" t="s">
        <v>1301</v>
      </c>
      <c r="D223" s="53" t="s">
        <v>1302</v>
      </c>
      <c r="E223" s="131">
        <v>45741</v>
      </c>
      <c r="F223" s="127" t="s">
        <v>842</v>
      </c>
      <c r="G223" s="127" t="s">
        <v>843</v>
      </c>
      <c r="H223" s="54">
        <v>25200</v>
      </c>
      <c r="I223" s="138">
        <v>0.189</v>
      </c>
      <c r="J223" s="44" t="s">
        <v>832</v>
      </c>
    </row>
    <row r="224" spans="1:10" x14ac:dyDescent="0.3">
      <c r="A224" s="126" t="s">
        <v>390</v>
      </c>
      <c r="B224" s="126" t="s">
        <v>6</v>
      </c>
      <c r="C224" s="53" t="s">
        <v>1303</v>
      </c>
      <c r="D224" s="53" t="s">
        <v>1304</v>
      </c>
      <c r="E224" s="131">
        <v>45741</v>
      </c>
      <c r="F224" s="127" t="s">
        <v>376</v>
      </c>
      <c r="G224" s="127" t="s">
        <v>14</v>
      </c>
      <c r="H224" s="54">
        <v>18450</v>
      </c>
      <c r="I224" s="138">
        <v>0.505</v>
      </c>
      <c r="J224" s="44" t="s">
        <v>832</v>
      </c>
    </row>
    <row r="225" spans="1:10" x14ac:dyDescent="0.3">
      <c r="A225" s="126" t="s">
        <v>390</v>
      </c>
      <c r="B225" s="126" t="s">
        <v>6</v>
      </c>
      <c r="C225" s="53" t="s">
        <v>1305</v>
      </c>
      <c r="D225" s="53" t="s">
        <v>1306</v>
      </c>
      <c r="E225" s="131">
        <v>45741</v>
      </c>
      <c r="F225" s="127" t="s">
        <v>372</v>
      </c>
      <c r="G225" s="127" t="s">
        <v>10</v>
      </c>
      <c r="H225" s="54">
        <v>97364.79</v>
      </c>
      <c r="I225" s="138">
        <v>0.224</v>
      </c>
      <c r="J225" s="44" t="s">
        <v>833</v>
      </c>
    </row>
    <row r="226" spans="1:10" x14ac:dyDescent="0.3">
      <c r="A226" s="126" t="s">
        <v>390</v>
      </c>
      <c r="B226" s="126" t="s">
        <v>6</v>
      </c>
      <c r="C226" s="53" t="s">
        <v>1307</v>
      </c>
      <c r="D226" s="53" t="s">
        <v>1308</v>
      </c>
      <c r="E226" s="131">
        <v>45742</v>
      </c>
      <c r="F226" s="127" t="s">
        <v>372</v>
      </c>
      <c r="G226" s="127" t="s">
        <v>10</v>
      </c>
      <c r="H226" s="54">
        <v>10967.64</v>
      </c>
      <c r="I226" s="138">
        <v>0.34699999999999998</v>
      </c>
      <c r="J226" s="44" t="s">
        <v>833</v>
      </c>
    </row>
    <row r="227" spans="1:10" x14ac:dyDescent="0.3">
      <c r="A227" s="126" t="s">
        <v>392</v>
      </c>
      <c r="B227" s="126" t="s">
        <v>6</v>
      </c>
      <c r="C227" s="53" t="s">
        <v>1309</v>
      </c>
      <c r="D227" s="53" t="s">
        <v>1310</v>
      </c>
      <c r="E227" s="131">
        <v>45742</v>
      </c>
      <c r="F227" s="127" t="s">
        <v>370</v>
      </c>
      <c r="G227" s="127" t="s">
        <v>1184</v>
      </c>
      <c r="H227" s="54">
        <v>4070.24</v>
      </c>
      <c r="I227" s="138">
        <v>0.53700000000000003</v>
      </c>
      <c r="J227" s="44" t="s">
        <v>830</v>
      </c>
    </row>
    <row r="228" spans="1:10" x14ac:dyDescent="0.3">
      <c r="A228" s="126" t="s">
        <v>390</v>
      </c>
      <c r="B228" s="126" t="s">
        <v>6</v>
      </c>
      <c r="C228" s="53" t="s">
        <v>1311</v>
      </c>
      <c r="D228" s="53" t="s">
        <v>1312</v>
      </c>
      <c r="E228" s="131">
        <v>45743</v>
      </c>
      <c r="F228" s="127" t="s">
        <v>372</v>
      </c>
      <c r="G228" s="127" t="s">
        <v>10</v>
      </c>
      <c r="H228" s="54">
        <v>107388.35</v>
      </c>
      <c r="I228" s="138">
        <v>0.27900000000000003</v>
      </c>
      <c r="J228" s="44" t="s">
        <v>833</v>
      </c>
    </row>
    <row r="229" spans="1:10" x14ac:dyDescent="0.3">
      <c r="A229" s="126" t="s">
        <v>390</v>
      </c>
      <c r="B229" s="126" t="s">
        <v>6</v>
      </c>
      <c r="C229" s="53" t="s">
        <v>1313</v>
      </c>
      <c r="D229" s="53" t="s">
        <v>1314</v>
      </c>
      <c r="E229" s="131">
        <v>45743</v>
      </c>
      <c r="F229" s="127" t="s">
        <v>372</v>
      </c>
      <c r="G229" s="127" t="s">
        <v>10</v>
      </c>
      <c r="H229" s="54">
        <v>3540</v>
      </c>
      <c r="I229" s="138">
        <v>0.25900000000000001</v>
      </c>
      <c r="J229" s="44" t="s">
        <v>833</v>
      </c>
    </row>
    <row r="230" spans="1:10" x14ac:dyDescent="0.3">
      <c r="A230" s="126" t="s">
        <v>390</v>
      </c>
      <c r="B230" s="126" t="s">
        <v>6</v>
      </c>
      <c r="C230" s="53" t="s">
        <v>1315</v>
      </c>
      <c r="D230" s="53" t="s">
        <v>1316</v>
      </c>
      <c r="E230" s="131">
        <v>45743</v>
      </c>
      <c r="F230" s="127" t="s">
        <v>372</v>
      </c>
      <c r="G230" s="127" t="s">
        <v>10</v>
      </c>
      <c r="H230" s="54">
        <v>3540</v>
      </c>
      <c r="I230" s="138">
        <v>0.25900000000000001</v>
      </c>
      <c r="J230" s="44" t="s">
        <v>833</v>
      </c>
    </row>
    <row r="231" spans="1:10" x14ac:dyDescent="0.3">
      <c r="A231" s="126" t="s">
        <v>392</v>
      </c>
      <c r="B231" s="126" t="s">
        <v>6</v>
      </c>
      <c r="C231" s="53" t="s">
        <v>1317</v>
      </c>
      <c r="D231" s="53" t="s">
        <v>1318</v>
      </c>
      <c r="E231" s="131">
        <v>45743</v>
      </c>
      <c r="F231" s="127" t="s">
        <v>370</v>
      </c>
      <c r="G231" s="127" t="s">
        <v>1184</v>
      </c>
      <c r="H231" s="54">
        <v>11976.9</v>
      </c>
      <c r="I231" s="138">
        <v>0.70399999999999996</v>
      </c>
      <c r="J231" s="44" t="s">
        <v>830</v>
      </c>
    </row>
    <row r="232" spans="1:10" x14ac:dyDescent="0.3">
      <c r="A232" s="126" t="s">
        <v>392</v>
      </c>
      <c r="B232" s="126" t="s">
        <v>6</v>
      </c>
      <c r="C232" s="53" t="s">
        <v>1319</v>
      </c>
      <c r="D232" s="53" t="s">
        <v>1320</v>
      </c>
      <c r="E232" s="131">
        <v>45743</v>
      </c>
      <c r="F232" s="127" t="s">
        <v>370</v>
      </c>
      <c r="G232" s="127" t="s">
        <v>1184</v>
      </c>
      <c r="H232" s="54">
        <v>7961.06</v>
      </c>
      <c r="I232" s="138">
        <v>0.70499999999999996</v>
      </c>
      <c r="J232" s="44" t="s">
        <v>830</v>
      </c>
    </row>
    <row r="233" spans="1:10" x14ac:dyDescent="0.3">
      <c r="A233" s="126" t="s">
        <v>392</v>
      </c>
      <c r="B233" s="126" t="s">
        <v>6</v>
      </c>
      <c r="C233" s="53" t="s">
        <v>1321</v>
      </c>
      <c r="D233" s="53" t="s">
        <v>1322</v>
      </c>
      <c r="E233" s="131">
        <v>45743</v>
      </c>
      <c r="F233" s="127" t="s">
        <v>370</v>
      </c>
      <c r="G233" s="127" t="s">
        <v>1184</v>
      </c>
      <c r="H233" s="54">
        <v>11976.9</v>
      </c>
      <c r="I233" s="138">
        <v>0.75800000000000001</v>
      </c>
      <c r="J233" s="44" t="s">
        <v>830</v>
      </c>
    </row>
    <row r="234" spans="1:10" x14ac:dyDescent="0.3">
      <c r="A234" s="126" t="s">
        <v>390</v>
      </c>
      <c r="B234" s="126" t="s">
        <v>6</v>
      </c>
      <c r="C234" s="53" t="s">
        <v>1323</v>
      </c>
      <c r="D234" s="53" t="s">
        <v>1324</v>
      </c>
      <c r="E234" s="131">
        <v>45743</v>
      </c>
      <c r="F234" s="127" t="s">
        <v>1325</v>
      </c>
      <c r="G234" s="127" t="s">
        <v>1326</v>
      </c>
      <c r="H234" s="54">
        <v>13718.71</v>
      </c>
      <c r="I234" s="138">
        <v>0.44600000000000001</v>
      </c>
      <c r="J234" s="44" t="s">
        <v>832</v>
      </c>
    </row>
    <row r="235" spans="1:10" x14ac:dyDescent="0.3">
      <c r="A235" s="126" t="s">
        <v>392</v>
      </c>
      <c r="B235" s="126" t="s">
        <v>6</v>
      </c>
      <c r="C235" s="53" t="s">
        <v>1327</v>
      </c>
      <c r="D235" s="53" t="s">
        <v>1328</v>
      </c>
      <c r="E235" s="131">
        <v>45743</v>
      </c>
      <c r="F235" s="127" t="s">
        <v>842</v>
      </c>
      <c r="G235" s="127" t="s">
        <v>843</v>
      </c>
      <c r="H235" s="54">
        <v>22000</v>
      </c>
      <c r="I235" s="138">
        <v>0.45500000000000002</v>
      </c>
      <c r="J235" s="44" t="s">
        <v>832</v>
      </c>
    </row>
    <row r="236" spans="1:10" x14ac:dyDescent="0.3">
      <c r="A236" s="126" t="s">
        <v>392</v>
      </c>
      <c r="B236" s="126" t="s">
        <v>6</v>
      </c>
      <c r="C236" s="53" t="s">
        <v>1329</v>
      </c>
      <c r="D236" s="53" t="s">
        <v>1330</v>
      </c>
      <c r="E236" s="131">
        <v>45743</v>
      </c>
      <c r="F236" s="127" t="s">
        <v>842</v>
      </c>
      <c r="G236" s="127" t="s">
        <v>843</v>
      </c>
      <c r="H236" s="54">
        <v>24940</v>
      </c>
      <c r="I236" s="138">
        <v>0.437</v>
      </c>
      <c r="J236" s="44" t="s">
        <v>832</v>
      </c>
    </row>
    <row r="237" spans="1:10" x14ac:dyDescent="0.3">
      <c r="A237" s="126" t="s">
        <v>392</v>
      </c>
      <c r="B237" s="126" t="s">
        <v>6</v>
      </c>
      <c r="C237" s="53" t="s">
        <v>1331</v>
      </c>
      <c r="D237" s="53" t="s">
        <v>1332</v>
      </c>
      <c r="E237" s="131">
        <v>45743</v>
      </c>
      <c r="F237" s="127" t="s">
        <v>370</v>
      </c>
      <c r="G237" s="127" t="s">
        <v>1184</v>
      </c>
      <c r="H237" s="54">
        <v>49500</v>
      </c>
      <c r="I237" s="138">
        <v>0.45</v>
      </c>
      <c r="J237" s="44" t="s">
        <v>830</v>
      </c>
    </row>
    <row r="238" spans="1:10" x14ac:dyDescent="0.3">
      <c r="A238" s="126" t="s">
        <v>390</v>
      </c>
      <c r="B238" s="126" t="s">
        <v>6</v>
      </c>
      <c r="C238" s="53" t="s">
        <v>1333</v>
      </c>
      <c r="D238" s="53" t="s">
        <v>1334</v>
      </c>
      <c r="E238" s="131">
        <v>45747</v>
      </c>
      <c r="F238" s="127" t="s">
        <v>375</v>
      </c>
      <c r="G238" s="127" t="s">
        <v>62</v>
      </c>
      <c r="H238" s="54">
        <v>189073.15</v>
      </c>
      <c r="I238" s="138">
        <v>0.32500000000000001</v>
      </c>
      <c r="J238" s="44" t="s">
        <v>831</v>
      </c>
    </row>
    <row r="239" spans="1:10" x14ac:dyDescent="0.3">
      <c r="A239" s="126" t="s">
        <v>390</v>
      </c>
      <c r="B239" s="126" t="s">
        <v>6</v>
      </c>
      <c r="C239" s="53" t="s">
        <v>1335</v>
      </c>
      <c r="D239" s="53" t="s">
        <v>1336</v>
      </c>
      <c r="E239" s="131">
        <v>45747</v>
      </c>
      <c r="F239" s="127" t="s">
        <v>375</v>
      </c>
      <c r="G239" s="127" t="s">
        <v>62</v>
      </c>
      <c r="H239" s="54">
        <v>91048.37</v>
      </c>
      <c r="I239" s="138">
        <v>0.29199999999999998</v>
      </c>
      <c r="J239" s="44" t="s">
        <v>831</v>
      </c>
    </row>
    <row r="240" spans="1:10" x14ac:dyDescent="0.3">
      <c r="A240" s="126" t="s">
        <v>390</v>
      </c>
      <c r="B240" s="126" t="s">
        <v>6</v>
      </c>
      <c r="C240" s="53" t="s">
        <v>1337</v>
      </c>
      <c r="D240" s="53" t="s">
        <v>1338</v>
      </c>
      <c r="E240" s="131">
        <v>45747</v>
      </c>
      <c r="F240" s="127" t="s">
        <v>619</v>
      </c>
      <c r="G240" s="127" t="s">
        <v>16</v>
      </c>
      <c r="H240" s="54">
        <v>19500</v>
      </c>
      <c r="I240" s="138">
        <v>0.55600000000000005</v>
      </c>
      <c r="J240" s="44" t="s">
        <v>833</v>
      </c>
    </row>
    <row r="241" spans="1:10" x14ac:dyDescent="0.3">
      <c r="A241" s="126" t="s">
        <v>390</v>
      </c>
      <c r="B241" s="126" t="s">
        <v>6</v>
      </c>
      <c r="C241" s="53" t="s">
        <v>1339</v>
      </c>
      <c r="D241" s="53" t="s">
        <v>1340</v>
      </c>
      <c r="E241" s="131">
        <v>45747</v>
      </c>
      <c r="F241" s="127" t="s">
        <v>370</v>
      </c>
      <c r="G241" s="127" t="s">
        <v>1184</v>
      </c>
      <c r="H241" s="54">
        <v>11800</v>
      </c>
      <c r="I241" s="138">
        <v>0.51800000000000002</v>
      </c>
      <c r="J241" s="44" t="s">
        <v>830</v>
      </c>
    </row>
    <row r="242" spans="1:10" x14ac:dyDescent="0.3">
      <c r="A242" s="126" t="s">
        <v>390</v>
      </c>
      <c r="B242" s="126" t="s">
        <v>6</v>
      </c>
      <c r="C242" s="53" t="s">
        <v>1341</v>
      </c>
      <c r="D242" s="53" t="s">
        <v>1342</v>
      </c>
      <c r="E242" s="131">
        <v>45747</v>
      </c>
      <c r="F242" s="127" t="s">
        <v>375</v>
      </c>
      <c r="G242" s="127" t="s">
        <v>62</v>
      </c>
      <c r="H242" s="54">
        <v>1597.5</v>
      </c>
      <c r="I242" s="138">
        <v>0.254</v>
      </c>
      <c r="J242" s="44" t="s">
        <v>831</v>
      </c>
    </row>
    <row r="243" spans="1:10" x14ac:dyDescent="0.3">
      <c r="A243" s="126" t="s">
        <v>390</v>
      </c>
      <c r="B243" s="126" t="s">
        <v>6</v>
      </c>
      <c r="C243" s="53" t="s">
        <v>1343</v>
      </c>
      <c r="D243" s="53" t="s">
        <v>1342</v>
      </c>
      <c r="E243" s="131">
        <v>45747</v>
      </c>
      <c r="F243" s="127" t="s">
        <v>375</v>
      </c>
      <c r="G243" s="127" t="s">
        <v>62</v>
      </c>
      <c r="H243" s="54">
        <v>110783.16</v>
      </c>
      <c r="I243" s="138">
        <v>0.254</v>
      </c>
      <c r="J243" s="44" t="s">
        <v>831</v>
      </c>
    </row>
    <row r="244" spans="1:10" x14ac:dyDescent="0.3">
      <c r="A244" s="126" t="s">
        <v>390</v>
      </c>
      <c r="B244" s="126" t="s">
        <v>6</v>
      </c>
      <c r="C244" s="53" t="s">
        <v>1344</v>
      </c>
      <c r="D244" s="53" t="s">
        <v>1345</v>
      </c>
      <c r="E244" s="131">
        <v>45747</v>
      </c>
      <c r="F244" s="127" t="s">
        <v>375</v>
      </c>
      <c r="G244" s="127" t="s">
        <v>62</v>
      </c>
      <c r="H244" s="54">
        <v>29420</v>
      </c>
      <c r="I244" s="138">
        <v>0.35299999999999998</v>
      </c>
      <c r="J244" s="44" t="s">
        <v>831</v>
      </c>
    </row>
    <row r="245" spans="1:10" x14ac:dyDescent="0.3">
      <c r="A245" s="126" t="s">
        <v>390</v>
      </c>
      <c r="B245" s="126" t="s">
        <v>6</v>
      </c>
      <c r="C245" s="53" t="s">
        <v>1346</v>
      </c>
      <c r="D245" s="53" t="s">
        <v>1156</v>
      </c>
      <c r="E245" s="131">
        <v>45747</v>
      </c>
      <c r="F245" s="127" t="s">
        <v>375</v>
      </c>
      <c r="G245" s="127" t="s">
        <v>62</v>
      </c>
      <c r="H245" s="54">
        <v>1585.61</v>
      </c>
      <c r="I245" s="138">
        <v>0.253</v>
      </c>
      <c r="J245" s="44" t="s">
        <v>831</v>
      </c>
    </row>
    <row r="246" spans="1:10" x14ac:dyDescent="0.3">
      <c r="A246" s="126" t="s">
        <v>390</v>
      </c>
      <c r="B246" s="126" t="s">
        <v>6</v>
      </c>
      <c r="C246" s="53" t="s">
        <v>1347</v>
      </c>
      <c r="D246" s="53" t="s">
        <v>1348</v>
      </c>
      <c r="E246" s="131">
        <v>45747</v>
      </c>
      <c r="F246" s="127" t="s">
        <v>375</v>
      </c>
      <c r="G246" s="127" t="s">
        <v>62</v>
      </c>
      <c r="H246" s="54">
        <v>44681.77</v>
      </c>
      <c r="I246" s="138">
        <v>0.25700000000000001</v>
      </c>
      <c r="J246" s="44" t="s">
        <v>831</v>
      </c>
    </row>
    <row r="247" spans="1:10" x14ac:dyDescent="0.3">
      <c r="A247" s="126" t="s">
        <v>390</v>
      </c>
      <c r="B247" s="126" t="s">
        <v>6</v>
      </c>
      <c r="C247" s="53" t="s">
        <v>1349</v>
      </c>
      <c r="D247" s="53" t="s">
        <v>1350</v>
      </c>
      <c r="E247" s="131">
        <v>45747</v>
      </c>
      <c r="F247" s="127" t="s">
        <v>375</v>
      </c>
      <c r="G247" s="127" t="s">
        <v>62</v>
      </c>
      <c r="H247" s="54">
        <v>45270.42</v>
      </c>
      <c r="I247" s="138">
        <v>0.25900000000000001</v>
      </c>
      <c r="J247" s="44" t="s">
        <v>831</v>
      </c>
    </row>
    <row r="248" spans="1:10" x14ac:dyDescent="0.3">
      <c r="A248" s="126" t="s">
        <v>390</v>
      </c>
      <c r="B248" s="126" t="s">
        <v>6</v>
      </c>
      <c r="C248" s="53" t="s">
        <v>1351</v>
      </c>
      <c r="D248" s="53" t="s">
        <v>1352</v>
      </c>
      <c r="E248" s="131">
        <v>45747</v>
      </c>
      <c r="F248" s="127" t="s">
        <v>375</v>
      </c>
      <c r="G248" s="127" t="s">
        <v>62</v>
      </c>
      <c r="H248" s="54">
        <v>94014.5</v>
      </c>
      <c r="I248" s="138">
        <v>0.27600000000000002</v>
      </c>
      <c r="J248" s="44" t="s">
        <v>831</v>
      </c>
    </row>
    <row r="249" spans="1:10" x14ac:dyDescent="0.3">
      <c r="A249" s="126" t="s">
        <v>392</v>
      </c>
      <c r="B249" s="126" t="s">
        <v>6</v>
      </c>
      <c r="C249" s="53" t="s">
        <v>1353</v>
      </c>
      <c r="D249" s="53" t="s">
        <v>1354</v>
      </c>
      <c r="E249" s="131">
        <v>45747</v>
      </c>
      <c r="F249" s="127" t="s">
        <v>370</v>
      </c>
      <c r="G249" s="127" t="s">
        <v>1184</v>
      </c>
      <c r="H249" s="54">
        <v>7965.24</v>
      </c>
      <c r="I249" s="138">
        <v>0.498</v>
      </c>
      <c r="J249" s="44" t="s">
        <v>830</v>
      </c>
    </row>
    <row r="250" spans="1:10" x14ac:dyDescent="0.3">
      <c r="A250" s="126" t="s">
        <v>392</v>
      </c>
      <c r="B250" s="126" t="s">
        <v>6</v>
      </c>
      <c r="C250" s="53" t="s">
        <v>1355</v>
      </c>
      <c r="D250" s="53" t="s">
        <v>1356</v>
      </c>
      <c r="E250" s="131">
        <v>45747</v>
      </c>
      <c r="F250" s="127" t="s">
        <v>370</v>
      </c>
      <c r="G250" s="127" t="s">
        <v>1184</v>
      </c>
      <c r="H250" s="54">
        <v>13928.89</v>
      </c>
      <c r="I250" s="138">
        <v>0.46899999999999997</v>
      </c>
      <c r="J250" s="44" t="s">
        <v>830</v>
      </c>
    </row>
    <row r="251" spans="1:10" x14ac:dyDescent="0.3">
      <c r="A251" s="126" t="s">
        <v>392</v>
      </c>
      <c r="B251" s="126" t="s">
        <v>6</v>
      </c>
      <c r="C251" s="53" t="s">
        <v>1357</v>
      </c>
      <c r="D251" s="53" t="s">
        <v>1358</v>
      </c>
      <c r="E251" s="131">
        <v>45747</v>
      </c>
      <c r="F251" s="127" t="s">
        <v>370</v>
      </c>
      <c r="G251" s="127" t="s">
        <v>1184</v>
      </c>
      <c r="H251" s="54">
        <v>6964.45</v>
      </c>
      <c r="I251" s="138">
        <v>0.48299999999999998</v>
      </c>
      <c r="J251" s="44" t="s">
        <v>830</v>
      </c>
    </row>
    <row r="252" spans="1:10" x14ac:dyDescent="0.3">
      <c r="A252" s="126" t="s">
        <v>392</v>
      </c>
      <c r="B252" s="126" t="s">
        <v>6</v>
      </c>
      <c r="C252" s="53" t="s">
        <v>1359</v>
      </c>
      <c r="D252" s="53" t="s">
        <v>1360</v>
      </c>
      <c r="E252" s="131">
        <v>45747</v>
      </c>
      <c r="F252" s="127" t="s">
        <v>370</v>
      </c>
      <c r="G252" s="127" t="s">
        <v>1184</v>
      </c>
      <c r="H252" s="54">
        <v>28084.76</v>
      </c>
      <c r="I252" s="138">
        <v>0.76900000000000002</v>
      </c>
      <c r="J252" s="44" t="s">
        <v>830</v>
      </c>
    </row>
    <row r="253" spans="1:10" x14ac:dyDescent="0.3">
      <c r="A253" s="126" t="s">
        <v>390</v>
      </c>
      <c r="B253" s="126" t="s">
        <v>6</v>
      </c>
      <c r="C253" s="53" t="s">
        <v>1361</v>
      </c>
      <c r="D253" s="53" t="s">
        <v>1362</v>
      </c>
      <c r="E253" s="131">
        <v>45747</v>
      </c>
      <c r="F253" s="127" t="s">
        <v>375</v>
      </c>
      <c r="G253" s="127" t="s">
        <v>62</v>
      </c>
      <c r="H253" s="54">
        <v>103002.37</v>
      </c>
      <c r="I253" s="138">
        <v>0.51600000000000001</v>
      </c>
      <c r="J253" s="44" t="s">
        <v>831</v>
      </c>
    </row>
    <row r="254" spans="1:10" x14ac:dyDescent="0.3">
      <c r="A254" s="126" t="s">
        <v>392</v>
      </c>
      <c r="B254" s="126" t="s">
        <v>6</v>
      </c>
      <c r="C254" s="53" t="s">
        <v>1363</v>
      </c>
      <c r="D254" s="53" t="s">
        <v>1364</v>
      </c>
      <c r="E254" s="131">
        <v>45747</v>
      </c>
      <c r="F254" s="127" t="s">
        <v>842</v>
      </c>
      <c r="G254" s="127" t="s">
        <v>843</v>
      </c>
      <c r="H254" s="54">
        <v>22000</v>
      </c>
      <c r="I254" s="138">
        <v>0.45100000000000001</v>
      </c>
      <c r="J254" s="44" t="s">
        <v>832</v>
      </c>
    </row>
    <row r="255" spans="1:10" x14ac:dyDescent="0.3">
      <c r="A255" s="126" t="s">
        <v>392</v>
      </c>
      <c r="B255" s="126" t="s">
        <v>6</v>
      </c>
      <c r="C255" s="53" t="s">
        <v>1365</v>
      </c>
      <c r="D255" s="53" t="s">
        <v>1366</v>
      </c>
      <c r="E255" s="131">
        <v>45747</v>
      </c>
      <c r="F255" s="127" t="s">
        <v>844</v>
      </c>
      <c r="G255" s="127" t="s">
        <v>863</v>
      </c>
      <c r="H255" s="54">
        <v>10315</v>
      </c>
      <c r="I255" s="138">
        <v>0.25800000000000001</v>
      </c>
      <c r="J255" s="44" t="s">
        <v>848</v>
      </c>
    </row>
    <row r="256" spans="1:10" x14ac:dyDescent="0.3">
      <c r="A256" s="126" t="s">
        <v>392</v>
      </c>
      <c r="B256" s="126" t="s">
        <v>6</v>
      </c>
      <c r="C256" s="53" t="s">
        <v>1367</v>
      </c>
      <c r="D256" s="53" t="s">
        <v>1368</v>
      </c>
      <c r="E256" s="131">
        <v>45747</v>
      </c>
      <c r="F256" s="127" t="s">
        <v>844</v>
      </c>
      <c r="G256" s="127" t="s">
        <v>863</v>
      </c>
      <c r="H256" s="54">
        <v>21000</v>
      </c>
      <c r="I256" s="138">
        <v>0.33100000000000002</v>
      </c>
      <c r="J256" s="44" t="s">
        <v>848</v>
      </c>
    </row>
    <row r="257" spans="1:11" x14ac:dyDescent="0.3">
      <c r="A257" s="126" t="s">
        <v>390</v>
      </c>
      <c r="B257" s="126" t="s">
        <v>6</v>
      </c>
      <c r="C257" s="53" t="s">
        <v>1369</v>
      </c>
      <c r="D257" s="53" t="s">
        <v>1370</v>
      </c>
      <c r="E257" s="131">
        <v>45720</v>
      </c>
      <c r="F257" s="127" t="s">
        <v>1175</v>
      </c>
      <c r="G257" s="127" t="s">
        <v>852</v>
      </c>
      <c r="H257" s="54">
        <v>2022.8967</v>
      </c>
      <c r="I257" s="138">
        <v>0.751</v>
      </c>
      <c r="J257" s="44" t="s">
        <v>831</v>
      </c>
    </row>
    <row r="258" spans="1:11" x14ac:dyDescent="0.3">
      <c r="A258" s="126" t="s">
        <v>390</v>
      </c>
      <c r="B258" s="126" t="s">
        <v>6</v>
      </c>
      <c r="C258" s="53" t="s">
        <v>1371</v>
      </c>
      <c r="D258" s="53" t="s">
        <v>1370</v>
      </c>
      <c r="E258" s="131">
        <v>45720</v>
      </c>
      <c r="F258" s="127" t="s">
        <v>1175</v>
      </c>
      <c r="G258" s="127" t="s">
        <v>852</v>
      </c>
      <c r="H258" s="54">
        <v>4495.326</v>
      </c>
      <c r="I258" s="138">
        <v>0.751</v>
      </c>
      <c r="J258" s="44" t="s">
        <v>831</v>
      </c>
    </row>
    <row r="259" spans="1:11" x14ac:dyDescent="0.3">
      <c r="A259" s="126" t="s">
        <v>390</v>
      </c>
      <c r="B259" s="126" t="s">
        <v>6</v>
      </c>
      <c r="C259" s="53" t="s">
        <v>1372</v>
      </c>
      <c r="D259" s="53" t="s">
        <v>1373</v>
      </c>
      <c r="E259" s="131">
        <v>45723</v>
      </c>
      <c r="F259" s="127" t="s">
        <v>372</v>
      </c>
      <c r="G259" s="127" t="s">
        <v>10</v>
      </c>
      <c r="H259" s="54">
        <v>87065.369394999987</v>
      </c>
      <c r="I259" s="138">
        <v>0.27600000000000002</v>
      </c>
      <c r="J259" s="44" t="s">
        <v>833</v>
      </c>
    </row>
    <row r="260" spans="1:11" x14ac:dyDescent="0.3">
      <c r="A260" s="126" t="s">
        <v>392</v>
      </c>
      <c r="B260" s="126" t="s">
        <v>6</v>
      </c>
      <c r="C260" s="53" t="s">
        <v>1374</v>
      </c>
      <c r="D260" s="53" t="s">
        <v>1375</v>
      </c>
      <c r="E260" s="131">
        <v>45730</v>
      </c>
      <c r="F260" s="127" t="s">
        <v>844</v>
      </c>
      <c r="G260" s="127" t="s">
        <v>863</v>
      </c>
      <c r="H260" s="54">
        <v>123019.40000000001</v>
      </c>
      <c r="I260" s="138">
        <v>0.192</v>
      </c>
      <c r="J260" s="44" t="s">
        <v>831</v>
      </c>
    </row>
    <row r="261" spans="1:11" x14ac:dyDescent="0.3">
      <c r="A261" s="126" t="s">
        <v>390</v>
      </c>
      <c r="B261" s="126" t="s">
        <v>6</v>
      </c>
      <c r="C261" s="53" t="s">
        <v>1376</v>
      </c>
      <c r="D261" s="53" t="s">
        <v>1370</v>
      </c>
      <c r="E261" s="131">
        <v>45735</v>
      </c>
      <c r="F261" s="127" t="s">
        <v>1174</v>
      </c>
      <c r="G261" s="127" t="s">
        <v>857</v>
      </c>
      <c r="H261" s="54">
        <v>1498.8375000000001</v>
      </c>
      <c r="I261" s="138">
        <v>0.751</v>
      </c>
      <c r="J261" s="44" t="s">
        <v>831</v>
      </c>
    </row>
    <row r="262" spans="1:11" x14ac:dyDescent="0.3">
      <c r="A262" s="126" t="s">
        <v>390</v>
      </c>
      <c r="B262" s="126" t="s">
        <v>6</v>
      </c>
      <c r="C262" s="53" t="s">
        <v>1377</v>
      </c>
      <c r="D262" s="53" t="s">
        <v>1378</v>
      </c>
      <c r="E262" s="131">
        <v>45736</v>
      </c>
      <c r="F262" s="127" t="s">
        <v>1007</v>
      </c>
      <c r="G262" s="127" t="s">
        <v>865</v>
      </c>
      <c r="H262" s="54">
        <v>82427.282999999996</v>
      </c>
      <c r="I262" s="138">
        <v>0.33</v>
      </c>
      <c r="J262" s="44" t="s">
        <v>831</v>
      </c>
      <c r="K262" s="44" t="s">
        <v>1542</v>
      </c>
    </row>
    <row r="263" spans="1:11" x14ac:dyDescent="0.3">
      <c r="A263" s="126" t="s">
        <v>392</v>
      </c>
      <c r="B263" s="126" t="s">
        <v>6</v>
      </c>
      <c r="C263" s="53" t="s">
        <v>1379</v>
      </c>
      <c r="D263" s="53" t="s">
        <v>1253</v>
      </c>
      <c r="E263" s="131">
        <v>45737</v>
      </c>
      <c r="F263" s="127" t="s">
        <v>372</v>
      </c>
      <c r="G263" s="127" t="s">
        <v>10</v>
      </c>
      <c r="H263" s="54">
        <v>24066.36</v>
      </c>
      <c r="I263" s="138">
        <v>0.41</v>
      </c>
      <c r="J263" s="44" t="s">
        <v>848</v>
      </c>
    </row>
    <row r="264" spans="1:11" x14ac:dyDescent="0.3">
      <c r="A264" s="126" t="s">
        <v>390</v>
      </c>
      <c r="B264" s="126" t="s">
        <v>6</v>
      </c>
      <c r="C264" s="53" t="s">
        <v>1380</v>
      </c>
      <c r="D264" s="53" t="s">
        <v>1381</v>
      </c>
      <c r="E264" s="131">
        <v>45741</v>
      </c>
      <c r="F264" s="127" t="s">
        <v>1175</v>
      </c>
      <c r="G264" s="127" t="s">
        <v>852</v>
      </c>
      <c r="H264" s="54">
        <v>2514.0375000000004</v>
      </c>
      <c r="I264" s="138">
        <v>0.65100000000000002</v>
      </c>
      <c r="J264" s="44" t="s">
        <v>831</v>
      </c>
    </row>
    <row r="265" spans="1:11" x14ac:dyDescent="0.3">
      <c r="A265" s="126" t="s">
        <v>390</v>
      </c>
      <c r="B265" s="126" t="s">
        <v>6</v>
      </c>
      <c r="C265" s="53" t="s">
        <v>1382</v>
      </c>
      <c r="D265" s="53" t="s">
        <v>1381</v>
      </c>
      <c r="E265" s="131">
        <v>45741</v>
      </c>
      <c r="F265" s="127" t="s">
        <v>1175</v>
      </c>
      <c r="G265" s="127" t="s">
        <v>852</v>
      </c>
      <c r="H265" s="54">
        <v>4927.5135</v>
      </c>
      <c r="I265" s="138">
        <v>0.65100000000000002</v>
      </c>
      <c r="J265" s="44" t="s">
        <v>831</v>
      </c>
    </row>
    <row r="266" spans="1:11" x14ac:dyDescent="0.3">
      <c r="A266" s="126" t="s">
        <v>390</v>
      </c>
      <c r="B266" s="126" t="s">
        <v>6</v>
      </c>
      <c r="C266" s="53" t="s">
        <v>1383</v>
      </c>
      <c r="D266" s="53" t="s">
        <v>1381</v>
      </c>
      <c r="E266" s="131">
        <v>45744</v>
      </c>
      <c r="F266" s="127" t="s">
        <v>1174</v>
      </c>
      <c r="G266" s="127" t="s">
        <v>857</v>
      </c>
      <c r="H266" s="54">
        <v>1523.865</v>
      </c>
      <c r="I266" s="138">
        <v>0.65100000000000002</v>
      </c>
      <c r="J266" s="44" t="s">
        <v>831</v>
      </c>
    </row>
    <row r="267" spans="1:11" x14ac:dyDescent="0.3">
      <c r="A267" s="126" t="s">
        <v>390</v>
      </c>
      <c r="B267" s="126" t="s">
        <v>6</v>
      </c>
      <c r="C267" s="53" t="s">
        <v>1384</v>
      </c>
      <c r="D267" s="53" t="s">
        <v>1172</v>
      </c>
      <c r="E267" s="131">
        <v>45744</v>
      </c>
      <c r="F267" s="127" t="s">
        <v>1174</v>
      </c>
      <c r="G267" s="127" t="s">
        <v>857</v>
      </c>
      <c r="H267" s="54">
        <v>1523.865</v>
      </c>
      <c r="I267" s="138">
        <v>0.65600000000000003</v>
      </c>
      <c r="J267" s="44" t="s">
        <v>831</v>
      </c>
    </row>
    <row r="268" spans="1:11" x14ac:dyDescent="0.3">
      <c r="A268" s="126" t="s">
        <v>392</v>
      </c>
      <c r="B268" s="126" t="s">
        <v>6</v>
      </c>
      <c r="C268" s="53" t="s">
        <v>1385</v>
      </c>
      <c r="D268" s="53" t="s">
        <v>1386</v>
      </c>
      <c r="E268" s="131">
        <v>45747</v>
      </c>
      <c r="F268" s="127" t="s">
        <v>844</v>
      </c>
      <c r="G268" s="127" t="s">
        <v>863</v>
      </c>
      <c r="H268" s="54">
        <v>122401.8</v>
      </c>
      <c r="I268" s="138">
        <v>0.19600000000000001</v>
      </c>
      <c r="J268" s="44" t="s">
        <v>848</v>
      </c>
    </row>
    <row r="269" spans="1:11" x14ac:dyDescent="0.3">
      <c r="A269" s="126" t="s">
        <v>390</v>
      </c>
      <c r="B269" s="126" t="s">
        <v>6</v>
      </c>
      <c r="C269" s="53" t="s">
        <v>1387</v>
      </c>
      <c r="D269" s="53" t="s">
        <v>1016</v>
      </c>
      <c r="E269" s="131">
        <v>45747</v>
      </c>
      <c r="F269" s="127" t="s">
        <v>1017</v>
      </c>
      <c r="G269" s="127" t="s">
        <v>862</v>
      </c>
      <c r="H269" s="54">
        <v>171906.80000400002</v>
      </c>
      <c r="I269" s="138">
        <v>-0.36399999999999999</v>
      </c>
      <c r="J269" s="44" t="s">
        <v>1018</v>
      </c>
    </row>
    <row r="270" spans="1:11" x14ac:dyDescent="0.3">
      <c r="A270" s="126" t="s">
        <v>390</v>
      </c>
      <c r="B270" s="126" t="s">
        <v>7</v>
      </c>
      <c r="C270" s="53" t="s">
        <v>1388</v>
      </c>
      <c r="D270" s="53" t="s">
        <v>1373</v>
      </c>
      <c r="E270" s="131">
        <v>45751</v>
      </c>
      <c r="F270" s="127" t="s">
        <v>372</v>
      </c>
      <c r="G270" s="127" t="s">
        <v>10</v>
      </c>
      <c r="H270" s="54">
        <v>97127.13</v>
      </c>
      <c r="I270" s="138">
        <v>0.27600000000000002</v>
      </c>
      <c r="J270" s="44" t="s">
        <v>833</v>
      </c>
      <c r="K270" s="44" t="s">
        <v>1542</v>
      </c>
    </row>
    <row r="271" spans="1:11" x14ac:dyDescent="0.3">
      <c r="A271" s="126" t="s">
        <v>392</v>
      </c>
      <c r="B271" s="126" t="s">
        <v>7</v>
      </c>
      <c r="C271" s="53" t="s">
        <v>1389</v>
      </c>
      <c r="D271" s="53" t="s">
        <v>1390</v>
      </c>
      <c r="E271" s="131">
        <v>45751</v>
      </c>
      <c r="F271" s="127" t="s">
        <v>370</v>
      </c>
      <c r="G271" s="127" t="s">
        <v>1184</v>
      </c>
      <c r="H271" s="54">
        <v>8013.64</v>
      </c>
      <c r="I271" s="138">
        <v>0.501</v>
      </c>
      <c r="J271" s="44" t="s">
        <v>830</v>
      </c>
      <c r="K271" s="44" t="s">
        <v>1540</v>
      </c>
    </row>
    <row r="272" spans="1:11" x14ac:dyDescent="0.3">
      <c r="A272" s="126" t="s">
        <v>392</v>
      </c>
      <c r="B272" s="126" t="s">
        <v>7</v>
      </c>
      <c r="C272" s="53" t="s">
        <v>1391</v>
      </c>
      <c r="D272" s="53" t="s">
        <v>1392</v>
      </c>
      <c r="E272" s="131">
        <v>45751</v>
      </c>
      <c r="F272" s="127" t="s">
        <v>370</v>
      </c>
      <c r="G272" s="127" t="s">
        <v>1184</v>
      </c>
      <c r="H272" s="54">
        <v>7986.91</v>
      </c>
      <c r="I272" s="138">
        <v>0.499</v>
      </c>
      <c r="J272" s="44" t="s">
        <v>830</v>
      </c>
      <c r="K272" s="44" t="s">
        <v>1540</v>
      </c>
    </row>
    <row r="273" spans="1:11" x14ac:dyDescent="0.3">
      <c r="A273" s="126" t="s">
        <v>390</v>
      </c>
      <c r="B273" s="126" t="s">
        <v>7</v>
      </c>
      <c r="C273" s="53" t="s">
        <v>1393</v>
      </c>
      <c r="D273" s="53" t="s">
        <v>1394</v>
      </c>
      <c r="E273" s="131">
        <v>45751</v>
      </c>
      <c r="F273" s="127" t="s">
        <v>370</v>
      </c>
      <c r="G273" s="127" t="s">
        <v>1184</v>
      </c>
      <c r="H273" s="54">
        <v>11500</v>
      </c>
      <c r="I273" s="138">
        <v>0.51100000000000001</v>
      </c>
      <c r="J273" s="44" t="s">
        <v>830</v>
      </c>
      <c r="K273" s="44" t="s">
        <v>1541</v>
      </c>
    </row>
    <row r="274" spans="1:11" x14ac:dyDescent="0.3">
      <c r="A274" s="126" t="s">
        <v>392</v>
      </c>
      <c r="B274" s="126" t="s">
        <v>7</v>
      </c>
      <c r="C274" s="53" t="s">
        <v>1395</v>
      </c>
      <c r="D274" s="53" t="s">
        <v>1396</v>
      </c>
      <c r="E274" s="131">
        <v>45754</v>
      </c>
      <c r="F274" s="127" t="s">
        <v>370</v>
      </c>
      <c r="G274" s="127" t="s">
        <v>1184</v>
      </c>
      <c r="H274" s="54">
        <v>4087.6</v>
      </c>
      <c r="I274" s="138">
        <v>0.56000000000000005</v>
      </c>
      <c r="J274" s="44" t="s">
        <v>830</v>
      </c>
      <c r="K274" s="44" t="s">
        <v>1540</v>
      </c>
    </row>
    <row r="275" spans="1:11" x14ac:dyDescent="0.3">
      <c r="A275" s="126" t="s">
        <v>390</v>
      </c>
      <c r="B275" s="126" t="s">
        <v>7</v>
      </c>
      <c r="C275" s="53" t="s">
        <v>1397</v>
      </c>
      <c r="D275" s="53" t="s">
        <v>1398</v>
      </c>
      <c r="E275" s="131">
        <v>45754</v>
      </c>
      <c r="F275" s="127" t="s">
        <v>370</v>
      </c>
      <c r="G275" s="127" t="s">
        <v>1184</v>
      </c>
      <c r="H275" s="54">
        <v>17500</v>
      </c>
      <c r="I275" s="138">
        <v>0.56499999999999995</v>
      </c>
      <c r="J275" s="44" t="s">
        <v>830</v>
      </c>
      <c r="K275" s="44" t="s">
        <v>1541</v>
      </c>
    </row>
    <row r="276" spans="1:11" x14ac:dyDescent="0.3">
      <c r="A276" s="126" t="s">
        <v>392</v>
      </c>
      <c r="B276" s="126" t="s">
        <v>7</v>
      </c>
      <c r="C276" s="53" t="s">
        <v>1399</v>
      </c>
      <c r="D276" s="53" t="s">
        <v>1400</v>
      </c>
      <c r="E276" s="131">
        <v>45756</v>
      </c>
      <c r="F276" s="127" t="s">
        <v>371</v>
      </c>
      <c r="G276" s="127" t="s">
        <v>864</v>
      </c>
      <c r="H276" s="54">
        <v>1200</v>
      </c>
      <c r="I276" s="138">
        <v>0.435</v>
      </c>
      <c r="J276" s="44" t="s">
        <v>848</v>
      </c>
      <c r="K276" s="44" t="s">
        <v>1540</v>
      </c>
    </row>
    <row r="277" spans="1:11" x14ac:dyDescent="0.3">
      <c r="A277" s="126" t="s">
        <v>392</v>
      </c>
      <c r="B277" s="126" t="s">
        <v>7</v>
      </c>
      <c r="C277" s="53" t="s">
        <v>1401</v>
      </c>
      <c r="D277" s="53" t="s">
        <v>1400</v>
      </c>
      <c r="E277" s="131">
        <v>45756</v>
      </c>
      <c r="F277" s="127" t="s">
        <v>371</v>
      </c>
      <c r="G277" s="127" t="s">
        <v>864</v>
      </c>
      <c r="H277" s="54">
        <v>15356</v>
      </c>
      <c r="I277" s="138">
        <v>0.435</v>
      </c>
      <c r="J277" s="44" t="s">
        <v>848</v>
      </c>
      <c r="K277" s="44" t="s">
        <v>1540</v>
      </c>
    </row>
    <row r="278" spans="1:11" x14ac:dyDescent="0.3">
      <c r="A278" s="126" t="s">
        <v>392</v>
      </c>
      <c r="B278" s="126" t="s">
        <v>7</v>
      </c>
      <c r="C278" s="53" t="s">
        <v>1402</v>
      </c>
      <c r="D278" s="53" t="s">
        <v>1403</v>
      </c>
      <c r="E278" s="131">
        <v>45756</v>
      </c>
      <c r="F278" s="127" t="s">
        <v>372</v>
      </c>
      <c r="G278" s="127" t="s">
        <v>10</v>
      </c>
      <c r="H278" s="54">
        <v>12779.53</v>
      </c>
      <c r="I278" s="138">
        <v>0.36099999999999999</v>
      </c>
      <c r="J278" s="44" t="s">
        <v>848</v>
      </c>
      <c r="K278" s="44" t="s">
        <v>1540</v>
      </c>
    </row>
    <row r="279" spans="1:11" x14ac:dyDescent="0.3">
      <c r="A279" s="126" t="s">
        <v>390</v>
      </c>
      <c r="B279" s="126" t="s">
        <v>7</v>
      </c>
      <c r="C279" s="53" t="s">
        <v>1404</v>
      </c>
      <c r="D279" s="53" t="s">
        <v>1405</v>
      </c>
      <c r="E279" s="131">
        <v>45756</v>
      </c>
      <c r="F279" s="127" t="s">
        <v>587</v>
      </c>
      <c r="G279" s="127" t="s">
        <v>11</v>
      </c>
      <c r="H279" s="54">
        <v>22200.240000000002</v>
      </c>
      <c r="I279" s="138">
        <v>0.36899999999999999</v>
      </c>
      <c r="J279" s="44" t="s">
        <v>833</v>
      </c>
      <c r="K279" s="44" t="s">
        <v>1541</v>
      </c>
    </row>
    <row r="280" spans="1:11" x14ac:dyDescent="0.3">
      <c r="A280" s="126" t="s">
        <v>390</v>
      </c>
      <c r="B280" s="126" t="s">
        <v>7</v>
      </c>
      <c r="C280" s="53" t="s">
        <v>1406</v>
      </c>
      <c r="D280" s="53" t="s">
        <v>1407</v>
      </c>
      <c r="E280" s="131">
        <v>45756</v>
      </c>
      <c r="F280" s="127" t="s">
        <v>587</v>
      </c>
      <c r="G280" s="127" t="s">
        <v>11</v>
      </c>
      <c r="H280" s="54">
        <v>16046.75</v>
      </c>
      <c r="I280" s="138">
        <v>0.41099999999999998</v>
      </c>
      <c r="J280" s="44" t="s">
        <v>833</v>
      </c>
      <c r="K280" s="44" t="s">
        <v>1541</v>
      </c>
    </row>
    <row r="281" spans="1:11" x14ac:dyDescent="0.3">
      <c r="A281" s="126" t="s">
        <v>392</v>
      </c>
      <c r="B281" s="126" t="s">
        <v>7</v>
      </c>
      <c r="C281" s="53" t="s">
        <v>1408</v>
      </c>
      <c r="D281" s="53" t="s">
        <v>1409</v>
      </c>
      <c r="E281" s="131">
        <v>45756</v>
      </c>
      <c r="F281" s="127" t="s">
        <v>371</v>
      </c>
      <c r="G281" s="127" t="s">
        <v>864</v>
      </c>
      <c r="H281" s="54">
        <v>15247.22</v>
      </c>
      <c r="I281" s="138">
        <v>0.67500000000000004</v>
      </c>
      <c r="J281" s="44" t="s">
        <v>848</v>
      </c>
      <c r="K281" s="44" t="s">
        <v>1540</v>
      </c>
    </row>
    <row r="282" spans="1:11" x14ac:dyDescent="0.3">
      <c r="A282" s="126" t="s">
        <v>390</v>
      </c>
      <c r="B282" s="126" t="s">
        <v>7</v>
      </c>
      <c r="C282" s="53" t="s">
        <v>1410</v>
      </c>
      <c r="D282" s="53" t="s">
        <v>1411</v>
      </c>
      <c r="E282" s="131">
        <v>45756</v>
      </c>
      <c r="F282" s="127" t="s">
        <v>372</v>
      </c>
      <c r="G282" s="127" t="s">
        <v>10</v>
      </c>
      <c r="H282" s="54">
        <v>11255.82</v>
      </c>
      <c r="I282" s="138">
        <v>0.36399999999999999</v>
      </c>
      <c r="J282" s="44" t="s">
        <v>833</v>
      </c>
      <c r="K282" s="44" t="s">
        <v>1541</v>
      </c>
    </row>
    <row r="283" spans="1:11" x14ac:dyDescent="0.3">
      <c r="A283" s="126" t="s">
        <v>392</v>
      </c>
      <c r="B283" s="126" t="s">
        <v>7</v>
      </c>
      <c r="C283" s="53" t="s">
        <v>1412</v>
      </c>
      <c r="D283" s="53" t="s">
        <v>1413</v>
      </c>
      <c r="E283" s="131">
        <v>45757</v>
      </c>
      <c r="F283" s="127" t="s">
        <v>370</v>
      </c>
      <c r="G283" s="127" t="s">
        <v>1184</v>
      </c>
      <c r="H283" s="54">
        <v>18007.61</v>
      </c>
      <c r="I283" s="138">
        <v>0.59699999999999998</v>
      </c>
      <c r="J283" s="44" t="s">
        <v>830</v>
      </c>
      <c r="K283" s="44" t="s">
        <v>1540</v>
      </c>
    </row>
    <row r="284" spans="1:11" x14ac:dyDescent="0.3">
      <c r="A284" s="126" t="s">
        <v>392</v>
      </c>
      <c r="B284" s="126" t="s">
        <v>7</v>
      </c>
      <c r="C284" s="53" t="s">
        <v>1414</v>
      </c>
      <c r="D284" s="53" t="s">
        <v>1415</v>
      </c>
      <c r="E284" s="131">
        <v>45757</v>
      </c>
      <c r="F284" s="127" t="s">
        <v>370</v>
      </c>
      <c r="G284" s="127" t="s">
        <v>1184</v>
      </c>
      <c r="H284" s="54">
        <v>18007.61</v>
      </c>
      <c r="I284" s="138">
        <v>0.73899999999999999</v>
      </c>
      <c r="J284" s="44" t="s">
        <v>830</v>
      </c>
      <c r="K284" s="44" t="s">
        <v>1540</v>
      </c>
    </row>
    <row r="285" spans="1:11" x14ac:dyDescent="0.3">
      <c r="A285" s="126" t="s">
        <v>390</v>
      </c>
      <c r="B285" s="126" t="s">
        <v>7</v>
      </c>
      <c r="C285" s="53" t="s">
        <v>1416</v>
      </c>
      <c r="D285" s="53" t="s">
        <v>1417</v>
      </c>
      <c r="E285" s="131">
        <v>45757</v>
      </c>
      <c r="F285" s="127" t="s">
        <v>372</v>
      </c>
      <c r="G285" s="127" t="s">
        <v>10</v>
      </c>
      <c r="H285" s="54">
        <v>74345.460000000006</v>
      </c>
      <c r="I285" s="138">
        <v>0.23499999999999999</v>
      </c>
      <c r="J285" s="44" t="s">
        <v>833</v>
      </c>
      <c r="K285" s="44" t="s">
        <v>1542</v>
      </c>
    </row>
    <row r="286" spans="1:11" x14ac:dyDescent="0.3">
      <c r="A286" s="126" t="s">
        <v>392</v>
      </c>
      <c r="B286" s="126" t="s">
        <v>7</v>
      </c>
      <c r="C286" s="53" t="s">
        <v>1418</v>
      </c>
      <c r="D286" s="53" t="s">
        <v>1419</v>
      </c>
      <c r="E286" s="131">
        <v>45757</v>
      </c>
      <c r="F286" s="127" t="s">
        <v>842</v>
      </c>
      <c r="G286" s="127" t="s">
        <v>843</v>
      </c>
      <c r="H286" s="54">
        <v>22000</v>
      </c>
      <c r="I286" s="138">
        <v>0.45500000000000002</v>
      </c>
      <c r="J286" s="44" t="s">
        <v>832</v>
      </c>
      <c r="K286" s="44" t="s">
        <v>1540</v>
      </c>
    </row>
    <row r="287" spans="1:11" x14ac:dyDescent="0.3">
      <c r="A287" s="126" t="s">
        <v>390</v>
      </c>
      <c r="B287" s="126" t="s">
        <v>7</v>
      </c>
      <c r="C287" s="53" t="s">
        <v>1420</v>
      </c>
      <c r="D287" s="53" t="s">
        <v>1421</v>
      </c>
      <c r="E287" s="131">
        <v>45758</v>
      </c>
      <c r="F287" s="127" t="s">
        <v>370</v>
      </c>
      <c r="G287" s="127" t="s">
        <v>1184</v>
      </c>
      <c r="H287" s="54">
        <v>49500</v>
      </c>
      <c r="I287" s="138">
        <v>0.61</v>
      </c>
      <c r="J287" s="44" t="s">
        <v>830</v>
      </c>
      <c r="K287" s="44" t="s">
        <v>1541</v>
      </c>
    </row>
    <row r="288" spans="1:11" x14ac:dyDescent="0.3">
      <c r="A288" s="126" t="s">
        <v>392</v>
      </c>
      <c r="B288" s="126" t="s">
        <v>7</v>
      </c>
      <c r="C288" s="53" t="s">
        <v>1422</v>
      </c>
      <c r="D288" s="53" t="s">
        <v>1423</v>
      </c>
      <c r="E288" s="131">
        <v>45758</v>
      </c>
      <c r="F288" s="127" t="s">
        <v>370</v>
      </c>
      <c r="G288" s="127" t="s">
        <v>1184</v>
      </c>
      <c r="H288" s="54">
        <v>15784.7</v>
      </c>
      <c r="I288" s="138">
        <v>0.66400000000000003</v>
      </c>
      <c r="J288" s="44" t="s">
        <v>830</v>
      </c>
      <c r="K288" s="44" t="s">
        <v>1540</v>
      </c>
    </row>
    <row r="289" spans="1:11" x14ac:dyDescent="0.3">
      <c r="A289" s="126" t="s">
        <v>392</v>
      </c>
      <c r="B289" s="126" t="s">
        <v>7</v>
      </c>
      <c r="C289" s="53" t="s">
        <v>1424</v>
      </c>
      <c r="D289" s="53" t="s">
        <v>1425</v>
      </c>
      <c r="E289" s="131">
        <v>45758</v>
      </c>
      <c r="F289" s="127" t="s">
        <v>370</v>
      </c>
      <c r="G289" s="127" t="s">
        <v>1184</v>
      </c>
      <c r="H289" s="54">
        <v>8304.4</v>
      </c>
      <c r="I289" s="138">
        <v>0.51800000000000002</v>
      </c>
      <c r="J289" s="44" t="s">
        <v>830</v>
      </c>
      <c r="K289" s="44" t="s">
        <v>1540</v>
      </c>
    </row>
    <row r="290" spans="1:11" x14ac:dyDescent="0.3">
      <c r="A290" s="126" t="s">
        <v>392</v>
      </c>
      <c r="B290" s="126" t="s">
        <v>7</v>
      </c>
      <c r="C290" s="53" t="s">
        <v>1426</v>
      </c>
      <c r="D290" s="53" t="s">
        <v>1214</v>
      </c>
      <c r="E290" s="131">
        <v>45762</v>
      </c>
      <c r="F290" s="127" t="s">
        <v>371</v>
      </c>
      <c r="G290" s="127" t="s">
        <v>864</v>
      </c>
      <c r="H290" s="54">
        <v>1200</v>
      </c>
      <c r="I290" s="138">
        <v>0.64600000000000002</v>
      </c>
      <c r="J290" s="44" t="s">
        <v>848</v>
      </c>
      <c r="K290" s="44" t="s">
        <v>1540</v>
      </c>
    </row>
    <row r="291" spans="1:11" x14ac:dyDescent="0.3">
      <c r="A291" s="126" t="s">
        <v>392</v>
      </c>
      <c r="B291" s="126" t="s">
        <v>7</v>
      </c>
      <c r="C291" s="53" t="s">
        <v>1427</v>
      </c>
      <c r="D291" s="53" t="s">
        <v>1428</v>
      </c>
      <c r="E291" s="131">
        <v>45762</v>
      </c>
      <c r="F291" s="127" t="s">
        <v>842</v>
      </c>
      <c r="G291" s="127" t="s">
        <v>843</v>
      </c>
      <c r="H291" s="54">
        <v>22000</v>
      </c>
      <c r="I291" s="138">
        <v>0.436</v>
      </c>
      <c r="J291" s="44" t="s">
        <v>832</v>
      </c>
      <c r="K291" s="44" t="s">
        <v>1540</v>
      </c>
    </row>
    <row r="292" spans="1:11" x14ac:dyDescent="0.3">
      <c r="A292" s="126" t="s">
        <v>390</v>
      </c>
      <c r="B292" s="126" t="s">
        <v>7</v>
      </c>
      <c r="C292" s="53" t="s">
        <v>1429</v>
      </c>
      <c r="D292" s="53" t="s">
        <v>1430</v>
      </c>
      <c r="E292" s="131">
        <v>45762</v>
      </c>
      <c r="F292" s="127" t="s">
        <v>372</v>
      </c>
      <c r="G292" s="127" t="s">
        <v>10</v>
      </c>
      <c r="H292" s="54">
        <v>13800.4</v>
      </c>
      <c r="I292" s="138">
        <v>0.4</v>
      </c>
      <c r="J292" s="44" t="s">
        <v>833</v>
      </c>
      <c r="K292" s="44" t="s">
        <v>1541</v>
      </c>
    </row>
    <row r="293" spans="1:11" x14ac:dyDescent="0.3">
      <c r="A293" s="126" t="s">
        <v>390</v>
      </c>
      <c r="B293" s="126" t="s">
        <v>7</v>
      </c>
      <c r="C293" s="53" t="s">
        <v>1431</v>
      </c>
      <c r="D293" s="53" t="s">
        <v>1432</v>
      </c>
      <c r="E293" s="131">
        <v>45762</v>
      </c>
      <c r="F293" s="127" t="s">
        <v>372</v>
      </c>
      <c r="G293" s="127" t="s">
        <v>10</v>
      </c>
      <c r="H293" s="54">
        <v>104527.13</v>
      </c>
      <c r="I293" s="138">
        <v>0.32100000000000001</v>
      </c>
      <c r="J293" s="44" t="s">
        <v>833</v>
      </c>
      <c r="K293" s="44" t="s">
        <v>1542</v>
      </c>
    </row>
    <row r="294" spans="1:11" x14ac:dyDescent="0.3">
      <c r="A294" s="126" t="s">
        <v>392</v>
      </c>
      <c r="B294" s="126" t="s">
        <v>7</v>
      </c>
      <c r="C294" s="53" t="s">
        <v>1433</v>
      </c>
      <c r="D294" s="53" t="s">
        <v>1434</v>
      </c>
      <c r="E294" s="131">
        <v>45762</v>
      </c>
      <c r="F294" s="127" t="s">
        <v>370</v>
      </c>
      <c r="G294" s="127" t="s">
        <v>1184</v>
      </c>
      <c r="H294" s="54">
        <v>4100.2</v>
      </c>
      <c r="I294" s="138">
        <v>0.56100000000000005</v>
      </c>
      <c r="J294" s="44" t="s">
        <v>830</v>
      </c>
      <c r="K294" s="44" t="s">
        <v>1540</v>
      </c>
    </row>
    <row r="295" spans="1:11" x14ac:dyDescent="0.3">
      <c r="A295" s="126" t="s">
        <v>390</v>
      </c>
      <c r="B295" s="126" t="s">
        <v>7</v>
      </c>
      <c r="C295" s="53" t="s">
        <v>1435</v>
      </c>
      <c r="D295" s="53" t="s">
        <v>1436</v>
      </c>
      <c r="E295" s="131">
        <v>45762</v>
      </c>
      <c r="F295" s="127" t="s">
        <v>370</v>
      </c>
      <c r="G295" s="127" t="s">
        <v>1184</v>
      </c>
      <c r="H295" s="54">
        <v>17000</v>
      </c>
      <c r="I295" s="138">
        <v>0.63</v>
      </c>
      <c r="J295" s="44" t="s">
        <v>830</v>
      </c>
      <c r="K295" s="44" t="s">
        <v>1541</v>
      </c>
    </row>
    <row r="296" spans="1:11" x14ac:dyDescent="0.3">
      <c r="A296" s="126" t="s">
        <v>392</v>
      </c>
      <c r="B296" s="126" t="s">
        <v>7</v>
      </c>
      <c r="C296" s="53" t="s">
        <v>1437</v>
      </c>
      <c r="D296" s="53" t="s">
        <v>1438</v>
      </c>
      <c r="E296" s="131">
        <v>45762</v>
      </c>
      <c r="F296" s="127" t="s">
        <v>370</v>
      </c>
      <c r="G296" s="127" t="s">
        <v>1184</v>
      </c>
      <c r="H296" s="54">
        <v>14106.01</v>
      </c>
      <c r="I296" s="138">
        <v>0.47499999999999998</v>
      </c>
      <c r="J296" s="44" t="s">
        <v>830</v>
      </c>
      <c r="K296" s="44" t="s">
        <v>1540</v>
      </c>
    </row>
    <row r="297" spans="1:11" x14ac:dyDescent="0.3">
      <c r="A297" s="126" t="s">
        <v>392</v>
      </c>
      <c r="B297" s="126" t="s">
        <v>7</v>
      </c>
      <c r="C297" s="53" t="s">
        <v>1439</v>
      </c>
      <c r="D297" s="53" t="s">
        <v>1440</v>
      </c>
      <c r="E297" s="131">
        <v>45762</v>
      </c>
      <c r="F297" s="127" t="s">
        <v>370</v>
      </c>
      <c r="G297" s="127" t="s">
        <v>1184</v>
      </c>
      <c r="H297" s="54">
        <v>7053.01</v>
      </c>
      <c r="I297" s="138">
        <v>0.49</v>
      </c>
      <c r="J297" s="44" t="s">
        <v>830</v>
      </c>
      <c r="K297" s="44" t="s">
        <v>1540</v>
      </c>
    </row>
    <row r="298" spans="1:11" x14ac:dyDescent="0.3">
      <c r="A298" s="126" t="s">
        <v>392</v>
      </c>
      <c r="B298" s="126" t="s">
        <v>7</v>
      </c>
      <c r="C298" s="53" t="s">
        <v>1441</v>
      </c>
      <c r="D298" s="53" t="s">
        <v>1442</v>
      </c>
      <c r="E298" s="131">
        <v>45763</v>
      </c>
      <c r="F298" s="127" t="s">
        <v>372</v>
      </c>
      <c r="G298" s="127" t="s">
        <v>10</v>
      </c>
      <c r="H298" s="54">
        <v>22950.06</v>
      </c>
      <c r="I298" s="138">
        <v>0.41299999999999998</v>
      </c>
      <c r="J298" s="44" t="s">
        <v>848</v>
      </c>
      <c r="K298" s="44" t="s">
        <v>1540</v>
      </c>
    </row>
    <row r="299" spans="1:11" x14ac:dyDescent="0.3">
      <c r="A299" s="126" t="s">
        <v>392</v>
      </c>
      <c r="B299" s="126" t="s">
        <v>7</v>
      </c>
      <c r="C299" s="53" t="s">
        <v>1443</v>
      </c>
      <c r="D299" s="53" t="s">
        <v>1444</v>
      </c>
      <c r="E299" s="131">
        <v>45763</v>
      </c>
      <c r="F299" s="127" t="s">
        <v>372</v>
      </c>
      <c r="G299" s="127" t="s">
        <v>10</v>
      </c>
      <c r="H299" s="54">
        <v>22950.06</v>
      </c>
      <c r="I299" s="138">
        <v>0.41299999999999998</v>
      </c>
      <c r="J299" s="44" t="s">
        <v>848</v>
      </c>
      <c r="K299" s="44" t="s">
        <v>1540</v>
      </c>
    </row>
    <row r="300" spans="1:11" x14ac:dyDescent="0.3">
      <c r="A300" s="126" t="s">
        <v>390</v>
      </c>
      <c r="B300" s="126" t="s">
        <v>7</v>
      </c>
      <c r="C300" s="53" t="s">
        <v>1445</v>
      </c>
      <c r="D300" s="53" t="s">
        <v>1446</v>
      </c>
      <c r="E300" s="131">
        <v>45763</v>
      </c>
      <c r="F300" s="127" t="s">
        <v>375</v>
      </c>
      <c r="G300" s="127" t="s">
        <v>62</v>
      </c>
      <c r="H300" s="54">
        <v>42230.6</v>
      </c>
      <c r="I300" s="138">
        <v>0.375</v>
      </c>
      <c r="J300" s="44" t="s">
        <v>831</v>
      </c>
      <c r="K300" s="44" t="s">
        <v>1542</v>
      </c>
    </row>
    <row r="301" spans="1:11" x14ac:dyDescent="0.3">
      <c r="A301" s="126" t="s">
        <v>392</v>
      </c>
      <c r="B301" s="126" t="s">
        <v>7</v>
      </c>
      <c r="C301" s="53" t="s">
        <v>1447</v>
      </c>
      <c r="D301" s="53" t="s">
        <v>1448</v>
      </c>
      <c r="E301" s="131">
        <v>45764</v>
      </c>
      <c r="F301" s="127" t="s">
        <v>842</v>
      </c>
      <c r="G301" s="127" t="s">
        <v>843</v>
      </c>
      <c r="H301" s="54">
        <v>24110.76</v>
      </c>
      <c r="I301" s="138">
        <v>0.49</v>
      </c>
      <c r="J301" s="44" t="s">
        <v>832</v>
      </c>
      <c r="K301" s="44" t="s">
        <v>1540</v>
      </c>
    </row>
    <row r="302" spans="1:11" x14ac:dyDescent="0.3">
      <c r="A302" s="126" t="s">
        <v>390</v>
      </c>
      <c r="B302" s="126" t="s">
        <v>7</v>
      </c>
      <c r="C302" s="53" t="s">
        <v>1449</v>
      </c>
      <c r="D302" s="53" t="s">
        <v>1450</v>
      </c>
      <c r="E302" s="131">
        <v>45764</v>
      </c>
      <c r="F302" s="127" t="s">
        <v>375</v>
      </c>
      <c r="G302" s="127" t="s">
        <v>62</v>
      </c>
      <c r="H302" s="54">
        <v>42440.08</v>
      </c>
      <c r="I302" s="138">
        <v>0.38600000000000001</v>
      </c>
      <c r="J302" s="44" t="s">
        <v>831</v>
      </c>
      <c r="K302" s="44" t="s">
        <v>1542</v>
      </c>
    </row>
    <row r="303" spans="1:11" x14ac:dyDescent="0.3">
      <c r="A303" s="126" t="s">
        <v>392</v>
      </c>
      <c r="B303" s="126" t="s">
        <v>7</v>
      </c>
      <c r="C303" s="53" t="s">
        <v>1451</v>
      </c>
      <c r="D303" s="53" t="s">
        <v>1452</v>
      </c>
      <c r="E303" s="131">
        <v>45764</v>
      </c>
      <c r="F303" s="127" t="s">
        <v>370</v>
      </c>
      <c r="G303" s="127" t="s">
        <v>1184</v>
      </c>
      <c r="H303" s="54">
        <v>4098.3999999999996</v>
      </c>
      <c r="I303" s="138">
        <v>0.56100000000000005</v>
      </c>
      <c r="J303" s="44" t="s">
        <v>830</v>
      </c>
      <c r="K303" s="44" t="s">
        <v>1540</v>
      </c>
    </row>
    <row r="304" spans="1:11" x14ac:dyDescent="0.3">
      <c r="A304" s="126" t="s">
        <v>390</v>
      </c>
      <c r="B304" s="126" t="s">
        <v>7</v>
      </c>
      <c r="C304" s="53" t="s">
        <v>1453</v>
      </c>
      <c r="D304" s="53" t="s">
        <v>1454</v>
      </c>
      <c r="E304" s="131">
        <v>45764</v>
      </c>
      <c r="F304" s="127" t="s">
        <v>370</v>
      </c>
      <c r="G304" s="127" t="s">
        <v>1184</v>
      </c>
      <c r="H304" s="54">
        <v>16500</v>
      </c>
      <c r="I304" s="138">
        <v>0.66700000000000004</v>
      </c>
      <c r="J304" s="44" t="s">
        <v>830</v>
      </c>
      <c r="K304" s="44" t="s">
        <v>1541</v>
      </c>
    </row>
    <row r="305" spans="1:11" x14ac:dyDescent="0.3">
      <c r="A305" s="126" t="s">
        <v>392</v>
      </c>
      <c r="B305" s="126" t="s">
        <v>7</v>
      </c>
      <c r="C305" s="53" t="s">
        <v>1455</v>
      </c>
      <c r="D305" s="53" t="s">
        <v>1456</v>
      </c>
      <c r="E305" s="131">
        <v>45768</v>
      </c>
      <c r="F305" s="127" t="s">
        <v>370</v>
      </c>
      <c r="G305" s="127" t="s">
        <v>1184</v>
      </c>
      <c r="H305" s="54">
        <v>7100</v>
      </c>
      <c r="I305" s="138">
        <v>0.62</v>
      </c>
      <c r="J305" s="44" t="s">
        <v>830</v>
      </c>
      <c r="K305" s="44" t="s">
        <v>1540</v>
      </c>
    </row>
    <row r="306" spans="1:11" x14ac:dyDescent="0.3">
      <c r="A306" s="126" t="s">
        <v>392</v>
      </c>
      <c r="B306" s="126" t="s">
        <v>7</v>
      </c>
      <c r="C306" s="53" t="s">
        <v>1457</v>
      </c>
      <c r="D306" s="53" t="s">
        <v>1458</v>
      </c>
      <c r="E306" s="131">
        <v>45768</v>
      </c>
      <c r="F306" s="127" t="s">
        <v>370</v>
      </c>
      <c r="G306" s="127" t="s">
        <v>1184</v>
      </c>
      <c r="H306" s="54">
        <v>7100</v>
      </c>
      <c r="I306" s="138">
        <v>0.62</v>
      </c>
      <c r="J306" s="44" t="s">
        <v>830</v>
      </c>
      <c r="K306" s="44" t="s">
        <v>1540</v>
      </c>
    </row>
    <row r="307" spans="1:11" x14ac:dyDescent="0.3">
      <c r="A307" s="126" t="s">
        <v>392</v>
      </c>
      <c r="B307" s="126" t="s">
        <v>7</v>
      </c>
      <c r="C307" s="53" t="s">
        <v>1459</v>
      </c>
      <c r="D307" s="53" t="s">
        <v>1460</v>
      </c>
      <c r="E307" s="131">
        <v>45769</v>
      </c>
      <c r="F307" s="127" t="s">
        <v>372</v>
      </c>
      <c r="G307" s="127" t="s">
        <v>10</v>
      </c>
      <c r="H307" s="54">
        <v>22770.5</v>
      </c>
      <c r="I307" s="138">
        <v>0.46</v>
      </c>
      <c r="J307" s="44" t="s">
        <v>848</v>
      </c>
      <c r="K307" s="44" t="s">
        <v>1540</v>
      </c>
    </row>
    <row r="308" spans="1:11" x14ac:dyDescent="0.3">
      <c r="A308" s="126" t="s">
        <v>392</v>
      </c>
      <c r="B308" s="126" t="s">
        <v>7</v>
      </c>
      <c r="C308" s="53" t="s">
        <v>1461</v>
      </c>
      <c r="D308" s="53" t="s">
        <v>1462</v>
      </c>
      <c r="E308" s="131">
        <v>45769</v>
      </c>
      <c r="F308" s="127" t="s">
        <v>372</v>
      </c>
      <c r="G308" s="127" t="s">
        <v>10</v>
      </c>
      <c r="H308" s="54">
        <v>22817.26</v>
      </c>
      <c r="I308" s="138">
        <v>0.46100000000000002</v>
      </c>
      <c r="J308" s="44" t="s">
        <v>848</v>
      </c>
      <c r="K308" s="44" t="s">
        <v>1540</v>
      </c>
    </row>
    <row r="309" spans="1:11" x14ac:dyDescent="0.3">
      <c r="A309" s="126" t="s">
        <v>392</v>
      </c>
      <c r="B309" s="126" t="s">
        <v>7</v>
      </c>
      <c r="C309" s="53" t="s">
        <v>1463</v>
      </c>
      <c r="D309" s="53" t="s">
        <v>1464</v>
      </c>
      <c r="E309" s="131">
        <v>45769</v>
      </c>
      <c r="F309" s="127" t="s">
        <v>370</v>
      </c>
      <c r="G309" s="127" t="s">
        <v>1184</v>
      </c>
      <c r="H309" s="54">
        <v>5604.26</v>
      </c>
      <c r="I309" s="138">
        <v>0.53600000000000003</v>
      </c>
      <c r="J309" s="44" t="s">
        <v>830</v>
      </c>
      <c r="K309" s="44" t="s">
        <v>1540</v>
      </c>
    </row>
    <row r="310" spans="1:11" x14ac:dyDescent="0.3">
      <c r="A310" s="126" t="s">
        <v>390</v>
      </c>
      <c r="B310" s="126" t="s">
        <v>7</v>
      </c>
      <c r="C310" s="53" t="s">
        <v>1465</v>
      </c>
      <c r="D310" s="53" t="s">
        <v>1466</v>
      </c>
      <c r="E310" s="131">
        <v>45769</v>
      </c>
      <c r="F310" s="127" t="s">
        <v>375</v>
      </c>
      <c r="G310" s="127" t="s">
        <v>62</v>
      </c>
      <c r="H310" s="54">
        <v>61356.28</v>
      </c>
      <c r="I310" s="138">
        <v>0.61799999999999999</v>
      </c>
      <c r="J310" s="44" t="s">
        <v>831</v>
      </c>
      <c r="K310" s="44" t="s">
        <v>1542</v>
      </c>
    </row>
    <row r="311" spans="1:11" x14ac:dyDescent="0.3">
      <c r="A311" s="126" t="s">
        <v>390</v>
      </c>
      <c r="B311" s="126" t="s">
        <v>7</v>
      </c>
      <c r="C311" s="53" t="s">
        <v>1467</v>
      </c>
      <c r="D311" s="53" t="s">
        <v>1468</v>
      </c>
      <c r="E311" s="131">
        <v>45770</v>
      </c>
      <c r="F311" s="127" t="s">
        <v>375</v>
      </c>
      <c r="G311" s="127" t="s">
        <v>62</v>
      </c>
      <c r="H311" s="54">
        <v>41216.19</v>
      </c>
      <c r="I311" s="138">
        <v>0.41499999999999998</v>
      </c>
      <c r="J311" s="44" t="s">
        <v>831</v>
      </c>
      <c r="K311" s="44" t="s">
        <v>1541</v>
      </c>
    </row>
    <row r="312" spans="1:11" x14ac:dyDescent="0.3">
      <c r="A312" s="126" t="s">
        <v>392</v>
      </c>
      <c r="B312" s="126" t="s">
        <v>7</v>
      </c>
      <c r="C312" s="53" t="s">
        <v>1469</v>
      </c>
      <c r="D312" s="53" t="s">
        <v>1470</v>
      </c>
      <c r="E312" s="131">
        <v>45771</v>
      </c>
      <c r="F312" s="127" t="s">
        <v>370</v>
      </c>
      <c r="G312" s="127" t="s">
        <v>1184</v>
      </c>
      <c r="H312" s="54">
        <v>4004.26</v>
      </c>
      <c r="I312" s="138">
        <v>0.55000000000000004</v>
      </c>
      <c r="J312" s="44" t="s">
        <v>830</v>
      </c>
      <c r="K312" s="44" t="s">
        <v>1540</v>
      </c>
    </row>
    <row r="313" spans="1:11" x14ac:dyDescent="0.3">
      <c r="A313" s="126" t="s">
        <v>392</v>
      </c>
      <c r="B313" s="126" t="s">
        <v>7</v>
      </c>
      <c r="C313" s="53" t="s">
        <v>1471</v>
      </c>
      <c r="D313" s="53" t="s">
        <v>1472</v>
      </c>
      <c r="E313" s="131">
        <v>45771</v>
      </c>
      <c r="F313" s="127" t="s">
        <v>842</v>
      </c>
      <c r="G313" s="127" t="s">
        <v>843</v>
      </c>
      <c r="H313" s="54">
        <v>22000</v>
      </c>
      <c r="I313" s="138">
        <v>0.44500000000000001</v>
      </c>
      <c r="J313" s="44" t="s">
        <v>832</v>
      </c>
      <c r="K313" s="44" t="s">
        <v>1540</v>
      </c>
    </row>
    <row r="314" spans="1:11" x14ac:dyDescent="0.3">
      <c r="A314" s="126" t="s">
        <v>390</v>
      </c>
      <c r="B314" s="126" t="s">
        <v>7</v>
      </c>
      <c r="C314" s="53" t="s">
        <v>1473</v>
      </c>
      <c r="D314" s="53" t="s">
        <v>1474</v>
      </c>
      <c r="E314" s="131">
        <v>45771</v>
      </c>
      <c r="F314" s="127" t="s">
        <v>375</v>
      </c>
      <c r="G314" s="127" t="s">
        <v>62</v>
      </c>
      <c r="H314" s="54">
        <v>41923.370000000003</v>
      </c>
      <c r="I314" s="138">
        <v>0.378</v>
      </c>
      <c r="J314" s="44" t="s">
        <v>831</v>
      </c>
      <c r="K314" s="44" t="s">
        <v>1542</v>
      </c>
    </row>
    <row r="315" spans="1:11" x14ac:dyDescent="0.3">
      <c r="A315" s="126" t="s">
        <v>390</v>
      </c>
      <c r="B315" s="126" t="s">
        <v>7</v>
      </c>
      <c r="C315" s="53" t="s">
        <v>1475</v>
      </c>
      <c r="D315" s="53" t="s">
        <v>1476</v>
      </c>
      <c r="E315" s="131">
        <v>45772</v>
      </c>
      <c r="F315" s="127" t="s">
        <v>372</v>
      </c>
      <c r="G315" s="127" t="s">
        <v>10</v>
      </c>
      <c r="H315" s="54">
        <v>47161.18</v>
      </c>
      <c r="I315" s="138">
        <v>0.20300000000000001</v>
      </c>
      <c r="J315" s="44" t="s">
        <v>833</v>
      </c>
      <c r="K315" s="44" t="s">
        <v>1541</v>
      </c>
    </row>
    <row r="316" spans="1:11" x14ac:dyDescent="0.3">
      <c r="A316" s="126" t="s">
        <v>392</v>
      </c>
      <c r="B316" s="126" t="s">
        <v>7</v>
      </c>
      <c r="C316" s="53" t="s">
        <v>1477</v>
      </c>
      <c r="D316" s="53" t="s">
        <v>1478</v>
      </c>
      <c r="E316" s="131">
        <v>45775</v>
      </c>
      <c r="F316" s="127" t="s">
        <v>370</v>
      </c>
      <c r="G316" s="127" t="s">
        <v>1184</v>
      </c>
      <c r="H316" s="54">
        <v>3913.76</v>
      </c>
      <c r="I316" s="138">
        <v>0.54</v>
      </c>
      <c r="J316" s="44" t="s">
        <v>830</v>
      </c>
      <c r="K316" s="44" t="s">
        <v>1540</v>
      </c>
    </row>
    <row r="317" spans="1:11" x14ac:dyDescent="0.3">
      <c r="A317" s="126" t="s">
        <v>390</v>
      </c>
      <c r="B317" s="126" t="s">
        <v>7</v>
      </c>
      <c r="C317" s="53" t="s">
        <v>1479</v>
      </c>
      <c r="D317" s="53" t="s">
        <v>1480</v>
      </c>
      <c r="E317" s="131">
        <v>45775</v>
      </c>
      <c r="F317" s="127" t="s">
        <v>370</v>
      </c>
      <c r="G317" s="127" t="s">
        <v>1184</v>
      </c>
      <c r="H317" s="54">
        <v>8500</v>
      </c>
      <c r="I317" s="138">
        <v>0.59099999999999997</v>
      </c>
      <c r="J317" s="44" t="s">
        <v>830</v>
      </c>
      <c r="K317" s="44" t="s">
        <v>1541</v>
      </c>
    </row>
    <row r="318" spans="1:11" x14ac:dyDescent="0.3">
      <c r="A318" s="126" t="s">
        <v>390</v>
      </c>
      <c r="B318" s="126" t="s">
        <v>7</v>
      </c>
      <c r="C318" s="53" t="s">
        <v>1481</v>
      </c>
      <c r="D318" s="53" t="s">
        <v>1482</v>
      </c>
      <c r="E318" s="131">
        <v>45775</v>
      </c>
      <c r="F318" s="127" t="s">
        <v>372</v>
      </c>
      <c r="G318" s="127" t="s">
        <v>10</v>
      </c>
      <c r="H318" s="54">
        <v>3540</v>
      </c>
      <c r="I318" s="138">
        <v>0.25900000000000001</v>
      </c>
      <c r="J318" s="44" t="s">
        <v>833</v>
      </c>
      <c r="K318" s="44" t="s">
        <v>1542</v>
      </c>
    </row>
    <row r="319" spans="1:11" x14ac:dyDescent="0.3">
      <c r="A319" s="126" t="s">
        <v>390</v>
      </c>
      <c r="B319" s="126" t="s">
        <v>7</v>
      </c>
      <c r="C319" s="53" t="s">
        <v>1483</v>
      </c>
      <c r="D319" s="53" t="s">
        <v>1484</v>
      </c>
      <c r="E319" s="131">
        <v>45775</v>
      </c>
      <c r="F319" s="127" t="s">
        <v>372</v>
      </c>
      <c r="G319" s="127" t="s">
        <v>10</v>
      </c>
      <c r="H319" s="54">
        <v>3540</v>
      </c>
      <c r="I319" s="138">
        <v>0.25900000000000001</v>
      </c>
      <c r="J319" s="44" t="s">
        <v>833</v>
      </c>
      <c r="K319" s="44" t="s">
        <v>1542</v>
      </c>
    </row>
    <row r="320" spans="1:11" x14ac:dyDescent="0.3">
      <c r="A320" s="126" t="s">
        <v>392</v>
      </c>
      <c r="B320" s="126" t="s">
        <v>7</v>
      </c>
      <c r="C320" s="53" t="s">
        <v>1485</v>
      </c>
      <c r="D320" s="53" t="s">
        <v>1486</v>
      </c>
      <c r="E320" s="131">
        <v>45775</v>
      </c>
      <c r="F320" s="127" t="s">
        <v>372</v>
      </c>
      <c r="G320" s="127" t="s">
        <v>10</v>
      </c>
      <c r="H320" s="54">
        <v>41500</v>
      </c>
      <c r="I320" s="138">
        <v>0.45100000000000001</v>
      </c>
      <c r="J320" s="44" t="s">
        <v>848</v>
      </c>
      <c r="K320" s="44" t="s">
        <v>1540</v>
      </c>
    </row>
    <row r="321" spans="1:11" x14ac:dyDescent="0.3">
      <c r="A321" s="126" t="s">
        <v>392</v>
      </c>
      <c r="B321" s="126" t="s">
        <v>7</v>
      </c>
      <c r="C321" s="53" t="s">
        <v>1487</v>
      </c>
      <c r="D321" s="53" t="s">
        <v>1488</v>
      </c>
      <c r="E321" s="131">
        <v>45775</v>
      </c>
      <c r="F321" s="127" t="s">
        <v>372</v>
      </c>
      <c r="G321" s="127" t="s">
        <v>10</v>
      </c>
      <c r="H321" s="54">
        <v>5500</v>
      </c>
      <c r="I321" s="138">
        <v>0.42699999999999999</v>
      </c>
      <c r="J321" s="44" t="s">
        <v>848</v>
      </c>
      <c r="K321" s="44" t="s">
        <v>1540</v>
      </c>
    </row>
    <row r="322" spans="1:11" x14ac:dyDescent="0.3">
      <c r="A322" s="126" t="s">
        <v>390</v>
      </c>
      <c r="B322" s="126" t="s">
        <v>7</v>
      </c>
      <c r="C322" s="53" t="s">
        <v>1489</v>
      </c>
      <c r="D322" s="53" t="s">
        <v>1490</v>
      </c>
      <c r="E322" s="131">
        <v>45775</v>
      </c>
      <c r="F322" s="127" t="s">
        <v>372</v>
      </c>
      <c r="G322" s="127" t="s">
        <v>10</v>
      </c>
      <c r="H322" s="54">
        <v>20879.54</v>
      </c>
      <c r="I322" s="138">
        <v>0.251</v>
      </c>
      <c r="J322" s="44" t="s">
        <v>833</v>
      </c>
      <c r="K322" s="44" t="s">
        <v>1541</v>
      </c>
    </row>
    <row r="323" spans="1:11" x14ac:dyDescent="0.3">
      <c r="A323" s="126" t="s">
        <v>392</v>
      </c>
      <c r="B323" s="126" t="s">
        <v>7</v>
      </c>
      <c r="C323" s="53" t="s">
        <v>1491</v>
      </c>
      <c r="D323" s="53" t="s">
        <v>1492</v>
      </c>
      <c r="E323" s="131">
        <v>45775</v>
      </c>
      <c r="F323" s="127" t="s">
        <v>371</v>
      </c>
      <c r="G323" s="127" t="s">
        <v>864</v>
      </c>
      <c r="H323" s="54">
        <v>7781.2</v>
      </c>
      <c r="I323" s="138">
        <v>0.85599999999999998</v>
      </c>
      <c r="J323" s="44" t="s">
        <v>848</v>
      </c>
      <c r="K323" s="44" t="s">
        <v>1540</v>
      </c>
    </row>
    <row r="324" spans="1:11" x14ac:dyDescent="0.3">
      <c r="A324" s="126" t="s">
        <v>392</v>
      </c>
      <c r="B324" s="126" t="s">
        <v>7</v>
      </c>
      <c r="C324" s="53" t="s">
        <v>1493</v>
      </c>
      <c r="D324" s="53" t="s">
        <v>1494</v>
      </c>
      <c r="E324" s="131">
        <v>45775</v>
      </c>
      <c r="F324" s="127" t="s">
        <v>842</v>
      </c>
      <c r="G324" s="127" t="s">
        <v>843</v>
      </c>
      <c r="H324" s="54">
        <v>22000</v>
      </c>
      <c r="I324" s="138">
        <v>0.48399999999999999</v>
      </c>
      <c r="J324" s="44" t="s">
        <v>832</v>
      </c>
      <c r="K324" s="44" t="s">
        <v>1540</v>
      </c>
    </row>
    <row r="325" spans="1:11" x14ac:dyDescent="0.3">
      <c r="A325" s="126" t="s">
        <v>392</v>
      </c>
      <c r="B325" s="126" t="s">
        <v>7</v>
      </c>
      <c r="C325" s="53" t="s">
        <v>1495</v>
      </c>
      <c r="D325" s="53" t="s">
        <v>1496</v>
      </c>
      <c r="E325" s="131">
        <v>45775</v>
      </c>
      <c r="F325" s="127" t="s">
        <v>842</v>
      </c>
      <c r="G325" s="127" t="s">
        <v>843</v>
      </c>
      <c r="H325" s="54">
        <v>22000</v>
      </c>
      <c r="I325" s="138">
        <v>0.48399999999999999</v>
      </c>
      <c r="J325" s="44" t="s">
        <v>832</v>
      </c>
      <c r="K325" s="44" t="s">
        <v>1540</v>
      </c>
    </row>
    <row r="326" spans="1:11" x14ac:dyDescent="0.3">
      <c r="A326" s="126" t="s">
        <v>392</v>
      </c>
      <c r="B326" s="126" t="s">
        <v>7</v>
      </c>
      <c r="C326" s="53" t="s">
        <v>1497</v>
      </c>
      <c r="D326" s="53" t="s">
        <v>1498</v>
      </c>
      <c r="E326" s="131">
        <v>45775</v>
      </c>
      <c r="F326" s="127" t="s">
        <v>842</v>
      </c>
      <c r="G326" s="127" t="s">
        <v>843</v>
      </c>
      <c r="H326" s="54">
        <v>22000</v>
      </c>
      <c r="I326" s="138">
        <v>0.46300000000000002</v>
      </c>
      <c r="J326" s="44" t="s">
        <v>832</v>
      </c>
      <c r="K326" s="44" t="s">
        <v>1540</v>
      </c>
    </row>
    <row r="327" spans="1:11" x14ac:dyDescent="0.3">
      <c r="A327" s="126" t="s">
        <v>392</v>
      </c>
      <c r="B327" s="126" t="s">
        <v>7</v>
      </c>
      <c r="C327" s="53" t="s">
        <v>1499</v>
      </c>
      <c r="D327" s="53" t="s">
        <v>1500</v>
      </c>
      <c r="E327" s="131">
        <v>45775</v>
      </c>
      <c r="F327" s="127" t="s">
        <v>842</v>
      </c>
      <c r="G327" s="127" t="s">
        <v>843</v>
      </c>
      <c r="H327" s="54">
        <v>22000</v>
      </c>
      <c r="I327" s="138">
        <v>0.46300000000000002</v>
      </c>
      <c r="J327" s="44" t="s">
        <v>832</v>
      </c>
      <c r="K327" s="44" t="s">
        <v>1540</v>
      </c>
    </row>
    <row r="328" spans="1:11" x14ac:dyDescent="0.3">
      <c r="A328" s="126" t="s">
        <v>392</v>
      </c>
      <c r="B328" s="126" t="s">
        <v>7</v>
      </c>
      <c r="C328" s="53" t="s">
        <v>1501</v>
      </c>
      <c r="D328" s="53" t="s">
        <v>1502</v>
      </c>
      <c r="E328" s="131">
        <v>45776</v>
      </c>
      <c r="F328" s="127" t="s">
        <v>370</v>
      </c>
      <c r="G328" s="127" t="s">
        <v>1184</v>
      </c>
      <c r="H328" s="54">
        <v>3925.56</v>
      </c>
      <c r="I328" s="138">
        <v>0.54100000000000004</v>
      </c>
      <c r="J328" s="44" t="s">
        <v>830</v>
      </c>
      <c r="K328" s="44" t="s">
        <v>1540</v>
      </c>
    </row>
    <row r="329" spans="1:11" x14ac:dyDescent="0.3">
      <c r="A329" s="126" t="s">
        <v>392</v>
      </c>
      <c r="B329" s="126" t="s">
        <v>7</v>
      </c>
      <c r="C329" s="53" t="s">
        <v>1503</v>
      </c>
      <c r="D329" s="53" t="s">
        <v>1504</v>
      </c>
      <c r="E329" s="131">
        <v>45776</v>
      </c>
      <c r="F329" s="127" t="s">
        <v>370</v>
      </c>
      <c r="G329" s="127" t="s">
        <v>1184</v>
      </c>
      <c r="H329" s="54">
        <v>8856.9500000000007</v>
      </c>
      <c r="I329" s="138">
        <v>0.59399999999999997</v>
      </c>
      <c r="J329" s="44" t="s">
        <v>830</v>
      </c>
      <c r="K329" s="44" t="s">
        <v>1540</v>
      </c>
    </row>
    <row r="330" spans="1:11" x14ac:dyDescent="0.3">
      <c r="A330" s="126" t="s">
        <v>390</v>
      </c>
      <c r="B330" s="126" t="s">
        <v>7</v>
      </c>
      <c r="C330" s="53" t="s">
        <v>1505</v>
      </c>
      <c r="D330" s="53" t="s">
        <v>1506</v>
      </c>
      <c r="E330" s="131">
        <v>45776</v>
      </c>
      <c r="F330" s="127" t="s">
        <v>375</v>
      </c>
      <c r="G330" s="127" t="s">
        <v>62</v>
      </c>
      <c r="H330" s="54">
        <v>101762.78</v>
      </c>
      <c r="I330" s="138">
        <v>0.34399999999999997</v>
      </c>
      <c r="J330" s="44" t="s">
        <v>831</v>
      </c>
      <c r="K330" s="44" t="s">
        <v>1542</v>
      </c>
    </row>
    <row r="331" spans="1:11" x14ac:dyDescent="0.3">
      <c r="A331" s="126" t="s">
        <v>392</v>
      </c>
      <c r="B331" s="126" t="s">
        <v>7</v>
      </c>
      <c r="C331" s="53" t="s">
        <v>1507</v>
      </c>
      <c r="D331" s="53" t="s">
        <v>1508</v>
      </c>
      <c r="E331" s="131">
        <v>45777</v>
      </c>
      <c r="F331" s="127" t="s">
        <v>370</v>
      </c>
      <c r="G331" s="127" t="s">
        <v>1184</v>
      </c>
      <c r="H331" s="54">
        <v>14480.93</v>
      </c>
      <c r="I331" s="138">
        <v>0.63400000000000001</v>
      </c>
      <c r="J331" s="44" t="s">
        <v>830</v>
      </c>
      <c r="K331" s="44" t="s">
        <v>1540</v>
      </c>
    </row>
    <row r="332" spans="1:11" x14ac:dyDescent="0.3">
      <c r="A332" s="126" t="s">
        <v>392</v>
      </c>
      <c r="B332" s="126" t="s">
        <v>7</v>
      </c>
      <c r="C332" s="53" t="s">
        <v>1509</v>
      </c>
      <c r="D332" s="53" t="s">
        <v>1510</v>
      </c>
      <c r="E332" s="131">
        <v>45777</v>
      </c>
      <c r="F332" s="127" t="s">
        <v>842</v>
      </c>
      <c r="G332" s="127" t="s">
        <v>843</v>
      </c>
      <c r="H332" s="54">
        <v>22000</v>
      </c>
      <c r="I332" s="138">
        <v>0.46300000000000002</v>
      </c>
      <c r="J332" s="44" t="s">
        <v>832</v>
      </c>
      <c r="K332" s="44" t="s">
        <v>1540</v>
      </c>
    </row>
    <row r="333" spans="1:11" x14ac:dyDescent="0.3">
      <c r="A333" s="126" t="s">
        <v>392</v>
      </c>
      <c r="B333" s="126" t="s">
        <v>7</v>
      </c>
      <c r="C333" s="53" t="s">
        <v>1511</v>
      </c>
      <c r="D333" s="53" t="s">
        <v>1512</v>
      </c>
      <c r="E333" s="131">
        <v>45777</v>
      </c>
      <c r="F333" s="127" t="s">
        <v>842</v>
      </c>
      <c r="G333" s="127" t="s">
        <v>843</v>
      </c>
      <c r="H333" s="54">
        <v>22000</v>
      </c>
      <c r="I333" s="138">
        <v>0.48399999999999999</v>
      </c>
      <c r="J333" s="44" t="s">
        <v>832</v>
      </c>
      <c r="K333" s="44" t="s">
        <v>1540</v>
      </c>
    </row>
    <row r="334" spans="1:11" x14ac:dyDescent="0.3">
      <c r="A334" s="126" t="s">
        <v>392</v>
      </c>
      <c r="B334" s="126" t="s">
        <v>7</v>
      </c>
      <c r="C334" s="53" t="s">
        <v>1513</v>
      </c>
      <c r="D334" s="53" t="s">
        <v>1514</v>
      </c>
      <c r="E334" s="131">
        <v>45777</v>
      </c>
      <c r="F334" s="127" t="s">
        <v>842</v>
      </c>
      <c r="G334" s="127" t="s">
        <v>843</v>
      </c>
      <c r="H334" s="54">
        <v>22000</v>
      </c>
      <c r="I334" s="138">
        <v>0.46600000000000003</v>
      </c>
      <c r="J334" s="44" t="s">
        <v>832</v>
      </c>
      <c r="K334" s="44" t="s">
        <v>1540</v>
      </c>
    </row>
    <row r="335" spans="1:11" x14ac:dyDescent="0.3">
      <c r="A335" s="126" t="s">
        <v>390</v>
      </c>
      <c r="B335" s="126" t="s">
        <v>7</v>
      </c>
      <c r="C335" s="53" t="s">
        <v>1515</v>
      </c>
      <c r="D335" s="53" t="s">
        <v>1516</v>
      </c>
      <c r="E335" s="131">
        <v>45777</v>
      </c>
      <c r="F335" s="127" t="s">
        <v>371</v>
      </c>
      <c r="G335" s="127" t="s">
        <v>864</v>
      </c>
      <c r="H335" s="54">
        <v>13954.05</v>
      </c>
      <c r="I335" s="138">
        <v>0.51</v>
      </c>
      <c r="J335" s="44" t="s">
        <v>832</v>
      </c>
      <c r="K335" s="44" t="s">
        <v>1541</v>
      </c>
    </row>
    <row r="336" spans="1:11" x14ac:dyDescent="0.3">
      <c r="A336" s="126" t="s">
        <v>390</v>
      </c>
      <c r="B336" s="126" t="s">
        <v>7</v>
      </c>
      <c r="C336" s="53" t="s">
        <v>1517</v>
      </c>
      <c r="D336" s="53" t="s">
        <v>1518</v>
      </c>
      <c r="E336" s="131">
        <v>45777</v>
      </c>
      <c r="F336" s="127" t="s">
        <v>370</v>
      </c>
      <c r="G336" s="127" t="s">
        <v>1184</v>
      </c>
      <c r="H336" s="54">
        <v>15500</v>
      </c>
      <c r="I336" s="138">
        <v>0.57299999999999995</v>
      </c>
      <c r="J336" s="44" t="s">
        <v>830</v>
      </c>
      <c r="K336" s="44" t="s">
        <v>1541</v>
      </c>
    </row>
    <row r="337" spans="1:11" x14ac:dyDescent="0.3">
      <c r="A337" s="126" t="s">
        <v>390</v>
      </c>
      <c r="B337" s="126" t="s">
        <v>7</v>
      </c>
      <c r="C337" s="53" t="s">
        <v>1519</v>
      </c>
      <c r="D337" s="53" t="s">
        <v>1520</v>
      </c>
      <c r="E337" s="131">
        <v>45777</v>
      </c>
      <c r="F337" s="127" t="s">
        <v>375</v>
      </c>
      <c r="G337" s="127" t="s">
        <v>62</v>
      </c>
      <c r="H337" s="54">
        <v>42440.32</v>
      </c>
      <c r="I337" s="138">
        <v>0.51100000000000001</v>
      </c>
      <c r="J337" s="44" t="s">
        <v>831</v>
      </c>
      <c r="K337" s="44" t="s">
        <v>1542</v>
      </c>
    </row>
    <row r="338" spans="1:11" x14ac:dyDescent="0.3">
      <c r="A338" s="126" t="s">
        <v>392</v>
      </c>
      <c r="B338" s="126" t="s">
        <v>7</v>
      </c>
      <c r="C338" s="53" t="s">
        <v>1521</v>
      </c>
      <c r="D338" s="53" t="s">
        <v>1522</v>
      </c>
      <c r="E338" s="131">
        <v>45777</v>
      </c>
      <c r="F338" s="127" t="s">
        <v>370</v>
      </c>
      <c r="G338" s="127" t="s">
        <v>1184</v>
      </c>
      <c r="H338" s="54">
        <v>3916.5</v>
      </c>
      <c r="I338" s="138">
        <v>0.54</v>
      </c>
      <c r="J338" s="44" t="s">
        <v>830</v>
      </c>
      <c r="K338" s="44" t="s">
        <v>1540</v>
      </c>
    </row>
    <row r="339" spans="1:11" x14ac:dyDescent="0.3">
      <c r="A339" s="126" t="s">
        <v>390</v>
      </c>
      <c r="B339" s="126" t="s">
        <v>7</v>
      </c>
      <c r="C339" s="53" t="s">
        <v>1523</v>
      </c>
      <c r="D339" s="53" t="s">
        <v>1524</v>
      </c>
      <c r="E339" s="131">
        <v>45777</v>
      </c>
      <c r="F339" s="127" t="s">
        <v>375</v>
      </c>
      <c r="G339" s="127" t="s">
        <v>62</v>
      </c>
      <c r="H339" s="54">
        <v>42980.81</v>
      </c>
      <c r="I339" s="138">
        <v>0.39500000000000002</v>
      </c>
      <c r="J339" s="44" t="s">
        <v>831</v>
      </c>
      <c r="K339" s="44" t="s">
        <v>1542</v>
      </c>
    </row>
    <row r="340" spans="1:11" x14ac:dyDescent="0.3">
      <c r="A340" s="126" t="s">
        <v>390</v>
      </c>
      <c r="B340" s="126" t="s">
        <v>7</v>
      </c>
      <c r="C340" s="53" t="s">
        <v>1525</v>
      </c>
      <c r="D340" s="53" t="s">
        <v>1526</v>
      </c>
      <c r="E340" s="131">
        <v>45777</v>
      </c>
      <c r="F340" s="127" t="s">
        <v>375</v>
      </c>
      <c r="G340" s="127" t="s">
        <v>62</v>
      </c>
      <c r="H340" s="54">
        <v>17870.64</v>
      </c>
      <c r="I340" s="138">
        <v>0.873</v>
      </c>
      <c r="J340" s="44" t="s">
        <v>831</v>
      </c>
      <c r="K340" s="44" t="s">
        <v>1541</v>
      </c>
    </row>
    <row r="341" spans="1:11" x14ac:dyDescent="0.3">
      <c r="A341" s="126" t="s">
        <v>390</v>
      </c>
      <c r="B341" s="126" t="s">
        <v>7</v>
      </c>
      <c r="C341" s="53" t="s">
        <v>1527</v>
      </c>
      <c r="D341" s="53" t="s">
        <v>1378</v>
      </c>
      <c r="E341" s="131">
        <v>45777</v>
      </c>
      <c r="F341" s="127" t="s">
        <v>1007</v>
      </c>
      <c r="G341" s="127" t="s">
        <v>865</v>
      </c>
      <c r="H341" s="54">
        <v>3045.89</v>
      </c>
      <c r="I341" s="138">
        <v>0.33</v>
      </c>
      <c r="J341" s="44" t="s">
        <v>831</v>
      </c>
      <c r="K341" s="44" t="s">
        <v>1542</v>
      </c>
    </row>
    <row r="342" spans="1:11" x14ac:dyDescent="0.3">
      <c r="A342" s="126" t="s">
        <v>390</v>
      </c>
      <c r="B342" s="126" t="s">
        <v>7</v>
      </c>
      <c r="C342" s="53" t="s">
        <v>1528</v>
      </c>
      <c r="D342" s="53" t="s">
        <v>1529</v>
      </c>
      <c r="E342" s="131">
        <v>45777</v>
      </c>
      <c r="F342" s="127" t="s">
        <v>375</v>
      </c>
      <c r="G342" s="127" t="s">
        <v>62</v>
      </c>
      <c r="H342" s="54">
        <v>34491.24</v>
      </c>
      <c r="I342" s="138">
        <v>0.46400000000000002</v>
      </c>
      <c r="J342" s="44" t="s">
        <v>831</v>
      </c>
      <c r="K342" s="44" t="s">
        <v>1542</v>
      </c>
    </row>
    <row r="343" spans="1:11" x14ac:dyDescent="0.3">
      <c r="A343" s="126" t="s">
        <v>390</v>
      </c>
      <c r="B343" s="126" t="s">
        <v>7</v>
      </c>
      <c r="C343" s="53" t="s">
        <v>1530</v>
      </c>
      <c r="D343" s="53" t="s">
        <v>1531</v>
      </c>
      <c r="E343" s="131">
        <v>45756</v>
      </c>
      <c r="F343" s="127" t="s">
        <v>372</v>
      </c>
      <c r="G343" s="127" t="s">
        <v>10</v>
      </c>
      <c r="H343" s="54">
        <v>73098.523119999998</v>
      </c>
      <c r="I343" s="138">
        <v>0.27300000000000002</v>
      </c>
      <c r="J343" s="44" t="s">
        <v>833</v>
      </c>
      <c r="K343" s="44" t="s">
        <v>1542</v>
      </c>
    </row>
    <row r="344" spans="1:11" x14ac:dyDescent="0.3">
      <c r="A344" s="126" t="s">
        <v>390</v>
      </c>
      <c r="B344" s="126" t="s">
        <v>7</v>
      </c>
      <c r="C344" s="53" t="s">
        <v>1532</v>
      </c>
      <c r="D344" s="53" t="s">
        <v>1533</v>
      </c>
      <c r="E344" s="131">
        <v>45772</v>
      </c>
      <c r="F344" s="127" t="s">
        <v>1175</v>
      </c>
      <c r="G344" s="127" t="s">
        <v>852</v>
      </c>
      <c r="H344" s="54">
        <v>4308.1499999999996</v>
      </c>
      <c r="I344" s="138">
        <v>0.57799999999999996</v>
      </c>
      <c r="J344" s="44" t="s">
        <v>831</v>
      </c>
      <c r="K344" s="44" t="s">
        <v>1542</v>
      </c>
    </row>
    <row r="345" spans="1:11" x14ac:dyDescent="0.3">
      <c r="A345" s="126" t="s">
        <v>390</v>
      </c>
      <c r="B345" s="126" t="s">
        <v>7</v>
      </c>
      <c r="C345" s="53" t="s">
        <v>1534</v>
      </c>
      <c r="D345" s="53" t="s">
        <v>1533</v>
      </c>
      <c r="E345" s="131">
        <v>45772</v>
      </c>
      <c r="F345" s="127" t="s">
        <v>1175</v>
      </c>
      <c r="G345" s="127" t="s">
        <v>852</v>
      </c>
      <c r="H345" s="54">
        <v>3015.7049999999999</v>
      </c>
      <c r="I345" s="138">
        <v>0.57799999999999996</v>
      </c>
      <c r="J345" s="44" t="s">
        <v>831</v>
      </c>
      <c r="K345" s="44" t="s">
        <v>1542</v>
      </c>
    </row>
    <row r="346" spans="1:11" x14ac:dyDescent="0.3">
      <c r="A346" s="126" t="s">
        <v>392</v>
      </c>
      <c r="B346" s="126" t="s">
        <v>7</v>
      </c>
      <c r="C346" s="53" t="s">
        <v>1535</v>
      </c>
      <c r="D346" s="53" t="s">
        <v>1536</v>
      </c>
      <c r="E346" s="131">
        <v>45763</v>
      </c>
      <c r="F346" s="127" t="s">
        <v>844</v>
      </c>
      <c r="G346" s="127" t="s">
        <v>863</v>
      </c>
      <c r="H346" s="54">
        <v>120127.8</v>
      </c>
      <c r="I346" s="138">
        <v>0.18</v>
      </c>
      <c r="J346" s="44" t="s">
        <v>848</v>
      </c>
      <c r="K346" s="44" t="s">
        <v>1540</v>
      </c>
    </row>
    <row r="347" spans="1:11" x14ac:dyDescent="0.3">
      <c r="A347" s="126" t="s">
        <v>392</v>
      </c>
      <c r="B347" s="126" t="s">
        <v>7</v>
      </c>
      <c r="C347" s="53" t="s">
        <v>1537</v>
      </c>
      <c r="D347" s="53" t="s">
        <v>1538</v>
      </c>
      <c r="E347" s="131">
        <v>45777</v>
      </c>
      <c r="F347" s="127" t="s">
        <v>844</v>
      </c>
      <c r="G347" s="127" t="s">
        <v>863</v>
      </c>
      <c r="H347" s="54">
        <v>117433.79999999999</v>
      </c>
      <c r="I347" s="138">
        <v>0.184</v>
      </c>
      <c r="J347" s="44" t="s">
        <v>848</v>
      </c>
      <c r="K347" s="44" t="s">
        <v>1540</v>
      </c>
    </row>
    <row r="348" spans="1:11" x14ac:dyDescent="0.3">
      <c r="A348" s="126" t="s">
        <v>390</v>
      </c>
      <c r="B348" s="126" t="s">
        <v>7</v>
      </c>
      <c r="C348" s="53" t="s">
        <v>1539</v>
      </c>
      <c r="D348" s="53" t="s">
        <v>1378</v>
      </c>
      <c r="E348" s="131">
        <v>45777</v>
      </c>
      <c r="F348" s="127" t="s">
        <v>1007</v>
      </c>
      <c r="G348" s="127" t="s">
        <v>865</v>
      </c>
      <c r="H348" s="54">
        <v>89394.155199999994</v>
      </c>
      <c r="I348" s="138">
        <v>0.33</v>
      </c>
      <c r="J348" s="44" t="s">
        <v>831</v>
      </c>
      <c r="K348" s="44" t="s">
        <v>1542</v>
      </c>
    </row>
    <row r="349" spans="1:11" x14ac:dyDescent="0.3">
      <c r="A349" s="126" t="s">
        <v>392</v>
      </c>
      <c r="B349" s="126" t="s">
        <v>8</v>
      </c>
      <c r="C349" s="53" t="s">
        <v>1544</v>
      </c>
      <c r="D349" s="53" t="s">
        <v>1545</v>
      </c>
      <c r="E349" s="131">
        <v>45784</v>
      </c>
      <c r="F349" s="127" t="s">
        <v>370</v>
      </c>
      <c r="G349" s="127" t="s">
        <v>63</v>
      </c>
      <c r="H349" s="54">
        <v>6894.17</v>
      </c>
      <c r="I349" s="138">
        <v>0.47799999999999998</v>
      </c>
      <c r="J349" s="44" t="s">
        <v>830</v>
      </c>
      <c r="K349" s="44" t="s">
        <v>1540</v>
      </c>
    </row>
    <row r="350" spans="1:11" x14ac:dyDescent="0.3">
      <c r="A350" s="126" t="s">
        <v>392</v>
      </c>
      <c r="B350" s="126" t="s">
        <v>8</v>
      </c>
      <c r="C350" s="53" t="s">
        <v>1546</v>
      </c>
      <c r="D350" s="53" t="s">
        <v>1547</v>
      </c>
      <c r="E350" s="131">
        <v>45784</v>
      </c>
      <c r="F350" s="127" t="s">
        <v>370</v>
      </c>
      <c r="G350" s="127" t="s">
        <v>63</v>
      </c>
      <c r="H350" s="54">
        <v>6894.17</v>
      </c>
      <c r="I350" s="138">
        <v>0.47799999999999998</v>
      </c>
      <c r="J350" s="44" t="s">
        <v>830</v>
      </c>
      <c r="K350" s="44" t="s">
        <v>1540</v>
      </c>
    </row>
    <row r="351" spans="1:11" x14ac:dyDescent="0.3">
      <c r="A351" s="126" t="s">
        <v>392</v>
      </c>
      <c r="B351" s="126" t="s">
        <v>8</v>
      </c>
      <c r="C351" s="53" t="s">
        <v>1548</v>
      </c>
      <c r="D351" s="53" t="s">
        <v>1549</v>
      </c>
      <c r="E351" s="131">
        <v>45784</v>
      </c>
      <c r="F351" s="127" t="s">
        <v>370</v>
      </c>
      <c r="G351" s="127" t="s">
        <v>63</v>
      </c>
      <c r="H351" s="54">
        <v>8856.9500000000007</v>
      </c>
      <c r="I351" s="138">
        <v>0.59399999999999997</v>
      </c>
      <c r="J351" s="44" t="s">
        <v>830</v>
      </c>
      <c r="K351" s="44" t="s">
        <v>1540</v>
      </c>
    </row>
    <row r="352" spans="1:11" x14ac:dyDescent="0.3">
      <c r="A352" s="126" t="s">
        <v>392</v>
      </c>
      <c r="B352" s="126" t="s">
        <v>8</v>
      </c>
      <c r="C352" s="53" t="s">
        <v>1550</v>
      </c>
      <c r="D352" s="53" t="s">
        <v>1551</v>
      </c>
      <c r="E352" s="131">
        <v>45784</v>
      </c>
      <c r="F352" s="127" t="s">
        <v>371</v>
      </c>
      <c r="G352" s="127" t="s">
        <v>864</v>
      </c>
      <c r="H352" s="54">
        <v>7781.2</v>
      </c>
      <c r="I352" s="138">
        <v>0.85599999999999998</v>
      </c>
      <c r="J352" s="44" t="s">
        <v>848</v>
      </c>
      <c r="K352" s="44" t="s">
        <v>1540</v>
      </c>
    </row>
    <row r="353" spans="1:11" x14ac:dyDescent="0.3">
      <c r="A353" s="126" t="s">
        <v>390</v>
      </c>
      <c r="B353" s="126" t="s">
        <v>8</v>
      </c>
      <c r="C353" s="53" t="s">
        <v>1552</v>
      </c>
      <c r="D353" s="53" t="s">
        <v>1553</v>
      </c>
      <c r="E353" s="131">
        <v>45784</v>
      </c>
      <c r="F353" s="127" t="s">
        <v>372</v>
      </c>
      <c r="G353" s="127" t="s">
        <v>10</v>
      </c>
      <c r="H353" s="54">
        <v>9074.25</v>
      </c>
      <c r="I353" s="138">
        <v>0.38700000000000001</v>
      </c>
      <c r="J353" s="44" t="s">
        <v>833</v>
      </c>
      <c r="K353" s="44" t="s">
        <v>1541</v>
      </c>
    </row>
    <row r="354" spans="1:11" x14ac:dyDescent="0.3">
      <c r="A354" s="126" t="s">
        <v>390</v>
      </c>
      <c r="B354" s="126" t="s">
        <v>8</v>
      </c>
      <c r="C354" s="53" t="s">
        <v>1554</v>
      </c>
      <c r="D354" s="53" t="s">
        <v>1555</v>
      </c>
      <c r="E354" s="131">
        <v>45784</v>
      </c>
      <c r="F354" s="127" t="s">
        <v>372</v>
      </c>
      <c r="G354" s="127" t="s">
        <v>10</v>
      </c>
      <c r="H354" s="54">
        <v>73533.759999999995</v>
      </c>
      <c r="I354" s="138">
        <v>0.26800000000000002</v>
      </c>
      <c r="J354" s="44" t="s">
        <v>833</v>
      </c>
      <c r="K354" s="44" t="s">
        <v>1542</v>
      </c>
    </row>
    <row r="355" spans="1:11" x14ac:dyDescent="0.3">
      <c r="A355" s="126" t="s">
        <v>390</v>
      </c>
      <c r="B355" s="126" t="s">
        <v>8</v>
      </c>
      <c r="C355" s="53" t="s">
        <v>1556</v>
      </c>
      <c r="D355" s="53" t="s">
        <v>1557</v>
      </c>
      <c r="E355" s="131">
        <v>45784</v>
      </c>
      <c r="F355" s="127" t="s">
        <v>372</v>
      </c>
      <c r="G355" s="127" t="s">
        <v>10</v>
      </c>
      <c r="H355" s="54">
        <v>73285.539999999994</v>
      </c>
      <c r="I355" s="138">
        <v>0.25900000000000001</v>
      </c>
      <c r="J355" s="44" t="s">
        <v>833</v>
      </c>
      <c r="K355" s="44" t="s">
        <v>1542</v>
      </c>
    </row>
    <row r="356" spans="1:11" x14ac:dyDescent="0.3">
      <c r="A356" s="126" t="s">
        <v>392</v>
      </c>
      <c r="B356" s="126" t="s">
        <v>8</v>
      </c>
      <c r="C356" s="53" t="s">
        <v>1558</v>
      </c>
      <c r="D356" s="53" t="s">
        <v>1559</v>
      </c>
      <c r="E356" s="131">
        <v>45784</v>
      </c>
      <c r="F356" s="127" t="s">
        <v>371</v>
      </c>
      <c r="G356" s="127" t="s">
        <v>864</v>
      </c>
      <c r="H356" s="54">
        <v>15685</v>
      </c>
      <c r="I356" s="138">
        <v>0.85899999999999999</v>
      </c>
      <c r="J356" s="44" t="s">
        <v>848</v>
      </c>
      <c r="K356" s="44" t="s">
        <v>1540</v>
      </c>
    </row>
    <row r="357" spans="1:11" x14ac:dyDescent="0.3">
      <c r="A357" s="126" t="s">
        <v>392</v>
      </c>
      <c r="B357" s="126" t="s">
        <v>8</v>
      </c>
      <c r="C357" s="53" t="s">
        <v>1560</v>
      </c>
      <c r="D357" s="53" t="s">
        <v>1561</v>
      </c>
      <c r="E357" s="131">
        <v>45785</v>
      </c>
      <c r="F357" s="127" t="s">
        <v>854</v>
      </c>
      <c r="G357" s="127" t="s">
        <v>855</v>
      </c>
      <c r="H357" s="54">
        <v>57070.28</v>
      </c>
      <c r="I357" s="138">
        <v>0.46260000000000001</v>
      </c>
      <c r="J357" s="44" t="s">
        <v>1834</v>
      </c>
      <c r="K357" s="44" t="s">
        <v>1540</v>
      </c>
    </row>
    <row r="358" spans="1:11" x14ac:dyDescent="0.3">
      <c r="A358" s="126" t="s">
        <v>392</v>
      </c>
      <c r="B358" s="126" t="s">
        <v>8</v>
      </c>
      <c r="C358" s="53" t="s">
        <v>1562</v>
      </c>
      <c r="D358" s="53" t="s">
        <v>1563</v>
      </c>
      <c r="E358" s="131">
        <v>45785</v>
      </c>
      <c r="F358" s="127" t="s">
        <v>370</v>
      </c>
      <c r="G358" s="127" t="s">
        <v>63</v>
      </c>
      <c r="H358" s="54">
        <v>8150</v>
      </c>
      <c r="I358" s="138">
        <v>0.50900000000000001</v>
      </c>
      <c r="J358" s="44" t="s">
        <v>830</v>
      </c>
      <c r="K358" s="44" t="s">
        <v>1540</v>
      </c>
    </row>
    <row r="359" spans="1:11" x14ac:dyDescent="0.3">
      <c r="A359" s="126" t="s">
        <v>390</v>
      </c>
      <c r="B359" s="126" t="s">
        <v>8</v>
      </c>
      <c r="C359" s="53" t="s">
        <v>1564</v>
      </c>
      <c r="D359" s="53" t="s">
        <v>1565</v>
      </c>
      <c r="E359" s="131">
        <v>45785</v>
      </c>
      <c r="F359" s="127" t="s">
        <v>370</v>
      </c>
      <c r="G359" s="127" t="s">
        <v>63</v>
      </c>
      <c r="H359" s="54">
        <v>9300</v>
      </c>
      <c r="I359" s="138">
        <v>0.38900000000000001</v>
      </c>
      <c r="J359" s="44" t="s">
        <v>830</v>
      </c>
      <c r="K359" s="44" t="s">
        <v>1541</v>
      </c>
    </row>
    <row r="360" spans="1:11" x14ac:dyDescent="0.3">
      <c r="A360" s="126" t="s">
        <v>390</v>
      </c>
      <c r="B360" s="126" t="s">
        <v>8</v>
      </c>
      <c r="C360" s="53" t="s">
        <v>1566</v>
      </c>
      <c r="D360" s="53" t="s">
        <v>1567</v>
      </c>
      <c r="E360" s="131">
        <v>45790</v>
      </c>
      <c r="F360" s="127" t="s">
        <v>370</v>
      </c>
      <c r="G360" s="127" t="s">
        <v>63</v>
      </c>
      <c r="H360" s="54">
        <v>16050</v>
      </c>
      <c r="I360" s="138">
        <v>0.47</v>
      </c>
      <c r="J360" s="44" t="s">
        <v>830</v>
      </c>
      <c r="K360" s="44" t="s">
        <v>1541</v>
      </c>
    </row>
    <row r="361" spans="1:11" x14ac:dyDescent="0.3">
      <c r="A361" s="126" t="s">
        <v>392</v>
      </c>
      <c r="B361" s="126" t="s">
        <v>8</v>
      </c>
      <c r="C361" s="53" t="s">
        <v>1568</v>
      </c>
      <c r="D361" s="53" t="s">
        <v>1569</v>
      </c>
      <c r="E361" s="131">
        <v>45790</v>
      </c>
      <c r="F361" s="127" t="s">
        <v>370</v>
      </c>
      <c r="G361" s="127" t="s">
        <v>63</v>
      </c>
      <c r="H361" s="54">
        <v>13803.55</v>
      </c>
      <c r="I361" s="138">
        <v>0.52900000000000003</v>
      </c>
      <c r="J361" s="44" t="s">
        <v>830</v>
      </c>
      <c r="K361" s="44" t="s">
        <v>1540</v>
      </c>
    </row>
    <row r="362" spans="1:11" x14ac:dyDescent="0.3">
      <c r="A362" s="126" t="s">
        <v>392</v>
      </c>
      <c r="B362" s="126" t="s">
        <v>8</v>
      </c>
      <c r="C362" s="53" t="s">
        <v>1570</v>
      </c>
      <c r="D362" s="53" t="s">
        <v>1571</v>
      </c>
      <c r="E362" s="131">
        <v>45790</v>
      </c>
      <c r="F362" s="127" t="s">
        <v>370</v>
      </c>
      <c r="G362" s="127" t="s">
        <v>63</v>
      </c>
      <c r="H362" s="54">
        <v>8150</v>
      </c>
      <c r="I362" s="138">
        <v>0.68899999999999995</v>
      </c>
      <c r="J362" s="44" t="s">
        <v>830</v>
      </c>
      <c r="K362" s="44" t="s">
        <v>1540</v>
      </c>
    </row>
    <row r="363" spans="1:11" x14ac:dyDescent="0.3">
      <c r="A363" s="126" t="s">
        <v>392</v>
      </c>
      <c r="B363" s="126" t="s">
        <v>8</v>
      </c>
      <c r="C363" s="53" t="s">
        <v>1572</v>
      </c>
      <c r="D363" s="53" t="s">
        <v>1573</v>
      </c>
      <c r="E363" s="131">
        <v>45790</v>
      </c>
      <c r="F363" s="127" t="s">
        <v>370</v>
      </c>
      <c r="G363" s="127" t="s">
        <v>63</v>
      </c>
      <c r="H363" s="54">
        <v>11268.96</v>
      </c>
      <c r="I363" s="138">
        <v>0.68600000000000005</v>
      </c>
      <c r="J363" s="44" t="s">
        <v>830</v>
      </c>
      <c r="K363" s="44" t="s">
        <v>1540</v>
      </c>
    </row>
    <row r="364" spans="1:11" x14ac:dyDescent="0.3">
      <c r="A364" s="126" t="s">
        <v>392</v>
      </c>
      <c r="B364" s="126" t="s">
        <v>8</v>
      </c>
      <c r="C364" s="53" t="s">
        <v>1574</v>
      </c>
      <c r="D364" s="53" t="s">
        <v>1575</v>
      </c>
      <c r="E364" s="131">
        <v>45790</v>
      </c>
      <c r="F364" s="127" t="s">
        <v>370</v>
      </c>
      <c r="G364" s="127" t="s">
        <v>63</v>
      </c>
      <c r="H364" s="54">
        <v>8150</v>
      </c>
      <c r="I364" s="138">
        <v>0.68899999999999995</v>
      </c>
      <c r="J364" s="44" t="s">
        <v>830</v>
      </c>
      <c r="K364" s="44" t="s">
        <v>1540</v>
      </c>
    </row>
    <row r="365" spans="1:11" x14ac:dyDescent="0.3">
      <c r="A365" s="126" t="s">
        <v>392</v>
      </c>
      <c r="B365" s="126" t="s">
        <v>8</v>
      </c>
      <c r="C365" s="53" t="s">
        <v>1576</v>
      </c>
      <c r="D365" s="53" t="s">
        <v>1577</v>
      </c>
      <c r="E365" s="131">
        <v>45790</v>
      </c>
      <c r="F365" s="127" t="s">
        <v>370</v>
      </c>
      <c r="G365" s="127" t="s">
        <v>63</v>
      </c>
      <c r="H365" s="54">
        <v>8150</v>
      </c>
      <c r="I365" s="138">
        <v>0.50900000000000001</v>
      </c>
      <c r="J365" s="44" t="s">
        <v>830</v>
      </c>
      <c r="K365" s="44" t="s">
        <v>1540</v>
      </c>
    </row>
    <row r="366" spans="1:11" x14ac:dyDescent="0.3">
      <c r="A366" s="126" t="s">
        <v>390</v>
      </c>
      <c r="B366" s="126" t="s">
        <v>8</v>
      </c>
      <c r="C366" s="53" t="s">
        <v>1578</v>
      </c>
      <c r="D366" s="53" t="s">
        <v>1579</v>
      </c>
      <c r="E366" s="131">
        <v>45790</v>
      </c>
      <c r="F366" s="127" t="s">
        <v>372</v>
      </c>
      <c r="G366" s="127" t="s">
        <v>10</v>
      </c>
      <c r="H366" s="54">
        <v>38270.11</v>
      </c>
      <c r="I366" s="138">
        <v>0.224</v>
      </c>
      <c r="J366" s="44" t="s">
        <v>833</v>
      </c>
      <c r="K366" s="44" t="s">
        <v>1541</v>
      </c>
    </row>
    <row r="367" spans="1:11" x14ac:dyDescent="0.3">
      <c r="A367" s="126" t="s">
        <v>392</v>
      </c>
      <c r="B367" s="126" t="s">
        <v>8</v>
      </c>
      <c r="C367" s="53" t="s">
        <v>1580</v>
      </c>
      <c r="D367" s="53" t="s">
        <v>1581</v>
      </c>
      <c r="E367" s="131">
        <v>45790</v>
      </c>
      <c r="F367" s="127" t="s">
        <v>372</v>
      </c>
      <c r="G367" s="127" t="s">
        <v>10</v>
      </c>
      <c r="H367" s="54">
        <v>35000</v>
      </c>
      <c r="I367" s="138">
        <v>0.29099999999999998</v>
      </c>
      <c r="J367" s="44" t="s">
        <v>848</v>
      </c>
      <c r="K367" s="44" t="s">
        <v>1540</v>
      </c>
    </row>
    <row r="368" spans="1:11" x14ac:dyDescent="0.3">
      <c r="A368" s="126" t="s">
        <v>390</v>
      </c>
      <c r="B368" s="126" t="s">
        <v>8</v>
      </c>
      <c r="C368" s="53" t="s">
        <v>1582</v>
      </c>
      <c r="D368" s="53" t="s">
        <v>1583</v>
      </c>
      <c r="E368" s="131">
        <v>45790</v>
      </c>
      <c r="F368" s="127" t="s">
        <v>371</v>
      </c>
      <c r="G368" s="127" t="s">
        <v>864</v>
      </c>
      <c r="H368" s="54">
        <v>41643.42</v>
      </c>
      <c r="I368" s="138">
        <v>0.3</v>
      </c>
      <c r="J368" s="44" t="s">
        <v>832</v>
      </c>
      <c r="K368" s="44" t="s">
        <v>1541</v>
      </c>
    </row>
    <row r="369" spans="1:11" x14ac:dyDescent="0.3">
      <c r="A369" s="126" t="s">
        <v>390</v>
      </c>
      <c r="B369" s="126" t="s">
        <v>8</v>
      </c>
      <c r="C369" s="53" t="s">
        <v>1584</v>
      </c>
      <c r="D369" s="53" t="s">
        <v>1585</v>
      </c>
      <c r="E369" s="131">
        <v>45790</v>
      </c>
      <c r="F369" s="127" t="s">
        <v>371</v>
      </c>
      <c r="G369" s="127" t="s">
        <v>864</v>
      </c>
      <c r="H369" s="54">
        <v>24730.23</v>
      </c>
      <c r="I369" s="138">
        <v>0.249</v>
      </c>
      <c r="J369" s="44" t="s">
        <v>832</v>
      </c>
      <c r="K369" s="44" t="s">
        <v>1541</v>
      </c>
    </row>
    <row r="370" spans="1:11" x14ac:dyDescent="0.3">
      <c r="A370" s="126" t="s">
        <v>390</v>
      </c>
      <c r="B370" s="126" t="s">
        <v>8</v>
      </c>
      <c r="C370" s="53" t="s">
        <v>1586</v>
      </c>
      <c r="D370" s="53" t="s">
        <v>1587</v>
      </c>
      <c r="E370" s="131">
        <v>45790</v>
      </c>
      <c r="F370" s="127" t="s">
        <v>371</v>
      </c>
      <c r="G370" s="127" t="s">
        <v>864</v>
      </c>
      <c r="H370" s="54">
        <v>42302.16</v>
      </c>
      <c r="I370" s="138">
        <v>0.19900000000000001</v>
      </c>
      <c r="J370" s="44" t="s">
        <v>832</v>
      </c>
      <c r="K370" s="44" t="s">
        <v>1541</v>
      </c>
    </row>
    <row r="371" spans="1:11" x14ac:dyDescent="0.3">
      <c r="A371" s="126" t="s">
        <v>390</v>
      </c>
      <c r="B371" s="126" t="s">
        <v>8</v>
      </c>
      <c r="C371" s="53" t="s">
        <v>1588</v>
      </c>
      <c r="D371" s="53" t="s">
        <v>1589</v>
      </c>
      <c r="E371" s="131">
        <v>45790</v>
      </c>
      <c r="F371" s="127" t="s">
        <v>371</v>
      </c>
      <c r="G371" s="127" t="s">
        <v>864</v>
      </c>
      <c r="H371" s="54">
        <v>32050.720000000001</v>
      </c>
      <c r="I371" s="138">
        <v>0.23499999999999999</v>
      </c>
      <c r="J371" s="44" t="s">
        <v>832</v>
      </c>
      <c r="K371" s="44" t="s">
        <v>1541</v>
      </c>
    </row>
    <row r="372" spans="1:11" x14ac:dyDescent="0.3">
      <c r="A372" s="126" t="s">
        <v>392</v>
      </c>
      <c r="B372" s="126" t="s">
        <v>8</v>
      </c>
      <c r="C372" s="53" t="s">
        <v>1590</v>
      </c>
      <c r="D372" s="53" t="s">
        <v>1591</v>
      </c>
      <c r="E372" s="131">
        <v>45791</v>
      </c>
      <c r="F372" s="127" t="s">
        <v>371</v>
      </c>
      <c r="G372" s="127" t="s">
        <v>864</v>
      </c>
      <c r="H372" s="54">
        <v>7500</v>
      </c>
      <c r="I372" s="138">
        <v>0.85599999999999998</v>
      </c>
      <c r="J372" s="44" t="s">
        <v>848</v>
      </c>
      <c r="K372" s="44" t="s">
        <v>1540</v>
      </c>
    </row>
    <row r="373" spans="1:11" x14ac:dyDescent="0.3">
      <c r="A373" s="126" t="s">
        <v>392</v>
      </c>
      <c r="B373" s="126" t="s">
        <v>8</v>
      </c>
      <c r="C373" s="53" t="s">
        <v>1592</v>
      </c>
      <c r="D373" s="53" t="s">
        <v>1593</v>
      </c>
      <c r="E373" s="131">
        <v>45791</v>
      </c>
      <c r="F373" s="127" t="s">
        <v>370</v>
      </c>
      <c r="G373" s="127" t="s">
        <v>63</v>
      </c>
      <c r="H373" s="54">
        <v>20750</v>
      </c>
      <c r="I373" s="138">
        <v>0.61399999999999999</v>
      </c>
      <c r="J373" s="44" t="s">
        <v>830</v>
      </c>
      <c r="K373" s="44" t="s">
        <v>1540</v>
      </c>
    </row>
    <row r="374" spans="1:11" s="155" customFormat="1" x14ac:dyDescent="0.3">
      <c r="A374" s="149" t="s">
        <v>390</v>
      </c>
      <c r="B374" s="149" t="s">
        <v>8</v>
      </c>
      <c r="C374" s="150" t="s">
        <v>1594</v>
      </c>
      <c r="D374" s="150" t="s">
        <v>1016</v>
      </c>
      <c r="E374" s="151">
        <v>45791</v>
      </c>
      <c r="F374" s="152" t="s">
        <v>1595</v>
      </c>
      <c r="G374" s="152" t="s">
        <v>1596</v>
      </c>
      <c r="H374" s="153">
        <v>0</v>
      </c>
      <c r="I374" s="154">
        <v>4.9000000000000002E-2</v>
      </c>
      <c r="J374" s="155" t="s">
        <v>1018</v>
      </c>
      <c r="K374" s="155" t="s">
        <v>1542</v>
      </c>
    </row>
    <row r="375" spans="1:11" x14ac:dyDescent="0.3">
      <c r="A375" s="126" t="s">
        <v>390</v>
      </c>
      <c r="B375" s="126" t="s">
        <v>8</v>
      </c>
      <c r="C375" s="53" t="s">
        <v>1597</v>
      </c>
      <c r="D375" s="53" t="s">
        <v>1598</v>
      </c>
      <c r="E375" s="131">
        <v>45792</v>
      </c>
      <c r="F375" s="127" t="s">
        <v>375</v>
      </c>
      <c r="G375" s="127" t="s">
        <v>62</v>
      </c>
      <c r="H375" s="54">
        <v>125996</v>
      </c>
      <c r="I375" s="138">
        <v>0.48799999999999999</v>
      </c>
      <c r="J375" s="44" t="s">
        <v>831</v>
      </c>
      <c r="K375" s="44" t="s">
        <v>1542</v>
      </c>
    </row>
    <row r="376" spans="1:11" x14ac:dyDescent="0.3">
      <c r="A376" s="126" t="s">
        <v>392</v>
      </c>
      <c r="B376" s="126" t="s">
        <v>8</v>
      </c>
      <c r="C376" s="53" t="s">
        <v>1599</v>
      </c>
      <c r="D376" s="53" t="s">
        <v>1600</v>
      </c>
      <c r="E376" s="131">
        <v>45792</v>
      </c>
      <c r="F376" s="127" t="s">
        <v>372</v>
      </c>
      <c r="G376" s="127" t="s">
        <v>10</v>
      </c>
      <c r="H376" s="54">
        <v>42040</v>
      </c>
      <c r="I376" s="138">
        <v>0.38400000000000001</v>
      </c>
      <c r="J376" s="44" t="s">
        <v>848</v>
      </c>
      <c r="K376" s="44" t="s">
        <v>1540</v>
      </c>
    </row>
    <row r="377" spans="1:11" x14ac:dyDescent="0.3">
      <c r="A377" s="126" t="s">
        <v>392</v>
      </c>
      <c r="B377" s="126" t="s">
        <v>8</v>
      </c>
      <c r="C377" s="53" t="s">
        <v>1601</v>
      </c>
      <c r="D377" s="53" t="s">
        <v>1602</v>
      </c>
      <c r="E377" s="131">
        <v>45792</v>
      </c>
      <c r="F377" s="127" t="s">
        <v>371</v>
      </c>
      <c r="G377" s="127" t="s">
        <v>864</v>
      </c>
      <c r="H377" s="54">
        <v>7520</v>
      </c>
      <c r="I377" s="138">
        <v>0.85299999999999998</v>
      </c>
      <c r="J377" s="44" t="s">
        <v>848</v>
      </c>
      <c r="K377" s="44" t="s">
        <v>1540</v>
      </c>
    </row>
    <row r="378" spans="1:11" x14ac:dyDescent="0.3">
      <c r="A378" s="126" t="s">
        <v>390</v>
      </c>
      <c r="B378" s="126" t="s">
        <v>8</v>
      </c>
      <c r="C378" s="53" t="s">
        <v>1603</v>
      </c>
      <c r="D378" s="53" t="s">
        <v>1604</v>
      </c>
      <c r="E378" s="131">
        <v>45793</v>
      </c>
      <c r="F378" s="127" t="s">
        <v>370</v>
      </c>
      <c r="G378" s="127" t="s">
        <v>63</v>
      </c>
      <c r="H378" s="54">
        <v>14000</v>
      </c>
      <c r="I378" s="138">
        <v>0.56699999999999995</v>
      </c>
      <c r="J378" s="44" t="s">
        <v>830</v>
      </c>
      <c r="K378" s="44" t="s">
        <v>1541</v>
      </c>
    </row>
    <row r="379" spans="1:11" x14ac:dyDescent="0.3">
      <c r="A379" s="126" t="s">
        <v>392</v>
      </c>
      <c r="B379" s="126" t="s">
        <v>8</v>
      </c>
      <c r="C379" s="53" t="s">
        <v>1605</v>
      </c>
      <c r="D379" s="53" t="s">
        <v>1606</v>
      </c>
      <c r="E379" s="131">
        <v>45793</v>
      </c>
      <c r="F379" s="127" t="s">
        <v>370</v>
      </c>
      <c r="G379" s="127" t="s">
        <v>63</v>
      </c>
      <c r="H379" s="54">
        <v>10898.55</v>
      </c>
      <c r="I379" s="138">
        <v>0.67</v>
      </c>
      <c r="J379" s="44" t="s">
        <v>830</v>
      </c>
      <c r="K379" s="44" t="s">
        <v>1540</v>
      </c>
    </row>
    <row r="380" spans="1:11" x14ac:dyDescent="0.3">
      <c r="A380" s="126" t="s">
        <v>392</v>
      </c>
      <c r="B380" s="126" t="s">
        <v>8</v>
      </c>
      <c r="C380" s="53" t="s">
        <v>1607</v>
      </c>
      <c r="D380" s="53" t="s">
        <v>1608</v>
      </c>
      <c r="E380" s="131">
        <v>45793</v>
      </c>
      <c r="F380" s="127" t="s">
        <v>370</v>
      </c>
      <c r="G380" s="127" t="s">
        <v>63</v>
      </c>
      <c r="H380" s="54">
        <v>4200</v>
      </c>
      <c r="I380" s="138">
        <v>0.57099999999999995</v>
      </c>
      <c r="J380" s="44" t="s">
        <v>830</v>
      </c>
      <c r="K380" s="44" t="s">
        <v>1540</v>
      </c>
    </row>
    <row r="381" spans="1:11" x14ac:dyDescent="0.3">
      <c r="A381" s="126" t="s">
        <v>390</v>
      </c>
      <c r="B381" s="126" t="s">
        <v>8</v>
      </c>
      <c r="C381" s="53" t="s">
        <v>1609</v>
      </c>
      <c r="D381" s="53" t="s">
        <v>1610</v>
      </c>
      <c r="E381" s="131">
        <v>45793</v>
      </c>
      <c r="F381" s="127" t="s">
        <v>375</v>
      </c>
      <c r="G381" s="127" t="s">
        <v>62</v>
      </c>
      <c r="H381" s="54">
        <v>7945.84</v>
      </c>
      <c r="I381" s="138">
        <v>0.65300000000000002</v>
      </c>
      <c r="J381" s="44" t="s">
        <v>831</v>
      </c>
      <c r="K381" s="44" t="s">
        <v>1542</v>
      </c>
    </row>
    <row r="382" spans="1:11" x14ac:dyDescent="0.3">
      <c r="A382" s="126" t="s">
        <v>390</v>
      </c>
      <c r="B382" s="126" t="s">
        <v>8</v>
      </c>
      <c r="C382" s="53" t="s">
        <v>1611</v>
      </c>
      <c r="D382" s="53" t="s">
        <v>1612</v>
      </c>
      <c r="E382" s="131">
        <v>45793</v>
      </c>
      <c r="F382" s="127" t="s">
        <v>375</v>
      </c>
      <c r="G382" s="127" t="s">
        <v>62</v>
      </c>
      <c r="H382" s="54">
        <v>30260.36</v>
      </c>
      <c r="I382" s="138">
        <v>0.35099999999999998</v>
      </c>
      <c r="J382" s="44" t="s">
        <v>831</v>
      </c>
      <c r="K382" s="44" t="s">
        <v>1542</v>
      </c>
    </row>
    <row r="383" spans="1:11" x14ac:dyDescent="0.3">
      <c r="A383" s="126" t="s">
        <v>392</v>
      </c>
      <c r="B383" s="126" t="s">
        <v>8</v>
      </c>
      <c r="C383" s="53" t="s">
        <v>1613</v>
      </c>
      <c r="D383" s="53" t="s">
        <v>1614</v>
      </c>
      <c r="E383" s="131">
        <v>45793</v>
      </c>
      <c r="F383" s="127" t="s">
        <v>842</v>
      </c>
      <c r="G383" s="127" t="s">
        <v>843</v>
      </c>
      <c r="H383" s="54">
        <v>22000</v>
      </c>
      <c r="I383" s="53">
        <v>41.9</v>
      </c>
      <c r="J383" s="44" t="s">
        <v>1835</v>
      </c>
      <c r="K383" s="44" t="s">
        <v>1540</v>
      </c>
    </row>
    <row r="384" spans="1:11" x14ac:dyDescent="0.3">
      <c r="A384" s="126" t="s">
        <v>390</v>
      </c>
      <c r="B384" s="126" t="s">
        <v>8</v>
      </c>
      <c r="C384" s="53" t="s">
        <v>1615</v>
      </c>
      <c r="D384" s="53" t="s">
        <v>1616</v>
      </c>
      <c r="E384" s="131">
        <v>45793</v>
      </c>
      <c r="F384" s="127" t="s">
        <v>372</v>
      </c>
      <c r="G384" s="127" t="s">
        <v>10</v>
      </c>
      <c r="H384" s="54">
        <v>107117.88</v>
      </c>
      <c r="I384" s="138">
        <v>0.312</v>
      </c>
      <c r="J384" s="44" t="s">
        <v>833</v>
      </c>
      <c r="K384" s="44" t="s">
        <v>1542</v>
      </c>
    </row>
    <row r="385" spans="1:11" x14ac:dyDescent="0.3">
      <c r="A385" s="126" t="s">
        <v>390</v>
      </c>
      <c r="B385" s="126" t="s">
        <v>8</v>
      </c>
      <c r="C385" s="53" t="s">
        <v>1617</v>
      </c>
      <c r="D385" s="53" t="s">
        <v>1618</v>
      </c>
      <c r="E385" s="131">
        <v>45796</v>
      </c>
      <c r="F385" s="127" t="s">
        <v>370</v>
      </c>
      <c r="G385" s="127" t="s">
        <v>63</v>
      </c>
      <c r="H385" s="54">
        <v>24700</v>
      </c>
      <c r="I385" s="138">
        <v>0.57499999999999996</v>
      </c>
      <c r="J385" s="44" t="s">
        <v>830</v>
      </c>
      <c r="K385" s="44" t="s">
        <v>1541</v>
      </c>
    </row>
    <row r="386" spans="1:11" x14ac:dyDescent="0.3">
      <c r="A386" s="126" t="s">
        <v>392</v>
      </c>
      <c r="B386" s="126" t="s">
        <v>8</v>
      </c>
      <c r="C386" s="53" t="s">
        <v>1619</v>
      </c>
      <c r="D386" s="53" t="s">
        <v>1620</v>
      </c>
      <c r="E386" s="131">
        <v>45796</v>
      </c>
      <c r="F386" s="127" t="s">
        <v>370</v>
      </c>
      <c r="G386" s="127" t="s">
        <v>63</v>
      </c>
      <c r="H386" s="54">
        <v>4200</v>
      </c>
      <c r="I386" s="138">
        <v>0.57099999999999995</v>
      </c>
      <c r="J386" s="44" t="s">
        <v>830</v>
      </c>
      <c r="K386" s="44" t="s">
        <v>1540</v>
      </c>
    </row>
    <row r="387" spans="1:11" x14ac:dyDescent="0.3">
      <c r="A387" s="126" t="s">
        <v>392</v>
      </c>
      <c r="B387" s="126" t="s">
        <v>8</v>
      </c>
      <c r="C387" s="53" t="s">
        <v>1621</v>
      </c>
      <c r="D387" s="53" t="s">
        <v>1622</v>
      </c>
      <c r="E387" s="131">
        <v>45796</v>
      </c>
      <c r="F387" s="127" t="s">
        <v>370</v>
      </c>
      <c r="G387" s="127" t="s">
        <v>63</v>
      </c>
      <c r="H387" s="54">
        <v>4200</v>
      </c>
      <c r="I387" s="138">
        <v>0.57099999999999995</v>
      </c>
      <c r="J387" s="44" t="s">
        <v>830</v>
      </c>
      <c r="K387" s="44" t="s">
        <v>1540</v>
      </c>
    </row>
    <row r="388" spans="1:11" x14ac:dyDescent="0.3">
      <c r="A388" s="126" t="s">
        <v>392</v>
      </c>
      <c r="B388" s="126" t="s">
        <v>8</v>
      </c>
      <c r="C388" s="53" t="s">
        <v>1623</v>
      </c>
      <c r="D388" s="53" t="s">
        <v>1624</v>
      </c>
      <c r="E388" s="131">
        <v>45796</v>
      </c>
      <c r="F388" s="127" t="s">
        <v>370</v>
      </c>
      <c r="G388" s="127" t="s">
        <v>63</v>
      </c>
      <c r="H388" s="54">
        <v>4200</v>
      </c>
      <c r="I388" s="138">
        <v>0.57099999999999995</v>
      </c>
      <c r="J388" s="44" t="s">
        <v>830</v>
      </c>
      <c r="K388" s="44" t="s">
        <v>1540</v>
      </c>
    </row>
    <row r="389" spans="1:11" x14ac:dyDescent="0.3">
      <c r="A389" s="126" t="s">
        <v>390</v>
      </c>
      <c r="B389" s="126" t="s">
        <v>8</v>
      </c>
      <c r="C389" s="53" t="s">
        <v>1625</v>
      </c>
      <c r="D389" s="53" t="s">
        <v>1626</v>
      </c>
      <c r="E389" s="131">
        <v>45796</v>
      </c>
      <c r="F389" s="127" t="s">
        <v>372</v>
      </c>
      <c r="G389" s="127" t="s">
        <v>10</v>
      </c>
      <c r="H389" s="54">
        <v>72470.350000000006</v>
      </c>
      <c r="I389" s="138">
        <v>0.26</v>
      </c>
      <c r="J389" s="44" t="s">
        <v>833</v>
      </c>
      <c r="K389" s="44" t="s">
        <v>1542</v>
      </c>
    </row>
    <row r="390" spans="1:11" x14ac:dyDescent="0.3">
      <c r="A390" s="126" t="s">
        <v>390</v>
      </c>
      <c r="B390" s="126" t="s">
        <v>8</v>
      </c>
      <c r="C390" s="53" t="s">
        <v>1627</v>
      </c>
      <c r="D390" s="53" t="s">
        <v>1628</v>
      </c>
      <c r="E390" s="131">
        <v>45796</v>
      </c>
      <c r="F390" s="127" t="s">
        <v>372</v>
      </c>
      <c r="G390" s="127" t="s">
        <v>10</v>
      </c>
      <c r="H390" s="54">
        <v>72470.350000000006</v>
      </c>
      <c r="I390" s="138">
        <v>0.26800000000000002</v>
      </c>
      <c r="J390" s="44" t="s">
        <v>833</v>
      </c>
      <c r="K390" s="44" t="s">
        <v>1542</v>
      </c>
    </row>
    <row r="391" spans="1:11" x14ac:dyDescent="0.3">
      <c r="A391" s="126" t="s">
        <v>392</v>
      </c>
      <c r="B391" s="126" t="s">
        <v>8</v>
      </c>
      <c r="C391" s="53" t="s">
        <v>1629</v>
      </c>
      <c r="D391" s="53" t="s">
        <v>1630</v>
      </c>
      <c r="E391" s="131">
        <v>45796</v>
      </c>
      <c r="F391" s="127" t="s">
        <v>371</v>
      </c>
      <c r="G391" s="127" t="s">
        <v>864</v>
      </c>
      <c r="H391" s="54">
        <v>9504.99</v>
      </c>
      <c r="I391" s="138">
        <v>0.79900000000000004</v>
      </c>
      <c r="J391" s="44" t="s">
        <v>848</v>
      </c>
      <c r="K391" s="44" t="s">
        <v>1540</v>
      </c>
    </row>
    <row r="392" spans="1:11" x14ac:dyDescent="0.3">
      <c r="A392" s="126" t="s">
        <v>392</v>
      </c>
      <c r="B392" s="126" t="s">
        <v>8</v>
      </c>
      <c r="C392" s="53" t="s">
        <v>1631</v>
      </c>
      <c r="D392" s="53" t="s">
        <v>1632</v>
      </c>
      <c r="E392" s="131">
        <v>45796</v>
      </c>
      <c r="F392" s="127" t="s">
        <v>371</v>
      </c>
      <c r="G392" s="127" t="s">
        <v>864</v>
      </c>
      <c r="H392" s="54">
        <v>37781.199999999997</v>
      </c>
      <c r="I392" s="138">
        <v>0.78400000000000003</v>
      </c>
      <c r="J392" s="44" t="s">
        <v>848</v>
      </c>
      <c r="K392" s="44" t="s">
        <v>1540</v>
      </c>
    </row>
    <row r="393" spans="1:11" x14ac:dyDescent="0.3">
      <c r="A393" s="126" t="s">
        <v>392</v>
      </c>
      <c r="B393" s="126" t="s">
        <v>8</v>
      </c>
      <c r="C393" s="53" t="s">
        <v>1633</v>
      </c>
      <c r="D393" s="53" t="s">
        <v>1634</v>
      </c>
      <c r="E393" s="131">
        <v>45796</v>
      </c>
      <c r="F393" s="127" t="s">
        <v>371</v>
      </c>
      <c r="G393" s="127" t="s">
        <v>864</v>
      </c>
      <c r="H393" s="54">
        <v>31860</v>
      </c>
      <c r="I393" s="138">
        <v>0.84099999999999997</v>
      </c>
      <c r="J393" s="44" t="s">
        <v>848</v>
      </c>
      <c r="K393" s="44" t="s">
        <v>1540</v>
      </c>
    </row>
    <row r="394" spans="1:11" x14ac:dyDescent="0.3">
      <c r="A394" s="126" t="s">
        <v>392</v>
      </c>
      <c r="B394" s="126" t="s">
        <v>8</v>
      </c>
      <c r="C394" s="53" t="s">
        <v>1635</v>
      </c>
      <c r="D394" s="53" t="s">
        <v>1636</v>
      </c>
      <c r="E394" s="131">
        <v>45796</v>
      </c>
      <c r="F394" s="127" t="s">
        <v>371</v>
      </c>
      <c r="G394" s="127" t="s">
        <v>864</v>
      </c>
      <c r="H394" s="54">
        <v>7475.86</v>
      </c>
      <c r="I394" s="138">
        <v>0.85899999999999999</v>
      </c>
      <c r="J394" s="44" t="s">
        <v>848</v>
      </c>
      <c r="K394" s="44" t="s">
        <v>1540</v>
      </c>
    </row>
    <row r="395" spans="1:11" x14ac:dyDescent="0.3">
      <c r="A395" s="126" t="s">
        <v>392</v>
      </c>
      <c r="B395" s="126" t="s">
        <v>8</v>
      </c>
      <c r="C395" s="53" t="s">
        <v>1637</v>
      </c>
      <c r="D395" s="53" t="s">
        <v>1638</v>
      </c>
      <c r="E395" s="131">
        <v>45796</v>
      </c>
      <c r="F395" s="127" t="s">
        <v>371</v>
      </c>
      <c r="G395" s="127" t="s">
        <v>864</v>
      </c>
      <c r="H395" s="54">
        <v>7520</v>
      </c>
      <c r="I395" s="138">
        <v>0.85899999999999999</v>
      </c>
      <c r="J395" s="44" t="s">
        <v>848</v>
      </c>
      <c r="K395" s="44" t="s">
        <v>1540</v>
      </c>
    </row>
    <row r="396" spans="1:11" x14ac:dyDescent="0.3">
      <c r="A396" s="126" t="s">
        <v>390</v>
      </c>
      <c r="B396" s="126" t="s">
        <v>8</v>
      </c>
      <c r="C396" s="53" t="s">
        <v>1639</v>
      </c>
      <c r="D396" s="53" t="s">
        <v>1640</v>
      </c>
      <c r="E396" s="131">
        <v>45797</v>
      </c>
      <c r="F396" s="127" t="s">
        <v>371</v>
      </c>
      <c r="G396" s="127" t="s">
        <v>864</v>
      </c>
      <c r="H396" s="54">
        <v>42145.11</v>
      </c>
      <c r="I396" s="138">
        <v>0.85899999999999999</v>
      </c>
      <c r="J396" s="44" t="s">
        <v>848</v>
      </c>
      <c r="K396" s="44" t="s">
        <v>1540</v>
      </c>
    </row>
    <row r="397" spans="1:11" x14ac:dyDescent="0.3">
      <c r="A397" s="126" t="s">
        <v>390</v>
      </c>
      <c r="B397" s="126" t="s">
        <v>8</v>
      </c>
      <c r="C397" s="53" t="s">
        <v>1641</v>
      </c>
      <c r="D397" s="53" t="s">
        <v>1642</v>
      </c>
      <c r="E397" s="131">
        <v>45797</v>
      </c>
      <c r="F397" s="127" t="s">
        <v>371</v>
      </c>
      <c r="G397" s="127" t="s">
        <v>864</v>
      </c>
      <c r="H397" s="54">
        <v>74559.91</v>
      </c>
      <c r="I397" s="138">
        <v>0.188</v>
      </c>
      <c r="J397" s="44" t="s">
        <v>832</v>
      </c>
      <c r="K397" s="44" t="s">
        <v>1541</v>
      </c>
    </row>
    <row r="398" spans="1:11" x14ac:dyDescent="0.3">
      <c r="A398" s="126" t="s">
        <v>390</v>
      </c>
      <c r="B398" s="126" t="s">
        <v>8</v>
      </c>
      <c r="C398" s="53" t="s">
        <v>1643</v>
      </c>
      <c r="D398" s="53" t="s">
        <v>1644</v>
      </c>
      <c r="E398" s="131">
        <v>45797</v>
      </c>
      <c r="F398" s="127" t="s">
        <v>371</v>
      </c>
      <c r="G398" s="127" t="s">
        <v>864</v>
      </c>
      <c r="H398" s="54">
        <v>56616.25</v>
      </c>
      <c r="I398" s="138">
        <v>0.20599999999999999</v>
      </c>
      <c r="J398" s="44" t="s">
        <v>832</v>
      </c>
      <c r="K398" s="44" t="s">
        <v>1541</v>
      </c>
    </row>
    <row r="399" spans="1:11" x14ac:dyDescent="0.3">
      <c r="A399" s="126" t="s">
        <v>390</v>
      </c>
      <c r="B399" s="126" t="s">
        <v>8</v>
      </c>
      <c r="C399" s="53" t="s">
        <v>1645</v>
      </c>
      <c r="D399" s="53" t="s">
        <v>1646</v>
      </c>
      <c r="E399" s="131">
        <v>45797</v>
      </c>
      <c r="F399" s="127" t="s">
        <v>371</v>
      </c>
      <c r="G399" s="127" t="s">
        <v>864</v>
      </c>
      <c r="H399" s="54">
        <v>92750.26</v>
      </c>
      <c r="I399" s="138">
        <v>0.17599999999999999</v>
      </c>
      <c r="J399" s="44" t="s">
        <v>832</v>
      </c>
      <c r="K399" s="44" t="s">
        <v>1541</v>
      </c>
    </row>
    <row r="400" spans="1:11" x14ac:dyDescent="0.3">
      <c r="A400" s="126" t="s">
        <v>390</v>
      </c>
      <c r="B400" s="126" t="s">
        <v>8</v>
      </c>
      <c r="C400" s="53" t="s">
        <v>1647</v>
      </c>
      <c r="D400" s="53" t="s">
        <v>1648</v>
      </c>
      <c r="E400" s="131">
        <v>45797</v>
      </c>
      <c r="F400" s="127" t="s">
        <v>371</v>
      </c>
      <c r="G400" s="127" t="s">
        <v>864</v>
      </c>
      <c r="H400" s="54">
        <v>56609.63</v>
      </c>
      <c r="I400" s="138">
        <v>0.193</v>
      </c>
      <c r="J400" s="44" t="s">
        <v>832</v>
      </c>
      <c r="K400" s="44" t="s">
        <v>1541</v>
      </c>
    </row>
    <row r="401" spans="1:11" x14ac:dyDescent="0.3">
      <c r="A401" s="126" t="s">
        <v>390</v>
      </c>
      <c r="B401" s="126" t="s">
        <v>8</v>
      </c>
      <c r="C401" s="53" t="s">
        <v>1649</v>
      </c>
      <c r="D401" s="53" t="s">
        <v>1650</v>
      </c>
      <c r="E401" s="131">
        <v>45797</v>
      </c>
      <c r="F401" s="127" t="s">
        <v>371</v>
      </c>
      <c r="G401" s="127" t="s">
        <v>864</v>
      </c>
      <c r="H401" s="54">
        <v>105443.56</v>
      </c>
      <c r="I401" s="138">
        <v>0.17100000000000001</v>
      </c>
      <c r="J401" s="44" t="s">
        <v>832</v>
      </c>
      <c r="K401" s="44" t="s">
        <v>1541</v>
      </c>
    </row>
    <row r="402" spans="1:11" x14ac:dyDescent="0.3">
      <c r="A402" s="126" t="s">
        <v>390</v>
      </c>
      <c r="B402" s="126" t="s">
        <v>8</v>
      </c>
      <c r="C402" s="53" t="s">
        <v>1651</v>
      </c>
      <c r="D402" s="53" t="s">
        <v>1652</v>
      </c>
      <c r="E402" s="131">
        <v>45797</v>
      </c>
      <c r="F402" s="127" t="s">
        <v>371</v>
      </c>
      <c r="G402" s="127" t="s">
        <v>864</v>
      </c>
      <c r="H402" s="54">
        <v>22592.85</v>
      </c>
      <c r="I402" s="138">
        <v>0.28799999999999998</v>
      </c>
      <c r="J402" s="44" t="s">
        <v>832</v>
      </c>
      <c r="K402" s="44" t="s">
        <v>1541</v>
      </c>
    </row>
    <row r="403" spans="1:11" x14ac:dyDescent="0.3">
      <c r="A403" s="126" t="s">
        <v>390</v>
      </c>
      <c r="B403" s="126" t="s">
        <v>8</v>
      </c>
      <c r="C403" s="53" t="s">
        <v>1653</v>
      </c>
      <c r="D403" s="53" t="s">
        <v>1654</v>
      </c>
      <c r="E403" s="131">
        <v>45797</v>
      </c>
      <c r="F403" s="127" t="s">
        <v>371</v>
      </c>
      <c r="G403" s="127" t="s">
        <v>864</v>
      </c>
      <c r="H403" s="54">
        <v>36696.589999999997</v>
      </c>
      <c r="I403" s="138">
        <v>0.247</v>
      </c>
      <c r="J403" s="44" t="s">
        <v>832</v>
      </c>
      <c r="K403" s="44" t="s">
        <v>1541</v>
      </c>
    </row>
    <row r="404" spans="1:11" x14ac:dyDescent="0.3">
      <c r="A404" s="126" t="s">
        <v>390</v>
      </c>
      <c r="B404" s="126" t="s">
        <v>8</v>
      </c>
      <c r="C404" s="53" t="s">
        <v>1655</v>
      </c>
      <c r="D404" s="53" t="s">
        <v>1656</v>
      </c>
      <c r="E404" s="131">
        <v>45797</v>
      </c>
      <c r="F404" s="127" t="s">
        <v>371</v>
      </c>
      <c r="G404" s="127" t="s">
        <v>864</v>
      </c>
      <c r="H404" s="54">
        <v>48624.37</v>
      </c>
      <c r="I404" s="138">
        <v>0.218</v>
      </c>
      <c r="J404" s="44" t="s">
        <v>832</v>
      </c>
      <c r="K404" s="44" t="s">
        <v>1541</v>
      </c>
    </row>
    <row r="405" spans="1:11" x14ac:dyDescent="0.3">
      <c r="A405" s="126" t="s">
        <v>390</v>
      </c>
      <c r="B405" s="126" t="s">
        <v>8</v>
      </c>
      <c r="C405" s="53" t="s">
        <v>1657</v>
      </c>
      <c r="D405" s="53" t="s">
        <v>1658</v>
      </c>
      <c r="E405" s="131">
        <v>45797</v>
      </c>
      <c r="F405" s="127" t="s">
        <v>371</v>
      </c>
      <c r="G405" s="127" t="s">
        <v>864</v>
      </c>
      <c r="H405" s="54">
        <v>35654.82</v>
      </c>
      <c r="I405" s="138">
        <v>0.25</v>
      </c>
      <c r="J405" s="44" t="s">
        <v>832</v>
      </c>
      <c r="K405" s="44" t="s">
        <v>1541</v>
      </c>
    </row>
    <row r="406" spans="1:11" x14ac:dyDescent="0.3">
      <c r="A406" s="126" t="s">
        <v>390</v>
      </c>
      <c r="B406" s="126" t="s">
        <v>8</v>
      </c>
      <c r="C406" s="53" t="s">
        <v>1659</v>
      </c>
      <c r="D406" s="53" t="s">
        <v>1660</v>
      </c>
      <c r="E406" s="131">
        <v>45797</v>
      </c>
      <c r="F406" s="127" t="s">
        <v>371</v>
      </c>
      <c r="G406" s="127" t="s">
        <v>864</v>
      </c>
      <c r="H406" s="54">
        <v>38385.199999999997</v>
      </c>
      <c r="I406" s="138">
        <v>0.24199999999999999</v>
      </c>
      <c r="J406" s="44" t="s">
        <v>832</v>
      </c>
      <c r="K406" s="44" t="s">
        <v>1541</v>
      </c>
    </row>
    <row r="407" spans="1:11" x14ac:dyDescent="0.3">
      <c r="A407" s="126" t="s">
        <v>390</v>
      </c>
      <c r="B407" s="126" t="s">
        <v>8</v>
      </c>
      <c r="C407" s="53" t="s">
        <v>1661</v>
      </c>
      <c r="D407" s="53" t="s">
        <v>1662</v>
      </c>
      <c r="E407" s="131">
        <v>45797</v>
      </c>
      <c r="F407" s="127" t="s">
        <v>371</v>
      </c>
      <c r="G407" s="127" t="s">
        <v>864</v>
      </c>
      <c r="H407" s="54">
        <v>52917.55</v>
      </c>
      <c r="I407" s="138">
        <v>0.21099999999999999</v>
      </c>
      <c r="J407" s="44" t="s">
        <v>832</v>
      </c>
      <c r="K407" s="44" t="s">
        <v>1541</v>
      </c>
    </row>
    <row r="408" spans="1:11" x14ac:dyDescent="0.3">
      <c r="A408" s="126" t="s">
        <v>390</v>
      </c>
      <c r="B408" s="126" t="s">
        <v>8</v>
      </c>
      <c r="C408" s="53" t="s">
        <v>1663</v>
      </c>
      <c r="D408" s="53" t="s">
        <v>1664</v>
      </c>
      <c r="E408" s="131">
        <v>45797</v>
      </c>
      <c r="F408" s="127" t="s">
        <v>371</v>
      </c>
      <c r="G408" s="127" t="s">
        <v>864</v>
      </c>
      <c r="H408" s="54">
        <v>63320.75</v>
      </c>
      <c r="I408" s="138">
        <v>0.187</v>
      </c>
      <c r="J408" s="44" t="s">
        <v>832</v>
      </c>
      <c r="K408" s="44" t="s">
        <v>1541</v>
      </c>
    </row>
    <row r="409" spans="1:11" x14ac:dyDescent="0.3">
      <c r="A409" s="126" t="s">
        <v>390</v>
      </c>
      <c r="B409" s="126" t="s">
        <v>8</v>
      </c>
      <c r="C409" s="53" t="s">
        <v>1665</v>
      </c>
      <c r="D409" s="53" t="s">
        <v>1666</v>
      </c>
      <c r="E409" s="131">
        <v>45797</v>
      </c>
      <c r="F409" s="127" t="s">
        <v>371</v>
      </c>
      <c r="G409" s="127" t="s">
        <v>864</v>
      </c>
      <c r="H409" s="54">
        <v>69793.490000000005</v>
      </c>
      <c r="I409" s="138">
        <v>0.21299999999999999</v>
      </c>
      <c r="J409" s="44" t="s">
        <v>832</v>
      </c>
      <c r="K409" s="44" t="s">
        <v>1541</v>
      </c>
    </row>
    <row r="410" spans="1:11" x14ac:dyDescent="0.3">
      <c r="A410" s="126" t="s">
        <v>390</v>
      </c>
      <c r="B410" s="126" t="s">
        <v>8</v>
      </c>
      <c r="C410" s="53" t="s">
        <v>1667</v>
      </c>
      <c r="D410" s="53" t="s">
        <v>1668</v>
      </c>
      <c r="E410" s="131">
        <v>45797</v>
      </c>
      <c r="F410" s="127" t="s">
        <v>371</v>
      </c>
      <c r="G410" s="127" t="s">
        <v>864</v>
      </c>
      <c r="H410" s="54">
        <v>96137.49</v>
      </c>
      <c r="I410" s="138">
        <v>0.17100000000000001</v>
      </c>
      <c r="J410" s="44" t="s">
        <v>832</v>
      </c>
      <c r="K410" s="44" t="s">
        <v>1541</v>
      </c>
    </row>
    <row r="411" spans="1:11" x14ac:dyDescent="0.3">
      <c r="A411" s="126" t="s">
        <v>390</v>
      </c>
      <c r="B411" s="126" t="s">
        <v>8</v>
      </c>
      <c r="C411" s="53" t="s">
        <v>1669</v>
      </c>
      <c r="D411" s="53" t="s">
        <v>1670</v>
      </c>
      <c r="E411" s="131">
        <v>45797</v>
      </c>
      <c r="F411" s="127" t="s">
        <v>371</v>
      </c>
      <c r="G411" s="127" t="s">
        <v>864</v>
      </c>
      <c r="H411" s="54">
        <v>40048.83</v>
      </c>
      <c r="I411" s="138">
        <v>0.24299999999999999</v>
      </c>
      <c r="J411" s="44" t="s">
        <v>832</v>
      </c>
      <c r="K411" s="44" t="s">
        <v>1541</v>
      </c>
    </row>
    <row r="412" spans="1:11" x14ac:dyDescent="0.3">
      <c r="A412" s="126" t="s">
        <v>390</v>
      </c>
      <c r="B412" s="126" t="s">
        <v>8</v>
      </c>
      <c r="C412" s="53" t="s">
        <v>1671</v>
      </c>
      <c r="D412" s="53" t="s">
        <v>1672</v>
      </c>
      <c r="E412" s="131">
        <v>45797</v>
      </c>
      <c r="F412" s="127" t="s">
        <v>371</v>
      </c>
      <c r="G412" s="127" t="s">
        <v>864</v>
      </c>
      <c r="H412" s="54">
        <v>32348.23</v>
      </c>
      <c r="I412" s="138">
        <v>0.24299999999999999</v>
      </c>
      <c r="J412" s="44" t="s">
        <v>832</v>
      </c>
      <c r="K412" s="44" t="s">
        <v>1541</v>
      </c>
    </row>
    <row r="413" spans="1:11" x14ac:dyDescent="0.3">
      <c r="A413" s="126" t="s">
        <v>390</v>
      </c>
      <c r="B413" s="126" t="s">
        <v>8</v>
      </c>
      <c r="C413" s="53" t="s">
        <v>1673</v>
      </c>
      <c r="D413" s="53" t="s">
        <v>1674</v>
      </c>
      <c r="E413" s="131">
        <v>45797</v>
      </c>
      <c r="F413" s="127" t="s">
        <v>371</v>
      </c>
      <c r="G413" s="127" t="s">
        <v>864</v>
      </c>
      <c r="H413" s="54">
        <v>14521.64</v>
      </c>
      <c r="I413" s="138">
        <v>0.47599999999999998</v>
      </c>
      <c r="J413" s="44" t="s">
        <v>832</v>
      </c>
      <c r="K413" s="44" t="s">
        <v>1541</v>
      </c>
    </row>
    <row r="414" spans="1:11" x14ac:dyDescent="0.3">
      <c r="A414" s="126" t="s">
        <v>390</v>
      </c>
      <c r="B414" s="126" t="s">
        <v>8</v>
      </c>
      <c r="C414" s="53" t="s">
        <v>1675</v>
      </c>
      <c r="D414" s="53" t="s">
        <v>1676</v>
      </c>
      <c r="E414" s="131">
        <v>45797</v>
      </c>
      <c r="F414" s="127" t="s">
        <v>371</v>
      </c>
      <c r="G414" s="127" t="s">
        <v>864</v>
      </c>
      <c r="H414" s="54">
        <v>104991.3</v>
      </c>
      <c r="I414" s="138">
        <v>0.17399999999999999</v>
      </c>
      <c r="J414" s="44" t="s">
        <v>832</v>
      </c>
      <c r="K414" s="44" t="s">
        <v>1541</v>
      </c>
    </row>
    <row r="415" spans="1:11" x14ac:dyDescent="0.3">
      <c r="A415" s="126" t="s">
        <v>390</v>
      </c>
      <c r="B415" s="126" t="s">
        <v>8</v>
      </c>
      <c r="C415" s="53" t="s">
        <v>1677</v>
      </c>
      <c r="D415" s="53" t="s">
        <v>1678</v>
      </c>
      <c r="E415" s="131">
        <v>45797</v>
      </c>
      <c r="F415" s="127" t="s">
        <v>371</v>
      </c>
      <c r="G415" s="127" t="s">
        <v>864</v>
      </c>
      <c r="H415" s="54">
        <v>34631.86</v>
      </c>
      <c r="I415" s="138">
        <v>0.26100000000000001</v>
      </c>
      <c r="J415" s="44" t="s">
        <v>832</v>
      </c>
      <c r="K415" s="44" t="s">
        <v>1541</v>
      </c>
    </row>
    <row r="416" spans="1:11" x14ac:dyDescent="0.3">
      <c r="A416" s="126" t="s">
        <v>392</v>
      </c>
      <c r="B416" s="126" t="s">
        <v>8</v>
      </c>
      <c r="C416" s="53" t="s">
        <v>1679</v>
      </c>
      <c r="D416" s="53" t="s">
        <v>1680</v>
      </c>
      <c r="E416" s="131">
        <v>45797</v>
      </c>
      <c r="F416" s="127" t="s">
        <v>371</v>
      </c>
      <c r="G416" s="127" t="s">
        <v>864</v>
      </c>
      <c r="H416" s="54">
        <v>7520</v>
      </c>
      <c r="I416" s="138">
        <v>0.85199999999999998</v>
      </c>
      <c r="J416" s="44" t="s">
        <v>848</v>
      </c>
      <c r="K416" s="44" t="s">
        <v>1540</v>
      </c>
    </row>
    <row r="417" spans="1:11" x14ac:dyDescent="0.3">
      <c r="A417" s="126" t="s">
        <v>390</v>
      </c>
      <c r="B417" s="126" t="s">
        <v>8</v>
      </c>
      <c r="C417" s="53" t="s">
        <v>1681</v>
      </c>
      <c r="D417" s="53" t="s">
        <v>1682</v>
      </c>
      <c r="E417" s="131">
        <v>45797</v>
      </c>
      <c r="F417" s="127" t="s">
        <v>371</v>
      </c>
      <c r="G417" s="127" t="s">
        <v>864</v>
      </c>
      <c r="H417" s="54">
        <v>47240.44</v>
      </c>
      <c r="I417" s="138">
        <v>0.28599999999999998</v>
      </c>
      <c r="J417" s="44" t="s">
        <v>832</v>
      </c>
      <c r="K417" s="44" t="s">
        <v>1541</v>
      </c>
    </row>
    <row r="418" spans="1:11" x14ac:dyDescent="0.3">
      <c r="A418" s="126" t="s">
        <v>392</v>
      </c>
      <c r="B418" s="126" t="s">
        <v>8</v>
      </c>
      <c r="C418" s="53" t="s">
        <v>1683</v>
      </c>
      <c r="D418" s="53" t="s">
        <v>1684</v>
      </c>
      <c r="E418" s="131">
        <v>45797</v>
      </c>
      <c r="F418" s="127" t="s">
        <v>842</v>
      </c>
      <c r="G418" s="127" t="s">
        <v>843</v>
      </c>
      <c r="H418" s="54">
        <v>22000</v>
      </c>
      <c r="I418" s="138">
        <v>0.46400000000000002</v>
      </c>
      <c r="J418" s="44" t="s">
        <v>1835</v>
      </c>
      <c r="K418" s="44" t="s">
        <v>1540</v>
      </c>
    </row>
    <row r="419" spans="1:11" x14ac:dyDescent="0.3">
      <c r="A419" s="126" t="s">
        <v>392</v>
      </c>
      <c r="B419" s="126" t="s">
        <v>8</v>
      </c>
      <c r="C419" s="53" t="s">
        <v>1685</v>
      </c>
      <c r="D419" s="53" t="s">
        <v>1686</v>
      </c>
      <c r="E419" s="131">
        <v>45797</v>
      </c>
      <c r="F419" s="127" t="s">
        <v>842</v>
      </c>
      <c r="G419" s="127" t="s">
        <v>843</v>
      </c>
      <c r="H419" s="54">
        <v>22000</v>
      </c>
      <c r="I419" s="138">
        <v>0.46600000000000003</v>
      </c>
      <c r="J419" s="44" t="s">
        <v>1835</v>
      </c>
      <c r="K419" s="44" t="s">
        <v>1540</v>
      </c>
    </row>
    <row r="420" spans="1:11" x14ac:dyDescent="0.3">
      <c r="A420" s="126" t="s">
        <v>392</v>
      </c>
      <c r="B420" s="126" t="s">
        <v>8</v>
      </c>
      <c r="C420" s="53" t="s">
        <v>1687</v>
      </c>
      <c r="D420" s="53" t="s">
        <v>1688</v>
      </c>
      <c r="E420" s="131">
        <v>45797</v>
      </c>
      <c r="F420" s="127" t="s">
        <v>842</v>
      </c>
      <c r="G420" s="127" t="s">
        <v>843</v>
      </c>
      <c r="H420" s="54">
        <v>22000</v>
      </c>
      <c r="I420" s="138">
        <v>0.48399999999999999</v>
      </c>
      <c r="J420" s="44" t="s">
        <v>1835</v>
      </c>
      <c r="K420" s="44" t="s">
        <v>1540</v>
      </c>
    </row>
    <row r="421" spans="1:11" x14ac:dyDescent="0.3">
      <c r="A421" s="126" t="s">
        <v>392</v>
      </c>
      <c r="B421" s="126" t="s">
        <v>8</v>
      </c>
      <c r="C421" s="53" t="s">
        <v>1689</v>
      </c>
      <c r="D421" s="53" t="s">
        <v>1690</v>
      </c>
      <c r="E421" s="131">
        <v>45797</v>
      </c>
      <c r="F421" s="127" t="s">
        <v>370</v>
      </c>
      <c r="G421" s="127" t="s">
        <v>63</v>
      </c>
      <c r="H421" s="54">
        <v>4200</v>
      </c>
      <c r="I421" s="138">
        <v>0.57099999999999995</v>
      </c>
      <c r="J421" s="44" t="s">
        <v>830</v>
      </c>
      <c r="K421" s="44" t="s">
        <v>1540</v>
      </c>
    </row>
    <row r="422" spans="1:11" x14ac:dyDescent="0.3">
      <c r="A422" s="126" t="s">
        <v>392</v>
      </c>
      <c r="B422" s="126" t="s">
        <v>8</v>
      </c>
      <c r="C422" s="53" t="s">
        <v>1691</v>
      </c>
      <c r="D422" s="53" t="s">
        <v>1692</v>
      </c>
      <c r="E422" s="131">
        <v>45797</v>
      </c>
      <c r="F422" s="127" t="s">
        <v>370</v>
      </c>
      <c r="G422" s="127" t="s">
        <v>63</v>
      </c>
      <c r="H422" s="54">
        <v>7400</v>
      </c>
      <c r="I422" s="138">
        <v>0.54100000000000004</v>
      </c>
      <c r="J422" s="44" t="s">
        <v>830</v>
      </c>
      <c r="K422" s="44" t="s">
        <v>1540</v>
      </c>
    </row>
    <row r="423" spans="1:11" x14ac:dyDescent="0.3">
      <c r="A423" s="126" t="s">
        <v>390</v>
      </c>
      <c r="B423" s="126" t="s">
        <v>8</v>
      </c>
      <c r="C423" s="53" t="s">
        <v>1693</v>
      </c>
      <c r="D423" s="53" t="s">
        <v>1694</v>
      </c>
      <c r="E423" s="131">
        <v>45797</v>
      </c>
      <c r="F423" s="127" t="s">
        <v>375</v>
      </c>
      <c r="G423" s="127" t="s">
        <v>62</v>
      </c>
      <c r="H423" s="54">
        <v>30166.92</v>
      </c>
      <c r="I423" s="138">
        <v>0.34899999999999998</v>
      </c>
      <c r="J423" s="44" t="s">
        <v>831</v>
      </c>
      <c r="K423" s="44" t="s">
        <v>1542</v>
      </c>
    </row>
    <row r="424" spans="1:11" x14ac:dyDescent="0.3">
      <c r="A424" s="126" t="s">
        <v>390</v>
      </c>
      <c r="B424" s="126" t="s">
        <v>8</v>
      </c>
      <c r="C424" s="53" t="s">
        <v>1695</v>
      </c>
      <c r="D424" s="53" t="s">
        <v>1696</v>
      </c>
      <c r="E424" s="131">
        <v>45797</v>
      </c>
      <c r="F424" s="127" t="s">
        <v>375</v>
      </c>
      <c r="G424" s="127" t="s">
        <v>62</v>
      </c>
      <c r="H424" s="54">
        <v>7891.97</v>
      </c>
      <c r="I424" s="138">
        <v>0.65</v>
      </c>
      <c r="J424" s="44" t="s">
        <v>831</v>
      </c>
      <c r="K424" s="44" t="s">
        <v>1542</v>
      </c>
    </row>
    <row r="425" spans="1:11" x14ac:dyDescent="0.3">
      <c r="A425" s="126" t="s">
        <v>390</v>
      </c>
      <c r="B425" s="126" t="s">
        <v>8</v>
      </c>
      <c r="C425" s="53" t="s">
        <v>1697</v>
      </c>
      <c r="D425" s="53" t="s">
        <v>1529</v>
      </c>
      <c r="E425" s="131">
        <v>45797</v>
      </c>
      <c r="F425" s="127" t="s">
        <v>375</v>
      </c>
      <c r="G425" s="127" t="s">
        <v>62</v>
      </c>
      <c r="H425" s="54">
        <v>950</v>
      </c>
      <c r="I425" s="138">
        <v>0.45500000000000002</v>
      </c>
      <c r="J425" s="44" t="s">
        <v>831</v>
      </c>
      <c r="K425" s="44" t="s">
        <v>1542</v>
      </c>
    </row>
    <row r="426" spans="1:11" x14ac:dyDescent="0.3">
      <c r="A426" s="126" t="s">
        <v>390</v>
      </c>
      <c r="B426" s="126" t="s">
        <v>8</v>
      </c>
      <c r="C426" s="53" t="s">
        <v>1698</v>
      </c>
      <c r="D426" s="53" t="s">
        <v>1352</v>
      </c>
      <c r="E426" s="131">
        <v>45797</v>
      </c>
      <c r="F426" s="127" t="s">
        <v>375</v>
      </c>
      <c r="G426" s="127" t="s">
        <v>62</v>
      </c>
      <c r="H426" s="54">
        <v>0.01</v>
      </c>
      <c r="I426" s="138">
        <v>0.255</v>
      </c>
      <c r="J426" s="44" t="s">
        <v>831</v>
      </c>
      <c r="K426" s="44" t="s">
        <v>1542</v>
      </c>
    </row>
    <row r="427" spans="1:11" x14ac:dyDescent="0.3">
      <c r="A427" s="126" t="s">
        <v>390</v>
      </c>
      <c r="B427" s="126" t="s">
        <v>8</v>
      </c>
      <c r="C427" s="53" t="s">
        <v>1699</v>
      </c>
      <c r="D427" s="53" t="s">
        <v>1700</v>
      </c>
      <c r="E427" s="131">
        <v>45798</v>
      </c>
      <c r="F427" s="127" t="s">
        <v>371</v>
      </c>
      <c r="G427" s="127" t="s">
        <v>864</v>
      </c>
      <c r="H427" s="54">
        <v>39961.129999999997</v>
      </c>
      <c r="I427" s="138">
        <v>0.24</v>
      </c>
      <c r="J427" s="44" t="s">
        <v>832</v>
      </c>
      <c r="K427" s="44" t="s">
        <v>1541</v>
      </c>
    </row>
    <row r="428" spans="1:11" x14ac:dyDescent="0.3">
      <c r="A428" s="126" t="s">
        <v>392</v>
      </c>
      <c r="B428" s="126" t="s">
        <v>8</v>
      </c>
      <c r="C428" s="53" t="s">
        <v>1701</v>
      </c>
      <c r="D428" s="53" t="s">
        <v>1702</v>
      </c>
      <c r="E428" s="131">
        <v>45798</v>
      </c>
      <c r="F428" s="127" t="s">
        <v>371</v>
      </c>
      <c r="G428" s="127" t="s">
        <v>864</v>
      </c>
      <c r="H428" s="54">
        <v>9508</v>
      </c>
      <c r="I428" s="138">
        <v>0.79900000000000004</v>
      </c>
      <c r="J428" s="44" t="s">
        <v>848</v>
      </c>
      <c r="K428" s="44" t="s">
        <v>1540</v>
      </c>
    </row>
    <row r="429" spans="1:11" x14ac:dyDescent="0.3">
      <c r="A429" s="126" t="s">
        <v>390</v>
      </c>
      <c r="B429" s="126" t="s">
        <v>8</v>
      </c>
      <c r="C429" s="53" t="s">
        <v>1703</v>
      </c>
      <c r="D429" s="53" t="s">
        <v>1704</v>
      </c>
      <c r="E429" s="131">
        <v>45798</v>
      </c>
      <c r="F429" s="127" t="s">
        <v>371</v>
      </c>
      <c r="G429" s="127" t="s">
        <v>864</v>
      </c>
      <c r="H429" s="54">
        <v>72455.19</v>
      </c>
      <c r="I429" s="138">
        <v>0.157</v>
      </c>
      <c r="J429" s="44" t="s">
        <v>832</v>
      </c>
      <c r="K429" s="44" t="s">
        <v>1541</v>
      </c>
    </row>
    <row r="430" spans="1:11" x14ac:dyDescent="0.3">
      <c r="A430" s="126" t="s">
        <v>390</v>
      </c>
      <c r="B430" s="126" t="s">
        <v>8</v>
      </c>
      <c r="C430" s="53" t="s">
        <v>1705</v>
      </c>
      <c r="D430" s="53" t="s">
        <v>1706</v>
      </c>
      <c r="E430" s="131">
        <v>45798</v>
      </c>
      <c r="F430" s="127" t="s">
        <v>371</v>
      </c>
      <c r="G430" s="127" t="s">
        <v>864</v>
      </c>
      <c r="H430" s="54">
        <v>28653.18</v>
      </c>
      <c r="I430" s="138">
        <v>0.25700000000000001</v>
      </c>
      <c r="J430" s="44" t="s">
        <v>832</v>
      </c>
      <c r="K430" s="44" t="s">
        <v>1541</v>
      </c>
    </row>
    <row r="431" spans="1:11" x14ac:dyDescent="0.3">
      <c r="A431" s="126" t="s">
        <v>390</v>
      </c>
      <c r="B431" s="126" t="s">
        <v>8</v>
      </c>
      <c r="C431" s="53" t="s">
        <v>1707</v>
      </c>
      <c r="D431" s="53" t="s">
        <v>1708</v>
      </c>
      <c r="E431" s="131">
        <v>45798</v>
      </c>
      <c r="F431" s="127" t="s">
        <v>371</v>
      </c>
      <c r="G431" s="127" t="s">
        <v>864</v>
      </c>
      <c r="H431" s="54">
        <v>28747.41</v>
      </c>
      <c r="I431" s="138">
        <v>0.25600000000000001</v>
      </c>
      <c r="J431" s="44" t="s">
        <v>832</v>
      </c>
      <c r="K431" s="44" t="s">
        <v>1541</v>
      </c>
    </row>
    <row r="432" spans="1:11" x14ac:dyDescent="0.3">
      <c r="A432" s="126" t="s">
        <v>390</v>
      </c>
      <c r="B432" s="126" t="s">
        <v>8</v>
      </c>
      <c r="C432" s="53" t="s">
        <v>1709</v>
      </c>
      <c r="D432" s="53" t="s">
        <v>1710</v>
      </c>
      <c r="E432" s="131">
        <v>45798</v>
      </c>
      <c r="F432" s="127" t="s">
        <v>371</v>
      </c>
      <c r="G432" s="127" t="s">
        <v>864</v>
      </c>
      <c r="H432" s="54">
        <v>1800</v>
      </c>
      <c r="I432" s="138">
        <v>0.68</v>
      </c>
      <c r="J432" s="44" t="s">
        <v>832</v>
      </c>
      <c r="K432" s="44" t="s">
        <v>1541</v>
      </c>
    </row>
    <row r="433" spans="1:11" x14ac:dyDescent="0.3">
      <c r="A433" s="126" t="s">
        <v>390</v>
      </c>
      <c r="B433" s="126" t="s">
        <v>8</v>
      </c>
      <c r="C433" s="53" t="s">
        <v>1711</v>
      </c>
      <c r="D433" s="53" t="s">
        <v>1710</v>
      </c>
      <c r="E433" s="131">
        <v>45798</v>
      </c>
      <c r="F433" s="127" t="s">
        <v>371</v>
      </c>
      <c r="G433" s="127" t="s">
        <v>864</v>
      </c>
      <c r="H433" s="54">
        <v>15438.72</v>
      </c>
      <c r="I433" s="138">
        <v>0.68</v>
      </c>
      <c r="J433" s="44" t="s">
        <v>832</v>
      </c>
      <c r="K433" s="44" t="s">
        <v>1541</v>
      </c>
    </row>
    <row r="434" spans="1:11" x14ac:dyDescent="0.3">
      <c r="A434" s="126" t="s">
        <v>390</v>
      </c>
      <c r="B434" s="126" t="s">
        <v>8</v>
      </c>
      <c r="C434" s="53" t="s">
        <v>1712</v>
      </c>
      <c r="D434" s="53" t="s">
        <v>1713</v>
      </c>
      <c r="E434" s="131">
        <v>45798</v>
      </c>
      <c r="F434" s="127" t="s">
        <v>844</v>
      </c>
      <c r="G434" s="127" t="s">
        <v>863</v>
      </c>
      <c r="H434" s="54">
        <v>23706.75</v>
      </c>
      <c r="I434" s="138">
        <v>0.24099999999999999</v>
      </c>
      <c r="J434" s="44" t="s">
        <v>848</v>
      </c>
      <c r="K434" s="44" t="s">
        <v>1542</v>
      </c>
    </row>
    <row r="435" spans="1:11" x14ac:dyDescent="0.3">
      <c r="A435" s="126" t="s">
        <v>390</v>
      </c>
      <c r="B435" s="126" t="s">
        <v>8</v>
      </c>
      <c r="C435" s="53" t="s">
        <v>1714</v>
      </c>
      <c r="D435" s="53" t="s">
        <v>1715</v>
      </c>
      <c r="E435" s="131">
        <v>45798</v>
      </c>
      <c r="F435" s="127" t="s">
        <v>375</v>
      </c>
      <c r="G435" s="127" t="s">
        <v>62</v>
      </c>
      <c r="H435" s="54">
        <v>18159.099999999999</v>
      </c>
      <c r="I435" s="138">
        <v>0.84399999999999997</v>
      </c>
      <c r="J435" s="44" t="s">
        <v>831</v>
      </c>
      <c r="K435" s="44" t="s">
        <v>1542</v>
      </c>
    </row>
    <row r="436" spans="1:11" x14ac:dyDescent="0.3">
      <c r="A436" s="126" t="s">
        <v>392</v>
      </c>
      <c r="B436" s="126" t="s">
        <v>8</v>
      </c>
      <c r="C436" s="53" t="s">
        <v>1716</v>
      </c>
      <c r="D436" s="53" t="s">
        <v>1717</v>
      </c>
      <c r="E436" s="131">
        <v>45798</v>
      </c>
      <c r="F436" s="127" t="s">
        <v>370</v>
      </c>
      <c r="G436" s="127" t="s">
        <v>63</v>
      </c>
      <c r="H436" s="54">
        <v>12500</v>
      </c>
      <c r="I436" s="138">
        <v>0.77600000000000002</v>
      </c>
      <c r="J436" s="44" t="s">
        <v>830</v>
      </c>
      <c r="K436" s="44" t="s">
        <v>1541</v>
      </c>
    </row>
    <row r="437" spans="1:11" x14ac:dyDescent="0.3">
      <c r="A437" s="126" t="s">
        <v>390</v>
      </c>
      <c r="B437" s="126" t="s">
        <v>8</v>
      </c>
      <c r="C437" s="53" t="s">
        <v>1718</v>
      </c>
      <c r="D437" s="53" t="s">
        <v>1719</v>
      </c>
      <c r="E437" s="131">
        <v>45798</v>
      </c>
      <c r="F437" s="127" t="s">
        <v>371</v>
      </c>
      <c r="G437" s="127" t="s">
        <v>864</v>
      </c>
      <c r="H437" s="54">
        <v>55004.42</v>
      </c>
      <c r="I437" s="138">
        <v>0.21199999999999999</v>
      </c>
      <c r="J437" s="44" t="s">
        <v>832</v>
      </c>
      <c r="K437" s="44" t="s">
        <v>1541</v>
      </c>
    </row>
    <row r="438" spans="1:11" x14ac:dyDescent="0.3">
      <c r="A438" s="126" t="s">
        <v>390</v>
      </c>
      <c r="B438" s="126" t="s">
        <v>8</v>
      </c>
      <c r="C438" s="53" t="s">
        <v>1720</v>
      </c>
      <c r="D438" s="53" t="s">
        <v>1721</v>
      </c>
      <c r="E438" s="131">
        <v>45798</v>
      </c>
      <c r="F438" s="127" t="s">
        <v>371</v>
      </c>
      <c r="G438" s="127" t="s">
        <v>864</v>
      </c>
      <c r="H438" s="54">
        <v>11554.79</v>
      </c>
      <c r="I438" s="138">
        <v>0.52</v>
      </c>
      <c r="J438" s="44" t="s">
        <v>832</v>
      </c>
      <c r="K438" s="44" t="s">
        <v>1541</v>
      </c>
    </row>
    <row r="439" spans="1:11" x14ac:dyDescent="0.3">
      <c r="A439" s="126" t="s">
        <v>390</v>
      </c>
      <c r="B439" s="126" t="s">
        <v>8</v>
      </c>
      <c r="C439" s="53" t="s">
        <v>1722</v>
      </c>
      <c r="D439" s="53" t="s">
        <v>1723</v>
      </c>
      <c r="E439" s="131">
        <v>45798</v>
      </c>
      <c r="F439" s="127" t="s">
        <v>371</v>
      </c>
      <c r="G439" s="127" t="s">
        <v>864</v>
      </c>
      <c r="H439" s="54">
        <v>75383.78</v>
      </c>
      <c r="I439" s="138">
        <v>0.19</v>
      </c>
      <c r="J439" s="44" t="s">
        <v>832</v>
      </c>
      <c r="K439" s="44" t="s">
        <v>1541</v>
      </c>
    </row>
    <row r="440" spans="1:11" x14ac:dyDescent="0.3">
      <c r="A440" s="126" t="s">
        <v>390</v>
      </c>
      <c r="B440" s="126" t="s">
        <v>8</v>
      </c>
      <c r="C440" s="53" t="s">
        <v>1724</v>
      </c>
      <c r="D440" s="53" t="s">
        <v>1725</v>
      </c>
      <c r="E440" s="131">
        <v>45798</v>
      </c>
      <c r="F440" s="127" t="s">
        <v>371</v>
      </c>
      <c r="G440" s="127" t="s">
        <v>864</v>
      </c>
      <c r="H440" s="54">
        <v>13209.08</v>
      </c>
      <c r="I440" s="138">
        <v>0.47099999999999997</v>
      </c>
      <c r="J440" s="44" t="s">
        <v>832</v>
      </c>
      <c r="K440" s="44" t="s">
        <v>1541</v>
      </c>
    </row>
    <row r="441" spans="1:11" x14ac:dyDescent="0.3">
      <c r="A441" s="126" t="s">
        <v>390</v>
      </c>
      <c r="B441" s="126" t="s">
        <v>8</v>
      </c>
      <c r="C441" s="53" t="s">
        <v>1726</v>
      </c>
      <c r="D441" s="53" t="s">
        <v>1727</v>
      </c>
      <c r="E441" s="131">
        <v>45798</v>
      </c>
      <c r="F441" s="127" t="s">
        <v>371</v>
      </c>
      <c r="G441" s="127" t="s">
        <v>864</v>
      </c>
      <c r="H441" s="54">
        <v>17453.330000000002</v>
      </c>
      <c r="I441" s="138">
        <v>0.46100000000000002</v>
      </c>
      <c r="J441" s="44" t="s">
        <v>832</v>
      </c>
      <c r="K441" s="44" t="s">
        <v>1541</v>
      </c>
    </row>
    <row r="442" spans="1:11" x14ac:dyDescent="0.3">
      <c r="A442" s="126" t="s">
        <v>392</v>
      </c>
      <c r="B442" s="126" t="s">
        <v>8</v>
      </c>
      <c r="C442" s="53" t="s">
        <v>1728</v>
      </c>
      <c r="D442" s="53" t="s">
        <v>1729</v>
      </c>
      <c r="E442" s="131">
        <v>45799</v>
      </c>
      <c r="F442" s="127" t="s">
        <v>370</v>
      </c>
      <c r="G442" s="127" t="s">
        <v>63</v>
      </c>
      <c r="H442" s="54">
        <v>12150</v>
      </c>
      <c r="I442" s="138">
        <v>0.64600000000000002</v>
      </c>
      <c r="J442" s="44" t="s">
        <v>830</v>
      </c>
      <c r="K442" s="44" t="s">
        <v>1540</v>
      </c>
    </row>
    <row r="443" spans="1:11" x14ac:dyDescent="0.3">
      <c r="A443" s="126" t="s">
        <v>392</v>
      </c>
      <c r="B443" s="126" t="s">
        <v>8</v>
      </c>
      <c r="C443" s="53" t="s">
        <v>1730</v>
      </c>
      <c r="D443" s="53" t="s">
        <v>1731</v>
      </c>
      <c r="E443" s="131">
        <v>45799</v>
      </c>
      <c r="F443" s="127" t="s">
        <v>370</v>
      </c>
      <c r="G443" s="127" t="s">
        <v>63</v>
      </c>
      <c r="H443" s="54">
        <v>10300</v>
      </c>
      <c r="I443" s="138">
        <v>0.58299999999999996</v>
      </c>
      <c r="J443" s="44" t="s">
        <v>830</v>
      </c>
      <c r="K443" s="44" t="s">
        <v>1540</v>
      </c>
    </row>
    <row r="444" spans="1:11" x14ac:dyDescent="0.3">
      <c r="A444" s="126" t="s">
        <v>392</v>
      </c>
      <c r="B444" s="126" t="s">
        <v>8</v>
      </c>
      <c r="C444" s="53" t="s">
        <v>1732</v>
      </c>
      <c r="D444" s="53" t="s">
        <v>1733</v>
      </c>
      <c r="E444" s="131">
        <v>45799</v>
      </c>
      <c r="F444" s="127" t="s">
        <v>370</v>
      </c>
      <c r="G444" s="127" t="s">
        <v>63</v>
      </c>
      <c r="H444" s="54">
        <v>10300</v>
      </c>
      <c r="I444" s="138">
        <v>0.58299999999999996</v>
      </c>
      <c r="J444" s="44" t="s">
        <v>830</v>
      </c>
      <c r="K444" s="44" t="s">
        <v>1540</v>
      </c>
    </row>
    <row r="445" spans="1:11" x14ac:dyDescent="0.3">
      <c r="A445" s="126" t="s">
        <v>392</v>
      </c>
      <c r="B445" s="126" t="s">
        <v>8</v>
      </c>
      <c r="C445" s="53" t="s">
        <v>1734</v>
      </c>
      <c r="D445" s="53" t="s">
        <v>1735</v>
      </c>
      <c r="E445" s="131">
        <v>45799</v>
      </c>
      <c r="F445" s="127" t="s">
        <v>370</v>
      </c>
      <c r="G445" s="127" t="s">
        <v>63</v>
      </c>
      <c r="H445" s="54">
        <v>4200</v>
      </c>
      <c r="I445" s="138">
        <v>0.57099999999999995</v>
      </c>
      <c r="J445" s="44" t="s">
        <v>830</v>
      </c>
      <c r="K445" s="44" t="s">
        <v>1540</v>
      </c>
    </row>
    <row r="446" spans="1:11" x14ac:dyDescent="0.3">
      <c r="A446" s="126" t="s">
        <v>392</v>
      </c>
      <c r="B446" s="126" t="s">
        <v>8</v>
      </c>
      <c r="C446" s="53" t="s">
        <v>1736</v>
      </c>
      <c r="D446" s="53" t="s">
        <v>1737</v>
      </c>
      <c r="E446" s="131">
        <v>45799</v>
      </c>
      <c r="F446" s="127" t="s">
        <v>370</v>
      </c>
      <c r="G446" s="127" t="s">
        <v>63</v>
      </c>
      <c r="H446" s="54">
        <v>4200</v>
      </c>
      <c r="I446" s="138">
        <v>0.5</v>
      </c>
      <c r="J446" s="44" t="s">
        <v>830</v>
      </c>
      <c r="K446" s="44" t="s">
        <v>1540</v>
      </c>
    </row>
    <row r="447" spans="1:11" x14ac:dyDescent="0.3">
      <c r="A447" s="126" t="s">
        <v>390</v>
      </c>
      <c r="B447" s="126" t="s">
        <v>8</v>
      </c>
      <c r="C447" s="53" t="s">
        <v>1738</v>
      </c>
      <c r="D447" s="53" t="s">
        <v>1739</v>
      </c>
      <c r="E447" s="131">
        <v>45799</v>
      </c>
      <c r="F447" s="127" t="s">
        <v>371</v>
      </c>
      <c r="G447" s="127" t="s">
        <v>864</v>
      </c>
      <c r="H447" s="54">
        <v>171892.89</v>
      </c>
      <c r="I447" s="138">
        <v>0.161</v>
      </c>
      <c r="J447" s="44" t="s">
        <v>832</v>
      </c>
      <c r="K447" s="44" t="s">
        <v>1541</v>
      </c>
    </row>
    <row r="448" spans="1:11" x14ac:dyDescent="0.3">
      <c r="A448" s="126" t="s">
        <v>390</v>
      </c>
      <c r="B448" s="126" t="s">
        <v>8</v>
      </c>
      <c r="C448" s="53" t="s">
        <v>1740</v>
      </c>
      <c r="D448" s="53" t="s">
        <v>1741</v>
      </c>
      <c r="E448" s="131">
        <v>45799</v>
      </c>
      <c r="F448" s="127" t="s">
        <v>371</v>
      </c>
      <c r="G448" s="127" t="s">
        <v>864</v>
      </c>
      <c r="H448" s="54">
        <v>13793.67</v>
      </c>
      <c r="I448" s="138">
        <v>0.49399999999999999</v>
      </c>
      <c r="J448" s="44" t="s">
        <v>832</v>
      </c>
      <c r="K448" s="44" t="s">
        <v>1541</v>
      </c>
    </row>
    <row r="449" spans="1:11" x14ac:dyDescent="0.3">
      <c r="A449" s="126" t="s">
        <v>392</v>
      </c>
      <c r="B449" s="126" t="s">
        <v>8</v>
      </c>
      <c r="C449" s="53" t="s">
        <v>1742</v>
      </c>
      <c r="D449" s="53" t="s">
        <v>1743</v>
      </c>
      <c r="E449" s="131">
        <v>45799</v>
      </c>
      <c r="F449" s="127" t="s">
        <v>371</v>
      </c>
      <c r="G449" s="127" t="s">
        <v>864</v>
      </c>
      <c r="H449" s="54">
        <v>7520</v>
      </c>
      <c r="I449" s="138">
        <v>0.86</v>
      </c>
      <c r="J449" s="44" t="s">
        <v>848</v>
      </c>
      <c r="K449" s="44" t="s">
        <v>1540</v>
      </c>
    </row>
    <row r="450" spans="1:11" x14ac:dyDescent="0.3">
      <c r="A450" s="126" t="s">
        <v>392</v>
      </c>
      <c r="B450" s="126" t="s">
        <v>8</v>
      </c>
      <c r="C450" s="53" t="s">
        <v>1744</v>
      </c>
      <c r="D450" s="53" t="s">
        <v>1745</v>
      </c>
      <c r="E450" s="131">
        <v>45800</v>
      </c>
      <c r="F450" s="127" t="s">
        <v>371</v>
      </c>
      <c r="G450" s="127" t="s">
        <v>864</v>
      </c>
      <c r="H450" s="54">
        <v>28005.52</v>
      </c>
      <c r="I450" s="138">
        <v>0.88400000000000001</v>
      </c>
      <c r="J450" s="44" t="s">
        <v>848</v>
      </c>
      <c r="K450" s="44" t="s">
        <v>1540</v>
      </c>
    </row>
    <row r="451" spans="1:11" x14ac:dyDescent="0.3">
      <c r="A451" s="126" t="s">
        <v>392</v>
      </c>
      <c r="B451" s="126" t="s">
        <v>8</v>
      </c>
      <c r="C451" s="53" t="s">
        <v>1746</v>
      </c>
      <c r="D451" s="53" t="s">
        <v>1747</v>
      </c>
      <c r="E451" s="131">
        <v>45800</v>
      </c>
      <c r="F451" s="127" t="s">
        <v>374</v>
      </c>
      <c r="G451" s="127" t="s">
        <v>17</v>
      </c>
      <c r="H451" s="54">
        <v>8400</v>
      </c>
      <c r="I451" s="138">
        <v>0.48799999999999999</v>
      </c>
      <c r="J451" s="44" t="s">
        <v>848</v>
      </c>
      <c r="K451" s="44" t="s">
        <v>1540</v>
      </c>
    </row>
    <row r="452" spans="1:11" x14ac:dyDescent="0.3">
      <c r="A452" s="126" t="s">
        <v>392</v>
      </c>
      <c r="B452" s="126" t="s">
        <v>8</v>
      </c>
      <c r="C452" s="53" t="s">
        <v>1748</v>
      </c>
      <c r="D452" s="53" t="s">
        <v>1749</v>
      </c>
      <c r="E452" s="131">
        <v>45803</v>
      </c>
      <c r="F452" s="127" t="s">
        <v>842</v>
      </c>
      <c r="G452" s="127" t="s">
        <v>843</v>
      </c>
      <c r="H452" s="54">
        <v>22680.31</v>
      </c>
      <c r="I452" s="138">
        <v>0.46600000000000003</v>
      </c>
      <c r="J452" s="44" t="s">
        <v>1835</v>
      </c>
      <c r="K452" s="44" t="s">
        <v>1540</v>
      </c>
    </row>
    <row r="453" spans="1:11" x14ac:dyDescent="0.3">
      <c r="A453" s="126" t="s">
        <v>390</v>
      </c>
      <c r="B453" s="126" t="s">
        <v>8</v>
      </c>
      <c r="C453" s="53" t="s">
        <v>1750</v>
      </c>
      <c r="D453" s="53" t="s">
        <v>1751</v>
      </c>
      <c r="E453" s="131">
        <v>45803</v>
      </c>
      <c r="F453" s="127" t="s">
        <v>371</v>
      </c>
      <c r="G453" s="127" t="s">
        <v>864</v>
      </c>
      <c r="H453" s="54">
        <v>20911.099999999999</v>
      </c>
      <c r="I453" s="138">
        <v>0.31</v>
      </c>
      <c r="J453" s="44" t="s">
        <v>848</v>
      </c>
      <c r="K453" s="44" t="s">
        <v>1540</v>
      </c>
    </row>
    <row r="454" spans="1:11" x14ac:dyDescent="0.3">
      <c r="A454" s="126" t="s">
        <v>390</v>
      </c>
      <c r="B454" s="126" t="s">
        <v>8</v>
      </c>
      <c r="C454" s="53" t="s">
        <v>1752</v>
      </c>
      <c r="D454" s="53" t="s">
        <v>1753</v>
      </c>
      <c r="E454" s="131">
        <v>45803</v>
      </c>
      <c r="F454" s="127" t="s">
        <v>371</v>
      </c>
      <c r="G454" s="127" t="s">
        <v>864</v>
      </c>
      <c r="H454" s="54">
        <v>26986.73</v>
      </c>
      <c r="I454" s="138">
        <v>0.28899999999999998</v>
      </c>
      <c r="J454" s="44" t="s">
        <v>832</v>
      </c>
      <c r="K454" s="44" t="s">
        <v>1541</v>
      </c>
    </row>
    <row r="455" spans="1:11" x14ac:dyDescent="0.3">
      <c r="A455" s="126" t="s">
        <v>390</v>
      </c>
      <c r="B455" s="126" t="s">
        <v>8</v>
      </c>
      <c r="C455" s="53" t="s">
        <v>1754</v>
      </c>
      <c r="D455" s="53" t="s">
        <v>1755</v>
      </c>
      <c r="E455" s="131">
        <v>45803</v>
      </c>
      <c r="F455" s="127" t="s">
        <v>371</v>
      </c>
      <c r="G455" s="127" t="s">
        <v>864</v>
      </c>
      <c r="H455" s="54">
        <v>26986.73</v>
      </c>
      <c r="I455" s="138">
        <v>0.28899999999999998</v>
      </c>
      <c r="J455" s="44" t="s">
        <v>832</v>
      </c>
      <c r="K455" s="44" t="s">
        <v>1541</v>
      </c>
    </row>
    <row r="456" spans="1:11" x14ac:dyDescent="0.3">
      <c r="A456" s="126" t="s">
        <v>392</v>
      </c>
      <c r="B456" s="126" t="s">
        <v>8</v>
      </c>
      <c r="C456" s="53" t="s">
        <v>1756</v>
      </c>
      <c r="D456" s="53" t="s">
        <v>1757</v>
      </c>
      <c r="E456" s="131">
        <v>45803</v>
      </c>
      <c r="F456" s="127" t="s">
        <v>844</v>
      </c>
      <c r="G456" s="127" t="s">
        <v>863</v>
      </c>
      <c r="H456" s="54">
        <v>22772.41</v>
      </c>
      <c r="I456" s="138">
        <v>0.35699999999999998</v>
      </c>
      <c r="J456" s="44" t="s">
        <v>848</v>
      </c>
      <c r="K456" s="44" t="s">
        <v>1540</v>
      </c>
    </row>
    <row r="457" spans="1:11" x14ac:dyDescent="0.3">
      <c r="A457" s="126" t="s">
        <v>390</v>
      </c>
      <c r="B457" s="126" t="s">
        <v>8</v>
      </c>
      <c r="C457" s="53" t="s">
        <v>1758</v>
      </c>
      <c r="D457" s="53" t="s">
        <v>1531</v>
      </c>
      <c r="E457" s="131">
        <v>45803</v>
      </c>
      <c r="F457" s="127" t="s">
        <v>372</v>
      </c>
      <c r="G457" s="127" t="s">
        <v>10</v>
      </c>
      <c r="H457" s="54">
        <v>111078.38</v>
      </c>
      <c r="I457" s="138">
        <v>0.28799999999999998</v>
      </c>
      <c r="J457" s="44" t="s">
        <v>833</v>
      </c>
      <c r="K457" s="44" t="s">
        <v>1542</v>
      </c>
    </row>
    <row r="458" spans="1:11" x14ac:dyDescent="0.3">
      <c r="A458" s="126" t="s">
        <v>392</v>
      </c>
      <c r="B458" s="126" t="s">
        <v>8</v>
      </c>
      <c r="C458" s="53" t="s">
        <v>1759</v>
      </c>
      <c r="D458" s="53" t="s">
        <v>1760</v>
      </c>
      <c r="E458" s="131">
        <v>45804</v>
      </c>
      <c r="F458" s="127" t="s">
        <v>372</v>
      </c>
      <c r="G458" s="127" t="s">
        <v>10</v>
      </c>
      <c r="H458" s="54">
        <v>16542</v>
      </c>
      <c r="I458" s="138">
        <v>0.372</v>
      </c>
      <c r="J458" s="44" t="s">
        <v>848</v>
      </c>
      <c r="K458" s="44" t="s">
        <v>1540</v>
      </c>
    </row>
    <row r="459" spans="1:11" x14ac:dyDescent="0.3">
      <c r="A459" s="126" t="s">
        <v>390</v>
      </c>
      <c r="B459" s="126" t="s">
        <v>8</v>
      </c>
      <c r="C459" s="53" t="s">
        <v>1761</v>
      </c>
      <c r="D459" s="53" t="s">
        <v>1762</v>
      </c>
      <c r="E459" s="131">
        <v>45804</v>
      </c>
      <c r="F459" s="127" t="s">
        <v>371</v>
      </c>
      <c r="G459" s="127" t="s">
        <v>864</v>
      </c>
      <c r="H459" s="54">
        <v>90045.75</v>
      </c>
      <c r="I459" s="138">
        <v>0.17799999999999999</v>
      </c>
      <c r="J459" s="44" t="s">
        <v>832</v>
      </c>
      <c r="K459" s="44" t="s">
        <v>1541</v>
      </c>
    </row>
    <row r="460" spans="1:11" x14ac:dyDescent="0.3">
      <c r="A460" s="126" t="s">
        <v>392</v>
      </c>
      <c r="B460" s="126" t="s">
        <v>8</v>
      </c>
      <c r="C460" s="53" t="s">
        <v>1763</v>
      </c>
      <c r="D460" s="53" t="s">
        <v>1764</v>
      </c>
      <c r="E460" s="131">
        <v>45804</v>
      </c>
      <c r="F460" s="127" t="s">
        <v>370</v>
      </c>
      <c r="G460" s="127" t="s">
        <v>63</v>
      </c>
      <c r="H460" s="54">
        <v>10300</v>
      </c>
      <c r="I460" s="138">
        <v>0.58299999999999996</v>
      </c>
      <c r="J460" s="44" t="s">
        <v>830</v>
      </c>
      <c r="K460" s="44" t="s">
        <v>1540</v>
      </c>
    </row>
    <row r="461" spans="1:11" x14ac:dyDescent="0.3">
      <c r="A461" s="126" t="s">
        <v>392</v>
      </c>
      <c r="B461" s="126" t="s">
        <v>8</v>
      </c>
      <c r="C461" s="53" t="s">
        <v>1765</v>
      </c>
      <c r="D461" s="53" t="s">
        <v>1766</v>
      </c>
      <c r="E461" s="131">
        <v>45804</v>
      </c>
      <c r="F461" s="127" t="s">
        <v>370</v>
      </c>
      <c r="G461" s="127" t="s">
        <v>63</v>
      </c>
      <c r="H461" s="54">
        <v>10300</v>
      </c>
      <c r="I461" s="138">
        <v>0.58299999999999996</v>
      </c>
      <c r="J461" s="44" t="s">
        <v>830</v>
      </c>
      <c r="K461" s="44" t="s">
        <v>1540</v>
      </c>
    </row>
    <row r="462" spans="1:11" x14ac:dyDescent="0.3">
      <c r="A462" s="126" t="s">
        <v>392</v>
      </c>
      <c r="B462" s="126" t="s">
        <v>8</v>
      </c>
      <c r="C462" s="53" t="s">
        <v>1767</v>
      </c>
      <c r="D462" s="53" t="s">
        <v>1768</v>
      </c>
      <c r="E462" s="131">
        <v>45804</v>
      </c>
      <c r="F462" s="127" t="s">
        <v>370</v>
      </c>
      <c r="G462" s="127" t="s">
        <v>63</v>
      </c>
      <c r="H462" s="54">
        <v>8150</v>
      </c>
      <c r="I462" s="138">
        <v>0.50900000000000001</v>
      </c>
      <c r="J462" s="44" t="s">
        <v>830</v>
      </c>
      <c r="K462" s="44" t="s">
        <v>1540</v>
      </c>
    </row>
    <row r="463" spans="1:11" x14ac:dyDescent="0.3">
      <c r="A463" s="126" t="s">
        <v>392</v>
      </c>
      <c r="B463" s="126" t="s">
        <v>8</v>
      </c>
      <c r="C463" s="53" t="s">
        <v>1769</v>
      </c>
      <c r="D463" s="53" t="s">
        <v>1770</v>
      </c>
      <c r="E463" s="131">
        <v>45804</v>
      </c>
      <c r="F463" s="127" t="s">
        <v>370</v>
      </c>
      <c r="G463" s="127" t="s">
        <v>63</v>
      </c>
      <c r="H463" s="54">
        <v>15350</v>
      </c>
      <c r="I463" s="138">
        <v>0.68700000000000006</v>
      </c>
      <c r="J463" s="44" t="s">
        <v>830</v>
      </c>
      <c r="K463" s="44" t="s">
        <v>1540</v>
      </c>
    </row>
    <row r="464" spans="1:11" x14ac:dyDescent="0.3">
      <c r="A464" s="126" t="s">
        <v>392</v>
      </c>
      <c r="B464" s="126" t="s">
        <v>8</v>
      </c>
      <c r="C464" s="53" t="s">
        <v>1771</v>
      </c>
      <c r="D464" s="53" t="s">
        <v>1772</v>
      </c>
      <c r="E464" s="131">
        <v>45804</v>
      </c>
      <c r="F464" s="127" t="s">
        <v>370</v>
      </c>
      <c r="G464" s="127" t="s">
        <v>63</v>
      </c>
      <c r="H464" s="54">
        <v>15350</v>
      </c>
      <c r="I464" s="138">
        <v>0.68700000000000006</v>
      </c>
      <c r="J464" s="44" t="s">
        <v>830</v>
      </c>
      <c r="K464" s="44" t="s">
        <v>1540</v>
      </c>
    </row>
    <row r="465" spans="1:11" x14ac:dyDescent="0.3">
      <c r="A465" s="126" t="s">
        <v>392</v>
      </c>
      <c r="B465" s="126" t="s">
        <v>8</v>
      </c>
      <c r="C465" s="53" t="s">
        <v>1773</v>
      </c>
      <c r="D465" s="53" t="s">
        <v>1774</v>
      </c>
      <c r="E465" s="131">
        <v>45804</v>
      </c>
      <c r="F465" s="127" t="s">
        <v>370</v>
      </c>
      <c r="G465" s="127" t="s">
        <v>63</v>
      </c>
      <c r="H465" s="54">
        <v>8150</v>
      </c>
      <c r="I465" s="138">
        <v>0.50900000000000001</v>
      </c>
      <c r="J465" s="44" t="s">
        <v>830</v>
      </c>
      <c r="K465" s="44" t="s">
        <v>1540</v>
      </c>
    </row>
    <row r="466" spans="1:11" x14ac:dyDescent="0.3">
      <c r="A466" s="126" t="s">
        <v>392</v>
      </c>
      <c r="B466" s="126" t="s">
        <v>8</v>
      </c>
      <c r="C466" s="53" t="s">
        <v>1775</v>
      </c>
      <c r="D466" s="53" t="s">
        <v>1776</v>
      </c>
      <c r="E466" s="131">
        <v>45805</v>
      </c>
      <c r="F466" s="127" t="s">
        <v>842</v>
      </c>
      <c r="G466" s="127" t="s">
        <v>843</v>
      </c>
      <c r="H466" s="54">
        <v>22000</v>
      </c>
      <c r="I466" s="138">
        <v>0.47199999999999998</v>
      </c>
      <c r="J466" s="44" t="s">
        <v>1835</v>
      </c>
      <c r="K466" s="44" t="s">
        <v>1540</v>
      </c>
    </row>
    <row r="467" spans="1:11" x14ac:dyDescent="0.3">
      <c r="A467" s="126" t="s">
        <v>392</v>
      </c>
      <c r="B467" s="126" t="s">
        <v>8</v>
      </c>
      <c r="C467" s="53" t="s">
        <v>1777</v>
      </c>
      <c r="D467" s="53" t="s">
        <v>1778</v>
      </c>
      <c r="E467" s="131">
        <v>45805</v>
      </c>
      <c r="F467" s="127" t="s">
        <v>842</v>
      </c>
      <c r="G467" s="127" t="s">
        <v>843</v>
      </c>
      <c r="H467" s="54">
        <v>22000</v>
      </c>
      <c r="I467" s="138">
        <v>0.47499999999999998</v>
      </c>
      <c r="J467" s="44" t="s">
        <v>1835</v>
      </c>
      <c r="K467" s="44" t="s">
        <v>1540</v>
      </c>
    </row>
    <row r="468" spans="1:11" x14ac:dyDescent="0.3">
      <c r="A468" s="126" t="s">
        <v>392</v>
      </c>
      <c r="B468" s="126" t="s">
        <v>8</v>
      </c>
      <c r="C468" s="53" t="s">
        <v>1779</v>
      </c>
      <c r="D468" s="53" t="s">
        <v>1780</v>
      </c>
      <c r="E468" s="131">
        <v>45805</v>
      </c>
      <c r="F468" s="127" t="s">
        <v>842</v>
      </c>
      <c r="G468" s="127" t="s">
        <v>843</v>
      </c>
      <c r="H468" s="54">
        <v>22000</v>
      </c>
      <c r="I468" s="138">
        <v>0.47199999999999998</v>
      </c>
      <c r="J468" s="44" t="s">
        <v>1835</v>
      </c>
      <c r="K468" s="44" t="s">
        <v>1540</v>
      </c>
    </row>
    <row r="469" spans="1:11" x14ac:dyDescent="0.3">
      <c r="A469" s="126" t="s">
        <v>390</v>
      </c>
      <c r="B469" s="126" t="s">
        <v>8</v>
      </c>
      <c r="C469" s="53" t="s">
        <v>1781</v>
      </c>
      <c r="D469" s="53" t="s">
        <v>1782</v>
      </c>
      <c r="E469" s="131">
        <v>45805</v>
      </c>
      <c r="F469" s="127" t="s">
        <v>371</v>
      </c>
      <c r="G469" s="127" t="s">
        <v>864</v>
      </c>
      <c r="H469" s="54">
        <v>148420.28</v>
      </c>
      <c r="I469" s="138">
        <v>0.159</v>
      </c>
      <c r="J469" s="44" t="s">
        <v>832</v>
      </c>
      <c r="K469" s="44" t="s">
        <v>1541</v>
      </c>
    </row>
    <row r="470" spans="1:11" x14ac:dyDescent="0.3">
      <c r="A470" s="126" t="s">
        <v>390</v>
      </c>
      <c r="B470" s="126" t="s">
        <v>8</v>
      </c>
      <c r="C470" s="53" t="s">
        <v>1783</v>
      </c>
      <c r="D470" s="53" t="s">
        <v>716</v>
      </c>
      <c r="E470" s="131">
        <v>45805</v>
      </c>
      <c r="F470" s="127" t="s">
        <v>375</v>
      </c>
      <c r="G470" s="127" t="s">
        <v>62</v>
      </c>
      <c r="H470" s="54">
        <v>24605</v>
      </c>
      <c r="I470" s="138">
        <v>0.499</v>
      </c>
      <c r="J470" s="44" t="s">
        <v>831</v>
      </c>
      <c r="K470" s="44" t="s">
        <v>1542</v>
      </c>
    </row>
    <row r="471" spans="1:11" x14ac:dyDescent="0.3">
      <c r="A471" s="126" t="s">
        <v>390</v>
      </c>
      <c r="B471" s="126" t="s">
        <v>8</v>
      </c>
      <c r="C471" s="53" t="s">
        <v>1784</v>
      </c>
      <c r="D471" s="53" t="s">
        <v>716</v>
      </c>
      <c r="E471" s="131">
        <v>45805</v>
      </c>
      <c r="F471" s="127" t="s">
        <v>375</v>
      </c>
      <c r="G471" s="127" t="s">
        <v>62</v>
      </c>
      <c r="H471" s="54">
        <v>13361.75</v>
      </c>
      <c r="I471" s="138">
        <v>0.499</v>
      </c>
      <c r="J471" s="44" t="s">
        <v>831</v>
      </c>
      <c r="K471" s="44" t="s">
        <v>1542</v>
      </c>
    </row>
    <row r="472" spans="1:11" x14ac:dyDescent="0.3">
      <c r="A472" s="126" t="s">
        <v>390</v>
      </c>
      <c r="B472" s="126" t="s">
        <v>8</v>
      </c>
      <c r="C472" s="53" t="s">
        <v>1785</v>
      </c>
      <c r="D472" s="53" t="s">
        <v>1786</v>
      </c>
      <c r="E472" s="131">
        <v>45805</v>
      </c>
      <c r="F472" s="127" t="s">
        <v>371</v>
      </c>
      <c r="G472" s="127" t="s">
        <v>864</v>
      </c>
      <c r="H472" s="54">
        <v>20508.599999999999</v>
      </c>
      <c r="I472" s="138">
        <v>0.31900000000000001</v>
      </c>
      <c r="J472" s="44" t="s">
        <v>832</v>
      </c>
      <c r="K472" s="44" t="s">
        <v>1541</v>
      </c>
    </row>
    <row r="473" spans="1:11" x14ac:dyDescent="0.3">
      <c r="A473" s="126" t="s">
        <v>390</v>
      </c>
      <c r="B473" s="126" t="s">
        <v>8</v>
      </c>
      <c r="C473" s="53" t="s">
        <v>1787</v>
      </c>
      <c r="D473" s="53" t="s">
        <v>1788</v>
      </c>
      <c r="E473" s="131">
        <v>45805</v>
      </c>
      <c r="F473" s="127" t="s">
        <v>371</v>
      </c>
      <c r="G473" s="127" t="s">
        <v>864</v>
      </c>
      <c r="H473" s="54">
        <v>49042.49</v>
      </c>
      <c r="I473" s="138">
        <v>0.20300000000000001</v>
      </c>
      <c r="J473" s="44" t="s">
        <v>832</v>
      </c>
      <c r="K473" s="44" t="s">
        <v>1541</v>
      </c>
    </row>
    <row r="474" spans="1:11" x14ac:dyDescent="0.3">
      <c r="A474" s="126" t="s">
        <v>390</v>
      </c>
      <c r="B474" s="126" t="s">
        <v>8</v>
      </c>
      <c r="C474" s="53" t="s">
        <v>1789</v>
      </c>
      <c r="D474" s="53" t="s">
        <v>1790</v>
      </c>
      <c r="E474" s="131">
        <v>45805</v>
      </c>
      <c r="F474" s="127" t="s">
        <v>371</v>
      </c>
      <c r="G474" s="127" t="s">
        <v>864</v>
      </c>
      <c r="H474" s="54">
        <v>36244.36</v>
      </c>
      <c r="I474" s="138">
        <v>0.23400000000000001</v>
      </c>
      <c r="J474" s="44" t="s">
        <v>832</v>
      </c>
      <c r="K474" s="44" t="s">
        <v>1541</v>
      </c>
    </row>
    <row r="475" spans="1:11" x14ac:dyDescent="0.3">
      <c r="A475" s="126" t="s">
        <v>390</v>
      </c>
      <c r="B475" s="126" t="s">
        <v>8</v>
      </c>
      <c r="C475" s="53" t="s">
        <v>1791</v>
      </c>
      <c r="D475" s="53" t="s">
        <v>1792</v>
      </c>
      <c r="E475" s="131">
        <v>45805</v>
      </c>
      <c r="F475" s="127" t="s">
        <v>371</v>
      </c>
      <c r="G475" s="127" t="s">
        <v>864</v>
      </c>
      <c r="H475" s="54">
        <v>29091.05</v>
      </c>
      <c r="I475" s="138">
        <v>0.27700000000000002</v>
      </c>
      <c r="J475" s="44" t="s">
        <v>832</v>
      </c>
      <c r="K475" s="44" t="s">
        <v>1541</v>
      </c>
    </row>
    <row r="476" spans="1:11" x14ac:dyDescent="0.3">
      <c r="A476" s="126" t="s">
        <v>390</v>
      </c>
      <c r="B476" s="126" t="s">
        <v>8</v>
      </c>
      <c r="C476" s="53" t="s">
        <v>1793</v>
      </c>
      <c r="D476" s="53" t="s">
        <v>1794</v>
      </c>
      <c r="E476" s="131">
        <v>45805</v>
      </c>
      <c r="F476" s="127" t="s">
        <v>371</v>
      </c>
      <c r="G476" s="127" t="s">
        <v>864</v>
      </c>
      <c r="H476" s="54">
        <v>36655.730000000003</v>
      </c>
      <c r="I476" s="138">
        <v>0.247</v>
      </c>
      <c r="J476" s="44" t="s">
        <v>832</v>
      </c>
      <c r="K476" s="44" t="s">
        <v>1541</v>
      </c>
    </row>
    <row r="477" spans="1:11" x14ac:dyDescent="0.3">
      <c r="A477" s="126" t="s">
        <v>390</v>
      </c>
      <c r="B477" s="126" t="s">
        <v>8</v>
      </c>
      <c r="C477" s="53" t="s">
        <v>1795</v>
      </c>
      <c r="D477" s="53" t="s">
        <v>1796</v>
      </c>
      <c r="E477" s="131">
        <v>45805</v>
      </c>
      <c r="F477" s="127" t="s">
        <v>371</v>
      </c>
      <c r="G477" s="127" t="s">
        <v>864</v>
      </c>
      <c r="H477" s="54">
        <v>21062.57</v>
      </c>
      <c r="I477" s="138">
        <v>0.33300000000000002</v>
      </c>
      <c r="J477" s="44" t="s">
        <v>832</v>
      </c>
      <c r="K477" s="44" t="s">
        <v>1541</v>
      </c>
    </row>
    <row r="478" spans="1:11" x14ac:dyDescent="0.3">
      <c r="A478" s="126" t="s">
        <v>390</v>
      </c>
      <c r="B478" s="126" t="s">
        <v>8</v>
      </c>
      <c r="C478" s="53" t="s">
        <v>1797</v>
      </c>
      <c r="D478" s="53" t="s">
        <v>1798</v>
      </c>
      <c r="E478" s="131">
        <v>45806</v>
      </c>
      <c r="F478" s="127" t="s">
        <v>371</v>
      </c>
      <c r="G478" s="127" t="s">
        <v>864</v>
      </c>
      <c r="H478" s="54">
        <v>15232.79</v>
      </c>
      <c r="I478" s="138">
        <v>0.45700000000000002</v>
      </c>
      <c r="J478" s="44" t="s">
        <v>832</v>
      </c>
      <c r="K478" s="44" t="s">
        <v>1541</v>
      </c>
    </row>
    <row r="479" spans="1:11" x14ac:dyDescent="0.3">
      <c r="A479" s="126" t="s">
        <v>390</v>
      </c>
      <c r="B479" s="126" t="s">
        <v>8</v>
      </c>
      <c r="C479" s="53" t="s">
        <v>1799</v>
      </c>
      <c r="D479" s="53" t="s">
        <v>1800</v>
      </c>
      <c r="E479" s="131">
        <v>45806</v>
      </c>
      <c r="F479" s="127" t="s">
        <v>371</v>
      </c>
      <c r="G479" s="127" t="s">
        <v>864</v>
      </c>
      <c r="H479" s="54">
        <v>12734.67</v>
      </c>
      <c r="I479" s="138">
        <v>0.48199999999999998</v>
      </c>
      <c r="J479" s="44" t="s">
        <v>832</v>
      </c>
      <c r="K479" s="44" t="s">
        <v>1541</v>
      </c>
    </row>
    <row r="480" spans="1:11" x14ac:dyDescent="0.3">
      <c r="A480" s="126" t="s">
        <v>390</v>
      </c>
      <c r="B480" s="126" t="s">
        <v>8</v>
      </c>
      <c r="C480" s="53" t="s">
        <v>1801</v>
      </c>
      <c r="D480" s="53" t="s">
        <v>1802</v>
      </c>
      <c r="E480" s="131">
        <v>45806</v>
      </c>
      <c r="F480" s="127" t="s">
        <v>371</v>
      </c>
      <c r="G480" s="127" t="s">
        <v>864</v>
      </c>
      <c r="H480" s="54">
        <v>11772.39</v>
      </c>
      <c r="I480" s="138">
        <v>0.51100000000000001</v>
      </c>
      <c r="J480" s="44" t="s">
        <v>832</v>
      </c>
      <c r="K480" s="44" t="s">
        <v>1541</v>
      </c>
    </row>
    <row r="481" spans="1:11" x14ac:dyDescent="0.3">
      <c r="A481" s="126" t="s">
        <v>390</v>
      </c>
      <c r="B481" s="126" t="s">
        <v>8</v>
      </c>
      <c r="C481" s="53" t="s">
        <v>1803</v>
      </c>
      <c r="D481" s="53" t="s">
        <v>1804</v>
      </c>
      <c r="E481" s="131">
        <v>45807</v>
      </c>
      <c r="F481" s="127" t="s">
        <v>371</v>
      </c>
      <c r="G481" s="127" t="s">
        <v>864</v>
      </c>
      <c r="H481" s="54">
        <v>21809.1</v>
      </c>
      <c r="I481" s="138">
        <v>0.28399999999999997</v>
      </c>
      <c r="J481" s="44" t="s">
        <v>832</v>
      </c>
      <c r="K481" s="44" t="s">
        <v>1541</v>
      </c>
    </row>
    <row r="482" spans="1:11" x14ac:dyDescent="0.3">
      <c r="A482" s="126" t="s">
        <v>390</v>
      </c>
      <c r="B482" s="126" t="s">
        <v>8</v>
      </c>
      <c r="C482" s="53" t="s">
        <v>1805</v>
      </c>
      <c r="D482" s="53" t="s">
        <v>1806</v>
      </c>
      <c r="E482" s="131">
        <v>45807</v>
      </c>
      <c r="F482" s="127" t="s">
        <v>370</v>
      </c>
      <c r="G482" s="127" t="s">
        <v>63</v>
      </c>
      <c r="H482" s="54">
        <v>43500</v>
      </c>
      <c r="I482" s="138">
        <v>0.54300000000000004</v>
      </c>
      <c r="J482" s="44" t="s">
        <v>830</v>
      </c>
      <c r="K482" s="44" t="s">
        <v>1541</v>
      </c>
    </row>
    <row r="483" spans="1:11" x14ac:dyDescent="0.3">
      <c r="A483" s="126" t="s">
        <v>392</v>
      </c>
      <c r="B483" s="126" t="s">
        <v>8</v>
      </c>
      <c r="C483" s="53" t="s">
        <v>1807</v>
      </c>
      <c r="D483" s="53" t="s">
        <v>1808</v>
      </c>
      <c r="E483" s="131">
        <v>45807</v>
      </c>
      <c r="F483" s="127" t="s">
        <v>370</v>
      </c>
      <c r="G483" s="127" t="s">
        <v>63</v>
      </c>
      <c r="H483" s="54">
        <v>4200</v>
      </c>
      <c r="I483" s="138">
        <v>0.57099999999999995</v>
      </c>
      <c r="J483" s="44" t="s">
        <v>830</v>
      </c>
      <c r="K483" s="44" t="s">
        <v>1540</v>
      </c>
    </row>
    <row r="484" spans="1:11" x14ac:dyDescent="0.3">
      <c r="A484" s="126" t="s">
        <v>392</v>
      </c>
      <c r="B484" s="126" t="s">
        <v>8</v>
      </c>
      <c r="C484" s="53" t="s">
        <v>1809</v>
      </c>
      <c r="D484" s="53" t="s">
        <v>1810</v>
      </c>
      <c r="E484" s="131">
        <v>45807</v>
      </c>
      <c r="F484" s="127" t="s">
        <v>842</v>
      </c>
      <c r="G484" s="127" t="s">
        <v>843</v>
      </c>
      <c r="H484" s="54">
        <v>22000</v>
      </c>
      <c r="I484" s="138">
        <v>0.47499999999999998</v>
      </c>
      <c r="J484" s="44" t="s">
        <v>1835</v>
      </c>
      <c r="K484" s="44" t="s">
        <v>1540</v>
      </c>
    </row>
    <row r="485" spans="1:11" x14ac:dyDescent="0.3">
      <c r="A485" s="126" t="s">
        <v>392</v>
      </c>
      <c r="B485" s="126" t="s">
        <v>8</v>
      </c>
      <c r="C485" s="53" t="s">
        <v>1811</v>
      </c>
      <c r="D485" s="53" t="s">
        <v>1812</v>
      </c>
      <c r="E485" s="131">
        <v>45807</v>
      </c>
      <c r="F485" s="127" t="s">
        <v>842</v>
      </c>
      <c r="G485" s="127" t="s">
        <v>843</v>
      </c>
      <c r="H485" s="54">
        <v>22000</v>
      </c>
      <c r="I485" s="138">
        <v>0.47499999999999998</v>
      </c>
      <c r="J485" s="44" t="s">
        <v>1835</v>
      </c>
      <c r="K485" s="44" t="s">
        <v>1540</v>
      </c>
    </row>
    <row r="486" spans="1:11" x14ac:dyDescent="0.3">
      <c r="A486" s="126" t="s">
        <v>392</v>
      </c>
      <c r="B486" s="126" t="s">
        <v>8</v>
      </c>
      <c r="C486" s="53" t="s">
        <v>1813</v>
      </c>
      <c r="D486" s="53" t="s">
        <v>1814</v>
      </c>
      <c r="E486" s="131">
        <v>45807</v>
      </c>
      <c r="F486" s="127" t="s">
        <v>842</v>
      </c>
      <c r="G486" s="127" t="s">
        <v>843</v>
      </c>
      <c r="H486" s="54">
        <v>22000</v>
      </c>
      <c r="I486" s="138">
        <v>0.47299999999999998</v>
      </c>
      <c r="J486" s="44" t="s">
        <v>1835</v>
      </c>
      <c r="K486" s="44" t="s">
        <v>1540</v>
      </c>
    </row>
    <row r="487" spans="1:11" x14ac:dyDescent="0.3">
      <c r="A487" s="126" t="s">
        <v>392</v>
      </c>
      <c r="B487" s="126" t="s">
        <v>8</v>
      </c>
      <c r="C487" s="53" t="s">
        <v>1815</v>
      </c>
      <c r="D487" s="53" t="s">
        <v>1816</v>
      </c>
      <c r="E487" s="131">
        <v>45807</v>
      </c>
      <c r="F487" s="127" t="s">
        <v>842</v>
      </c>
      <c r="G487" s="127" t="s">
        <v>843</v>
      </c>
      <c r="H487" s="54">
        <v>22000</v>
      </c>
      <c r="I487" s="138">
        <v>0.47299999999999998</v>
      </c>
      <c r="J487" s="44" t="s">
        <v>1835</v>
      </c>
      <c r="K487" s="44" t="s">
        <v>1540</v>
      </c>
    </row>
    <row r="488" spans="1:11" x14ac:dyDescent="0.3">
      <c r="A488" s="126" t="s">
        <v>392</v>
      </c>
      <c r="B488" s="126" t="s">
        <v>8</v>
      </c>
      <c r="C488" s="53" t="s">
        <v>1817</v>
      </c>
      <c r="D488" s="53" t="s">
        <v>1818</v>
      </c>
      <c r="E488" s="131">
        <v>45807</v>
      </c>
      <c r="F488" s="127" t="s">
        <v>370</v>
      </c>
      <c r="G488" s="127" t="s">
        <v>63</v>
      </c>
      <c r="H488" s="54">
        <v>4200</v>
      </c>
      <c r="I488" s="138">
        <v>0.57099999999999995</v>
      </c>
      <c r="J488" s="44" t="s">
        <v>830</v>
      </c>
      <c r="K488" s="44" t="s">
        <v>1540</v>
      </c>
    </row>
    <row r="489" spans="1:11" x14ac:dyDescent="0.3">
      <c r="A489" s="126" t="s">
        <v>390</v>
      </c>
      <c r="B489" s="126" t="s">
        <v>8</v>
      </c>
      <c r="C489" s="53" t="s">
        <v>1819</v>
      </c>
      <c r="D489" s="53" t="s">
        <v>1820</v>
      </c>
      <c r="E489" s="131">
        <v>45808</v>
      </c>
      <c r="F489" s="127" t="s">
        <v>619</v>
      </c>
      <c r="G489" s="127" t="s">
        <v>16</v>
      </c>
      <c r="H489" s="54">
        <v>19500</v>
      </c>
      <c r="I489" s="138">
        <v>0.55600000000000005</v>
      </c>
      <c r="J489" s="44" t="s">
        <v>833</v>
      </c>
      <c r="K489" s="44" t="s">
        <v>1541</v>
      </c>
    </row>
    <row r="490" spans="1:11" x14ac:dyDescent="0.3">
      <c r="A490" s="126" t="s">
        <v>390</v>
      </c>
      <c r="B490" s="126" t="s">
        <v>8</v>
      </c>
      <c r="C490" s="53" t="s">
        <v>1821</v>
      </c>
      <c r="D490" s="53" t="s">
        <v>1822</v>
      </c>
      <c r="E490" s="131">
        <v>45785</v>
      </c>
      <c r="F490" s="127" t="s">
        <v>372</v>
      </c>
      <c r="G490" s="127" t="s">
        <v>10</v>
      </c>
      <c r="H490" s="54">
        <v>75797.724799999996</v>
      </c>
      <c r="I490" s="138">
        <v>0.28399999999999997</v>
      </c>
      <c r="J490" s="44" t="s">
        <v>833</v>
      </c>
      <c r="K490" s="44" t="s">
        <v>1542</v>
      </c>
    </row>
    <row r="491" spans="1:11" x14ac:dyDescent="0.3">
      <c r="A491" s="126" t="s">
        <v>390</v>
      </c>
      <c r="B491" s="126" t="s">
        <v>8</v>
      </c>
      <c r="C491" s="53" t="s">
        <v>1823</v>
      </c>
      <c r="D491" s="53" t="s">
        <v>1533</v>
      </c>
      <c r="E491" s="131">
        <v>45785</v>
      </c>
      <c r="F491" s="127" t="s">
        <v>1174</v>
      </c>
      <c r="G491" s="127" t="s">
        <v>857</v>
      </c>
      <c r="H491" s="54">
        <v>1469.1000000000001</v>
      </c>
      <c r="I491" s="138">
        <v>0.64900000000000002</v>
      </c>
      <c r="J491" s="44" t="s">
        <v>831</v>
      </c>
      <c r="K491" s="44" t="s">
        <v>1542</v>
      </c>
    </row>
    <row r="492" spans="1:11" x14ac:dyDescent="0.3">
      <c r="A492" s="126" t="s">
        <v>392</v>
      </c>
      <c r="B492" s="126" t="s">
        <v>8</v>
      </c>
      <c r="C492" s="53" t="s">
        <v>1824</v>
      </c>
      <c r="D492" s="53" t="s">
        <v>1825</v>
      </c>
      <c r="E492" s="131">
        <v>45800</v>
      </c>
      <c r="F492" s="127" t="s">
        <v>844</v>
      </c>
      <c r="G492" s="127" t="s">
        <v>863</v>
      </c>
      <c r="H492" s="54">
        <v>115936.20000000001</v>
      </c>
      <c r="I492" s="138">
        <v>0.159</v>
      </c>
      <c r="J492" s="44" t="s">
        <v>848</v>
      </c>
      <c r="K492" s="44" t="s">
        <v>1540</v>
      </c>
    </row>
    <row r="493" spans="1:11" x14ac:dyDescent="0.3">
      <c r="A493" s="126" t="s">
        <v>390</v>
      </c>
      <c r="B493" s="126" t="s">
        <v>8</v>
      </c>
      <c r="C493" s="53" t="s">
        <v>1826</v>
      </c>
      <c r="D493" s="53" t="s">
        <v>1827</v>
      </c>
      <c r="E493" s="131">
        <v>45805</v>
      </c>
      <c r="F493" s="127" t="s">
        <v>620</v>
      </c>
      <c r="G493" s="127" t="s">
        <v>622</v>
      </c>
      <c r="H493" s="54">
        <v>3846.7599999999998</v>
      </c>
      <c r="I493" s="138">
        <v>0.17</v>
      </c>
      <c r="J493" s="44" t="s">
        <v>831</v>
      </c>
      <c r="K493" s="44" t="s">
        <v>1541</v>
      </c>
    </row>
    <row r="494" spans="1:11" x14ac:dyDescent="0.3">
      <c r="A494" s="126" t="s">
        <v>390</v>
      </c>
      <c r="B494" s="126" t="s">
        <v>8</v>
      </c>
      <c r="C494" s="53" t="s">
        <v>1828</v>
      </c>
      <c r="D494" s="53" t="s">
        <v>1827</v>
      </c>
      <c r="E494" s="131">
        <v>45805</v>
      </c>
      <c r="F494" s="127" t="s">
        <v>620</v>
      </c>
      <c r="G494" s="127" t="s">
        <v>622</v>
      </c>
      <c r="H494" s="54">
        <v>71840.166379999995</v>
      </c>
      <c r="I494" s="138">
        <v>0.17</v>
      </c>
      <c r="J494" s="44" t="s">
        <v>831</v>
      </c>
      <c r="K494" s="44" t="s">
        <v>1541</v>
      </c>
    </row>
    <row r="495" spans="1:11" x14ac:dyDescent="0.3">
      <c r="A495" s="126" t="s">
        <v>390</v>
      </c>
      <c r="B495" s="126" t="s">
        <v>8</v>
      </c>
      <c r="C495" s="53" t="s">
        <v>1829</v>
      </c>
      <c r="D495" s="53" t="s">
        <v>1830</v>
      </c>
      <c r="E495" s="131">
        <v>45806</v>
      </c>
      <c r="F495" s="127" t="s">
        <v>1007</v>
      </c>
      <c r="G495" s="127" t="s">
        <v>865</v>
      </c>
      <c r="H495" s="54">
        <v>79734</v>
      </c>
      <c r="I495" s="138">
        <v>0.60299999999999998</v>
      </c>
      <c r="J495" s="44" t="s">
        <v>831</v>
      </c>
      <c r="K495" s="44" t="s">
        <v>1542</v>
      </c>
    </row>
    <row r="496" spans="1:11" x14ac:dyDescent="0.3">
      <c r="A496" s="126" t="s">
        <v>390</v>
      </c>
      <c r="B496" s="126" t="s">
        <v>8</v>
      </c>
      <c r="C496" s="53" t="s">
        <v>1831</v>
      </c>
      <c r="D496" s="53" t="s">
        <v>1832</v>
      </c>
      <c r="E496" s="131">
        <v>45807</v>
      </c>
      <c r="F496" s="127" t="s">
        <v>1175</v>
      </c>
      <c r="G496" s="127" t="s">
        <v>852</v>
      </c>
      <c r="H496" s="54">
        <v>2416</v>
      </c>
      <c r="I496" s="138">
        <v>0.65300000000000002</v>
      </c>
      <c r="J496" s="44" t="s">
        <v>831</v>
      </c>
      <c r="K496" s="44" t="s">
        <v>1542</v>
      </c>
    </row>
    <row r="497" spans="1:11" x14ac:dyDescent="0.3">
      <c r="A497" s="126" t="s">
        <v>390</v>
      </c>
      <c r="B497" s="126" t="s">
        <v>8</v>
      </c>
      <c r="C497" s="53" t="s">
        <v>1833</v>
      </c>
      <c r="D497" s="53" t="s">
        <v>1832</v>
      </c>
      <c r="E497" s="131">
        <v>45807</v>
      </c>
      <c r="F497" s="127" t="s">
        <v>1175</v>
      </c>
      <c r="G497" s="127" t="s">
        <v>852</v>
      </c>
      <c r="H497" s="54">
        <v>4735.3599999999997</v>
      </c>
      <c r="I497" s="138">
        <v>0.65300000000000002</v>
      </c>
      <c r="J497" s="44" t="s">
        <v>831</v>
      </c>
      <c r="K497" s="44" t="s">
        <v>1542</v>
      </c>
    </row>
    <row r="498" spans="1:11" x14ac:dyDescent="0.3">
      <c r="A498" s="126" t="s">
        <v>390</v>
      </c>
      <c r="B498" s="126" t="s">
        <v>49</v>
      </c>
      <c r="C498" s="53" t="s">
        <v>1836</v>
      </c>
      <c r="D498" s="53" t="s">
        <v>1906</v>
      </c>
      <c r="E498" s="131">
        <v>45811</v>
      </c>
      <c r="F498" s="127" t="s">
        <v>372</v>
      </c>
      <c r="G498" s="127" t="s">
        <v>10</v>
      </c>
      <c r="H498" s="54">
        <v>124396.66</v>
      </c>
      <c r="I498" s="138">
        <v>0.23100000000000001</v>
      </c>
      <c r="J498" s="44" t="s">
        <v>833</v>
      </c>
      <c r="K498" s="44" t="s">
        <v>1542</v>
      </c>
    </row>
    <row r="499" spans="1:11" x14ac:dyDescent="0.3">
      <c r="A499" s="126" t="s">
        <v>392</v>
      </c>
      <c r="B499" s="126" t="s">
        <v>49</v>
      </c>
      <c r="C499" s="53" t="s">
        <v>1837</v>
      </c>
      <c r="D499" s="53" t="s">
        <v>1907</v>
      </c>
      <c r="E499" s="131">
        <v>45812</v>
      </c>
      <c r="F499" s="127" t="s">
        <v>372</v>
      </c>
      <c r="G499" s="127" t="s">
        <v>10</v>
      </c>
      <c r="H499" s="54">
        <v>36044</v>
      </c>
      <c r="I499" s="138">
        <v>0.437</v>
      </c>
      <c r="J499" s="44" t="s">
        <v>848</v>
      </c>
      <c r="K499" s="44" t="s">
        <v>1540</v>
      </c>
    </row>
    <row r="500" spans="1:11" x14ac:dyDescent="0.3">
      <c r="A500" s="126" t="s">
        <v>390</v>
      </c>
      <c r="B500" s="126" t="s">
        <v>49</v>
      </c>
      <c r="C500" s="53" t="s">
        <v>1838</v>
      </c>
      <c r="D500" s="53" t="s">
        <v>1908</v>
      </c>
      <c r="E500" s="131">
        <v>45813</v>
      </c>
      <c r="F500" s="127" t="s">
        <v>371</v>
      </c>
      <c r="G500" s="127" t="s">
        <v>864</v>
      </c>
      <c r="H500" s="54">
        <v>24676.87</v>
      </c>
      <c r="I500" s="138">
        <v>0.26700000000000002</v>
      </c>
      <c r="J500" s="44" t="s">
        <v>832</v>
      </c>
      <c r="K500" s="44" t="s">
        <v>1541</v>
      </c>
    </row>
    <row r="501" spans="1:11" x14ac:dyDescent="0.3">
      <c r="A501" s="126" t="s">
        <v>392</v>
      </c>
      <c r="B501" s="126" t="s">
        <v>49</v>
      </c>
      <c r="C501" s="53" t="s">
        <v>1839</v>
      </c>
      <c r="D501" s="53" t="s">
        <v>1909</v>
      </c>
      <c r="E501" s="131">
        <v>45813</v>
      </c>
      <c r="F501" s="127" t="s">
        <v>370</v>
      </c>
      <c r="G501" s="127" t="s">
        <v>63</v>
      </c>
      <c r="H501" s="54">
        <v>11745</v>
      </c>
      <c r="I501" s="138">
        <v>0.69299999999999995</v>
      </c>
      <c r="J501" s="44" t="s">
        <v>848</v>
      </c>
      <c r="K501" s="44" t="s">
        <v>1540</v>
      </c>
    </row>
    <row r="502" spans="1:11" x14ac:dyDescent="0.3">
      <c r="A502" s="126" t="s">
        <v>390</v>
      </c>
      <c r="B502" s="126" t="s">
        <v>49</v>
      </c>
      <c r="C502" s="53" t="s">
        <v>1840</v>
      </c>
      <c r="D502" s="53" t="s">
        <v>1910</v>
      </c>
      <c r="E502" s="131">
        <v>45814</v>
      </c>
      <c r="F502" s="127" t="s">
        <v>371</v>
      </c>
      <c r="G502" s="127" t="s">
        <v>864</v>
      </c>
      <c r="H502" s="54">
        <v>44799.58</v>
      </c>
      <c r="I502" s="138">
        <v>0.161</v>
      </c>
      <c r="J502" s="44" t="s">
        <v>832</v>
      </c>
      <c r="K502" s="44" t="s">
        <v>1541</v>
      </c>
    </row>
    <row r="503" spans="1:11" x14ac:dyDescent="0.3">
      <c r="A503" s="126" t="s">
        <v>390</v>
      </c>
      <c r="B503" s="126" t="s">
        <v>49</v>
      </c>
      <c r="C503" s="53" t="s">
        <v>1841</v>
      </c>
      <c r="D503" s="53" t="s">
        <v>1911</v>
      </c>
      <c r="E503" s="131">
        <v>45814</v>
      </c>
      <c r="F503" s="127" t="s">
        <v>371</v>
      </c>
      <c r="G503" s="127" t="s">
        <v>864</v>
      </c>
      <c r="H503" s="54">
        <v>65236.39</v>
      </c>
      <c r="I503" s="138">
        <v>0.151</v>
      </c>
      <c r="J503" s="44" t="s">
        <v>832</v>
      </c>
      <c r="K503" s="44" t="s">
        <v>1541</v>
      </c>
    </row>
    <row r="504" spans="1:11" x14ac:dyDescent="0.3">
      <c r="A504" s="126" t="s">
        <v>390</v>
      </c>
      <c r="B504" s="126" t="s">
        <v>49</v>
      </c>
      <c r="C504" s="53" t="s">
        <v>1842</v>
      </c>
      <c r="D504" s="53" t="s">
        <v>1912</v>
      </c>
      <c r="E504" s="131">
        <v>45814</v>
      </c>
      <c r="F504" s="127" t="s">
        <v>371</v>
      </c>
      <c r="G504" s="127" t="s">
        <v>864</v>
      </c>
      <c r="H504" s="54">
        <v>25056.52</v>
      </c>
      <c r="I504" s="138">
        <v>0.26400000000000001</v>
      </c>
      <c r="J504" s="44" t="s">
        <v>832</v>
      </c>
      <c r="K504" s="44" t="s">
        <v>1541</v>
      </c>
    </row>
    <row r="505" spans="1:11" x14ac:dyDescent="0.3">
      <c r="A505" s="126" t="s">
        <v>392</v>
      </c>
      <c r="B505" s="126" t="s">
        <v>49</v>
      </c>
      <c r="C505" s="53" t="s">
        <v>1843</v>
      </c>
      <c r="D505" s="53" t="s">
        <v>1913</v>
      </c>
      <c r="E505" s="131">
        <v>45817</v>
      </c>
      <c r="F505" s="127" t="s">
        <v>372</v>
      </c>
      <c r="G505" s="127" t="s">
        <v>10</v>
      </c>
      <c r="H505" s="54">
        <v>41000</v>
      </c>
      <c r="I505" s="138">
        <v>0.38300000000000001</v>
      </c>
      <c r="J505" s="44" t="s">
        <v>848</v>
      </c>
      <c r="K505" s="44" t="s">
        <v>1540</v>
      </c>
    </row>
    <row r="506" spans="1:11" x14ac:dyDescent="0.3">
      <c r="A506" s="126" t="s">
        <v>392</v>
      </c>
      <c r="B506" s="126" t="s">
        <v>49</v>
      </c>
      <c r="C506" s="145" t="s">
        <v>1844</v>
      </c>
      <c r="D506" s="145" t="s">
        <v>1914</v>
      </c>
      <c r="E506" s="131">
        <v>45817</v>
      </c>
      <c r="F506" s="127" t="s">
        <v>371</v>
      </c>
      <c r="G506" s="127" t="s">
        <v>864</v>
      </c>
      <c r="H506" s="146">
        <v>7520</v>
      </c>
      <c r="I506" s="138">
        <v>0.86199999999999999</v>
      </c>
      <c r="J506" s="44" t="s">
        <v>848</v>
      </c>
      <c r="K506" s="44" t="s">
        <v>1540</v>
      </c>
    </row>
    <row r="507" spans="1:11" x14ac:dyDescent="0.3">
      <c r="A507" s="126" t="s">
        <v>392</v>
      </c>
      <c r="B507" s="126" t="s">
        <v>49</v>
      </c>
      <c r="C507" s="53" t="s">
        <v>1845</v>
      </c>
      <c r="D507" s="53" t="s">
        <v>1915</v>
      </c>
      <c r="E507" s="131">
        <v>45817</v>
      </c>
      <c r="F507" s="127" t="s">
        <v>374</v>
      </c>
      <c r="G507" s="127" t="s">
        <v>17</v>
      </c>
      <c r="H507" s="54">
        <v>4500</v>
      </c>
      <c r="I507" s="138">
        <v>0.6</v>
      </c>
      <c r="J507" s="44" t="s">
        <v>848</v>
      </c>
      <c r="K507" s="44" t="s">
        <v>1540</v>
      </c>
    </row>
    <row r="508" spans="1:11" x14ac:dyDescent="0.3">
      <c r="A508" s="126" t="s">
        <v>390</v>
      </c>
      <c r="B508" s="126" t="s">
        <v>49</v>
      </c>
      <c r="C508" s="53" t="s">
        <v>1846</v>
      </c>
      <c r="D508" s="53" t="s">
        <v>1916</v>
      </c>
      <c r="E508" s="131">
        <v>45817</v>
      </c>
      <c r="F508" s="127" t="s">
        <v>371</v>
      </c>
      <c r="G508" s="127" t="s">
        <v>864</v>
      </c>
      <c r="H508" s="54">
        <v>76942.94</v>
      </c>
      <c r="I508" s="138">
        <v>0.16600000000000001</v>
      </c>
      <c r="J508" s="44" t="s">
        <v>832</v>
      </c>
      <c r="K508" s="44" t="s">
        <v>1541</v>
      </c>
    </row>
    <row r="509" spans="1:11" x14ac:dyDescent="0.3">
      <c r="A509" s="126" t="s">
        <v>390</v>
      </c>
      <c r="B509" s="126" t="s">
        <v>49</v>
      </c>
      <c r="C509" s="53" t="s">
        <v>1847</v>
      </c>
      <c r="D509" s="53" t="s">
        <v>1917</v>
      </c>
      <c r="E509" s="131">
        <v>45818</v>
      </c>
      <c r="F509" s="127" t="s">
        <v>371</v>
      </c>
      <c r="G509" s="127" t="s">
        <v>864</v>
      </c>
      <c r="H509" s="54">
        <v>16281.75</v>
      </c>
      <c r="I509" s="138">
        <v>0.437</v>
      </c>
      <c r="J509" s="44" t="s">
        <v>832</v>
      </c>
      <c r="K509" s="44" t="s">
        <v>1541</v>
      </c>
    </row>
    <row r="510" spans="1:11" x14ac:dyDescent="0.3">
      <c r="A510" s="126" t="s">
        <v>390</v>
      </c>
      <c r="B510" s="126" t="s">
        <v>49</v>
      </c>
      <c r="C510" s="53" t="s">
        <v>1848</v>
      </c>
      <c r="D510" s="53" t="s">
        <v>1918</v>
      </c>
      <c r="E510" s="131">
        <v>45818</v>
      </c>
      <c r="F510" s="127" t="s">
        <v>370</v>
      </c>
      <c r="G510" s="127" t="s">
        <v>63</v>
      </c>
      <c r="H510" s="54">
        <v>32920</v>
      </c>
      <c r="I510" s="138">
        <v>0.55000000000000004</v>
      </c>
      <c r="J510" s="44" t="s">
        <v>1835</v>
      </c>
      <c r="K510" s="44" t="s">
        <v>1541</v>
      </c>
    </row>
    <row r="511" spans="1:11" x14ac:dyDescent="0.3">
      <c r="A511" s="126" t="s">
        <v>390</v>
      </c>
      <c r="B511" s="126" t="s">
        <v>49</v>
      </c>
      <c r="C511" s="53" t="s">
        <v>1849</v>
      </c>
      <c r="D511" s="53" t="s">
        <v>1919</v>
      </c>
      <c r="E511" s="131">
        <v>45818</v>
      </c>
      <c r="F511" s="127" t="s">
        <v>370</v>
      </c>
      <c r="G511" s="127" t="s">
        <v>63</v>
      </c>
      <c r="H511" s="54">
        <v>6800</v>
      </c>
      <c r="I511" s="138">
        <v>0.61199999999999999</v>
      </c>
      <c r="J511" s="44" t="s">
        <v>1835</v>
      </c>
      <c r="K511" s="44" t="s">
        <v>1541</v>
      </c>
    </row>
    <row r="512" spans="1:11" x14ac:dyDescent="0.3">
      <c r="A512" s="126" t="s">
        <v>392</v>
      </c>
      <c r="B512" s="126" t="s">
        <v>49</v>
      </c>
      <c r="C512" s="53" t="s">
        <v>1850</v>
      </c>
      <c r="D512" s="53" t="s">
        <v>1920</v>
      </c>
      <c r="E512" s="131">
        <v>45818</v>
      </c>
      <c r="F512" s="127" t="s">
        <v>842</v>
      </c>
      <c r="G512" s="127" t="s">
        <v>843</v>
      </c>
      <c r="H512" s="54">
        <v>22000</v>
      </c>
      <c r="I512" s="138">
        <v>0.47499999999999998</v>
      </c>
      <c r="J512" s="44" t="s">
        <v>1835</v>
      </c>
      <c r="K512" s="44" t="s">
        <v>1540</v>
      </c>
    </row>
    <row r="513" spans="1:11" x14ac:dyDescent="0.3">
      <c r="A513" s="126" t="s">
        <v>392</v>
      </c>
      <c r="B513" s="126" t="s">
        <v>49</v>
      </c>
      <c r="C513" s="53" t="s">
        <v>1851</v>
      </c>
      <c r="D513" s="53" t="s">
        <v>1921</v>
      </c>
      <c r="E513" s="131">
        <v>45818</v>
      </c>
      <c r="F513" s="127" t="s">
        <v>842</v>
      </c>
      <c r="G513" s="127" t="s">
        <v>843</v>
      </c>
      <c r="H513" s="54">
        <v>22000</v>
      </c>
      <c r="I513" s="138">
        <v>0.47499999999999998</v>
      </c>
      <c r="J513" s="44" t="s">
        <v>1835</v>
      </c>
      <c r="K513" s="44" t="s">
        <v>1540</v>
      </c>
    </row>
    <row r="514" spans="1:11" x14ac:dyDescent="0.3">
      <c r="A514" s="126" t="s">
        <v>392</v>
      </c>
      <c r="B514" s="126" t="s">
        <v>49</v>
      </c>
      <c r="C514" s="53" t="s">
        <v>1852</v>
      </c>
      <c r="D514" s="53" t="s">
        <v>1922</v>
      </c>
      <c r="E514" s="131">
        <v>45819</v>
      </c>
      <c r="F514" s="127" t="s">
        <v>842</v>
      </c>
      <c r="G514" s="127" t="s">
        <v>843</v>
      </c>
      <c r="H514" s="54">
        <v>22000</v>
      </c>
      <c r="I514" s="138">
        <v>0.435</v>
      </c>
      <c r="J514" s="44" t="s">
        <v>1835</v>
      </c>
      <c r="K514" s="44" t="s">
        <v>1540</v>
      </c>
    </row>
    <row r="515" spans="1:11" x14ac:dyDescent="0.3">
      <c r="A515" s="126" t="s">
        <v>390</v>
      </c>
      <c r="B515" s="126" t="s">
        <v>49</v>
      </c>
      <c r="C515" s="53" t="s">
        <v>1853</v>
      </c>
      <c r="D515" s="53" t="s">
        <v>1710</v>
      </c>
      <c r="E515" s="131">
        <v>45820</v>
      </c>
      <c r="F515" s="127" t="s">
        <v>371</v>
      </c>
      <c r="G515" s="127" t="s">
        <v>864</v>
      </c>
      <c r="H515" s="54">
        <v>3000</v>
      </c>
      <c r="I515" s="138">
        <v>0.68400000000000005</v>
      </c>
      <c r="J515" s="44" t="s">
        <v>832</v>
      </c>
      <c r="K515" s="44" t="s">
        <v>1541</v>
      </c>
    </row>
    <row r="516" spans="1:11" x14ac:dyDescent="0.3">
      <c r="A516" s="126" t="s">
        <v>392</v>
      </c>
      <c r="B516" s="126" t="s">
        <v>49</v>
      </c>
      <c r="C516" s="53" t="s">
        <v>1854</v>
      </c>
      <c r="D516" s="53" t="s">
        <v>1923</v>
      </c>
      <c r="E516" s="131">
        <v>45821</v>
      </c>
      <c r="F516" s="127" t="s">
        <v>842</v>
      </c>
      <c r="G516" s="127" t="s">
        <v>843</v>
      </c>
      <c r="H516" s="54">
        <v>22000</v>
      </c>
      <c r="I516" s="138">
        <v>0.437</v>
      </c>
      <c r="J516" s="44" t="s">
        <v>1835</v>
      </c>
      <c r="K516" s="44" t="s">
        <v>1540</v>
      </c>
    </row>
    <row r="517" spans="1:11" x14ac:dyDescent="0.3">
      <c r="A517" s="126" t="s">
        <v>392</v>
      </c>
      <c r="B517" s="126" t="s">
        <v>49</v>
      </c>
      <c r="C517" s="53" t="s">
        <v>1855</v>
      </c>
      <c r="D517" s="53" t="s">
        <v>1924</v>
      </c>
      <c r="E517" s="131">
        <v>45821</v>
      </c>
      <c r="F517" s="127" t="s">
        <v>842</v>
      </c>
      <c r="G517" s="127" t="s">
        <v>843</v>
      </c>
      <c r="H517" s="54">
        <v>22000</v>
      </c>
      <c r="I517" s="138">
        <v>0.437</v>
      </c>
      <c r="J517" s="44" t="s">
        <v>1835</v>
      </c>
      <c r="K517" s="44" t="s">
        <v>1540</v>
      </c>
    </row>
    <row r="518" spans="1:11" x14ac:dyDescent="0.3">
      <c r="A518" s="126" t="s">
        <v>392</v>
      </c>
      <c r="B518" s="126" t="s">
        <v>49</v>
      </c>
      <c r="C518" s="53" t="s">
        <v>1856</v>
      </c>
      <c r="D518" s="53" t="s">
        <v>1925</v>
      </c>
      <c r="E518" s="131">
        <v>45824</v>
      </c>
      <c r="F518" s="127" t="s">
        <v>370</v>
      </c>
      <c r="G518" s="127" t="s">
        <v>63</v>
      </c>
      <c r="H518" s="54">
        <v>5575</v>
      </c>
      <c r="I518" s="138">
        <v>0.67700000000000005</v>
      </c>
      <c r="J518" s="44" t="s">
        <v>848</v>
      </c>
      <c r="K518" s="44" t="s">
        <v>1540</v>
      </c>
    </row>
    <row r="519" spans="1:11" x14ac:dyDescent="0.3">
      <c r="A519" s="126" t="s">
        <v>392</v>
      </c>
      <c r="B519" s="126" t="s">
        <v>49</v>
      </c>
      <c r="C519" s="53" t="s">
        <v>1857</v>
      </c>
      <c r="D519" s="53" t="s">
        <v>1926</v>
      </c>
      <c r="E519" s="131">
        <v>45824</v>
      </c>
      <c r="F519" s="127" t="s">
        <v>370</v>
      </c>
      <c r="G519" s="127" t="s">
        <v>63</v>
      </c>
      <c r="H519" s="54">
        <v>22900</v>
      </c>
      <c r="I519" s="138">
        <v>0.68100000000000005</v>
      </c>
      <c r="J519" s="44" t="s">
        <v>848</v>
      </c>
      <c r="K519" s="44" t="s">
        <v>1540</v>
      </c>
    </row>
    <row r="520" spans="1:11" x14ac:dyDescent="0.3">
      <c r="A520" s="126" t="s">
        <v>392</v>
      </c>
      <c r="B520" s="126" t="s">
        <v>49</v>
      </c>
      <c r="C520" s="145" t="s">
        <v>1858</v>
      </c>
      <c r="D520" s="145" t="s">
        <v>1927</v>
      </c>
      <c r="E520" s="131">
        <v>45824</v>
      </c>
      <c r="F520" s="127" t="s">
        <v>371</v>
      </c>
      <c r="G520" s="127" t="s">
        <v>864</v>
      </c>
      <c r="H520" s="146">
        <v>7800</v>
      </c>
      <c r="I520" s="138">
        <v>0.80300000000000005</v>
      </c>
      <c r="J520" s="44" t="s">
        <v>848</v>
      </c>
      <c r="K520" s="44" t="s">
        <v>1540</v>
      </c>
    </row>
    <row r="521" spans="1:11" x14ac:dyDescent="0.3">
      <c r="A521" s="126" t="s">
        <v>392</v>
      </c>
      <c r="B521" s="126" t="s">
        <v>49</v>
      </c>
      <c r="C521" s="53" t="s">
        <v>1859</v>
      </c>
      <c r="D521" s="53" t="s">
        <v>1928</v>
      </c>
      <c r="E521" s="131">
        <v>45824</v>
      </c>
      <c r="F521" s="127" t="s">
        <v>842</v>
      </c>
      <c r="G521" s="127" t="s">
        <v>843</v>
      </c>
      <c r="H521" s="54">
        <v>22000</v>
      </c>
      <c r="I521" s="138">
        <v>0.47699999999999998</v>
      </c>
      <c r="J521" s="44" t="s">
        <v>1835</v>
      </c>
      <c r="K521" s="44" t="s">
        <v>1540</v>
      </c>
    </row>
    <row r="522" spans="1:11" x14ac:dyDescent="0.3">
      <c r="A522" s="126" t="s">
        <v>392</v>
      </c>
      <c r="B522" s="126" t="s">
        <v>49</v>
      </c>
      <c r="C522" s="145" t="s">
        <v>1860</v>
      </c>
      <c r="D522" s="145" t="s">
        <v>1929</v>
      </c>
      <c r="E522" s="131">
        <v>45824</v>
      </c>
      <c r="F522" s="127" t="s">
        <v>371</v>
      </c>
      <c r="G522" s="127" t="s">
        <v>864</v>
      </c>
      <c r="H522" s="146">
        <v>7520</v>
      </c>
      <c r="I522" s="138">
        <v>0.86199999999999999</v>
      </c>
      <c r="J522" s="44" t="s">
        <v>848</v>
      </c>
      <c r="K522" s="44" t="s">
        <v>1540</v>
      </c>
    </row>
    <row r="523" spans="1:11" x14ac:dyDescent="0.3">
      <c r="A523" s="126" t="s">
        <v>392</v>
      </c>
      <c r="B523" s="126" t="s">
        <v>49</v>
      </c>
      <c r="C523" s="145" t="s">
        <v>1861</v>
      </c>
      <c r="D523" s="145" t="s">
        <v>1930</v>
      </c>
      <c r="E523" s="131">
        <v>45825</v>
      </c>
      <c r="F523" s="127" t="s">
        <v>371</v>
      </c>
      <c r="G523" s="127" t="s">
        <v>864</v>
      </c>
      <c r="H523" s="146">
        <v>7520</v>
      </c>
      <c r="I523" s="138">
        <v>0.86199999999999999</v>
      </c>
      <c r="J523" s="44" t="s">
        <v>848</v>
      </c>
      <c r="K523" s="44" t="s">
        <v>1540</v>
      </c>
    </row>
    <row r="524" spans="1:11" x14ac:dyDescent="0.3">
      <c r="A524" s="126" t="s">
        <v>390</v>
      </c>
      <c r="B524" s="126" t="s">
        <v>49</v>
      </c>
      <c r="C524" s="53" t="s">
        <v>1862</v>
      </c>
      <c r="D524" s="53" t="s">
        <v>1931</v>
      </c>
      <c r="E524" s="131">
        <v>45825</v>
      </c>
      <c r="F524" s="127" t="s">
        <v>371</v>
      </c>
      <c r="G524" s="127" t="s">
        <v>864</v>
      </c>
      <c r="H524" s="54">
        <v>31895.84</v>
      </c>
      <c r="I524" s="138">
        <v>0.17100000000000001</v>
      </c>
      <c r="J524" s="44" t="s">
        <v>832</v>
      </c>
      <c r="K524" s="44" t="s">
        <v>1541</v>
      </c>
    </row>
    <row r="525" spans="1:11" x14ac:dyDescent="0.3">
      <c r="A525" s="126" t="s">
        <v>390</v>
      </c>
      <c r="B525" s="126" t="s">
        <v>49</v>
      </c>
      <c r="C525" s="53" t="s">
        <v>1863</v>
      </c>
      <c r="D525" s="53" t="s">
        <v>1932</v>
      </c>
      <c r="E525" s="131">
        <v>45825</v>
      </c>
      <c r="F525" s="127" t="s">
        <v>371</v>
      </c>
      <c r="G525" s="127" t="s">
        <v>864</v>
      </c>
      <c r="H525" s="54">
        <v>54294.74</v>
      </c>
      <c r="I525" s="138">
        <v>0.154</v>
      </c>
      <c r="J525" s="44" t="s">
        <v>832</v>
      </c>
      <c r="K525" s="44" t="s">
        <v>1541</v>
      </c>
    </row>
    <row r="526" spans="1:11" x14ac:dyDescent="0.3">
      <c r="A526" s="126" t="s">
        <v>390</v>
      </c>
      <c r="B526" s="126" t="s">
        <v>49</v>
      </c>
      <c r="C526" s="53" t="s">
        <v>1864</v>
      </c>
      <c r="D526" s="53" t="s">
        <v>1933</v>
      </c>
      <c r="E526" s="131">
        <v>45825</v>
      </c>
      <c r="F526" s="127" t="s">
        <v>371</v>
      </c>
      <c r="G526" s="127" t="s">
        <v>864</v>
      </c>
      <c r="H526" s="54">
        <v>13005.48</v>
      </c>
      <c r="I526" s="138">
        <v>0.23</v>
      </c>
      <c r="J526" s="44" t="s">
        <v>832</v>
      </c>
      <c r="K526" s="44" t="s">
        <v>1541</v>
      </c>
    </row>
    <row r="527" spans="1:11" x14ac:dyDescent="0.3">
      <c r="A527" s="126" t="s">
        <v>390</v>
      </c>
      <c r="B527" s="126" t="s">
        <v>49</v>
      </c>
      <c r="C527" s="53" t="s">
        <v>1865</v>
      </c>
      <c r="D527" s="53" t="s">
        <v>1934</v>
      </c>
      <c r="E527" s="131">
        <v>45825</v>
      </c>
      <c r="F527" s="127" t="s">
        <v>371</v>
      </c>
      <c r="G527" s="127" t="s">
        <v>864</v>
      </c>
      <c r="H527" s="54">
        <v>24254.34</v>
      </c>
      <c r="I527" s="138">
        <v>0.22900000000000001</v>
      </c>
      <c r="J527" s="44" t="s">
        <v>832</v>
      </c>
      <c r="K527" s="44" t="s">
        <v>1541</v>
      </c>
    </row>
    <row r="528" spans="1:11" x14ac:dyDescent="0.3">
      <c r="A528" s="126" t="s">
        <v>390</v>
      </c>
      <c r="B528" s="126" t="s">
        <v>49</v>
      </c>
      <c r="C528" s="53" t="s">
        <v>1866</v>
      </c>
      <c r="D528" s="53" t="s">
        <v>1935</v>
      </c>
      <c r="E528" s="131">
        <v>45826</v>
      </c>
      <c r="F528" s="127" t="s">
        <v>371</v>
      </c>
      <c r="G528" s="127" t="s">
        <v>864</v>
      </c>
      <c r="H528" s="54">
        <v>34280.11</v>
      </c>
      <c r="I528" s="138">
        <v>0.16800000000000001</v>
      </c>
      <c r="J528" s="44" t="s">
        <v>832</v>
      </c>
      <c r="K528" s="44" t="s">
        <v>1541</v>
      </c>
    </row>
    <row r="529" spans="1:11" x14ac:dyDescent="0.3">
      <c r="A529" s="126" t="s">
        <v>392</v>
      </c>
      <c r="B529" s="126" t="s">
        <v>49</v>
      </c>
      <c r="C529" s="53" t="s">
        <v>1867</v>
      </c>
      <c r="D529" s="53" t="s">
        <v>1936</v>
      </c>
      <c r="E529" s="131">
        <v>45826</v>
      </c>
      <c r="F529" s="127" t="s">
        <v>370</v>
      </c>
      <c r="G529" s="127" t="s">
        <v>63</v>
      </c>
      <c r="H529" s="54">
        <v>8150</v>
      </c>
      <c r="I529" s="138">
        <v>0.64400000000000002</v>
      </c>
      <c r="J529" s="44" t="s">
        <v>848</v>
      </c>
      <c r="K529" s="44" t="s">
        <v>1540</v>
      </c>
    </row>
    <row r="530" spans="1:11" x14ac:dyDescent="0.3">
      <c r="A530" s="126" t="s">
        <v>392</v>
      </c>
      <c r="B530" s="126" t="s">
        <v>49</v>
      </c>
      <c r="C530" s="53" t="s">
        <v>1868</v>
      </c>
      <c r="D530" s="53" t="s">
        <v>1937</v>
      </c>
      <c r="E530" s="131">
        <v>45826</v>
      </c>
      <c r="F530" s="127" t="s">
        <v>370</v>
      </c>
      <c r="G530" s="127" t="s">
        <v>63</v>
      </c>
      <c r="H530" s="54">
        <v>8150</v>
      </c>
      <c r="I530" s="138">
        <v>0.64400000000000002</v>
      </c>
      <c r="J530" s="44" t="s">
        <v>848</v>
      </c>
      <c r="K530" s="44" t="s">
        <v>1540</v>
      </c>
    </row>
    <row r="531" spans="1:11" x14ac:dyDescent="0.3">
      <c r="A531" s="126" t="s">
        <v>392</v>
      </c>
      <c r="B531" s="126" t="s">
        <v>49</v>
      </c>
      <c r="C531" s="53" t="s">
        <v>1869</v>
      </c>
      <c r="D531" s="53" t="s">
        <v>1938</v>
      </c>
      <c r="E531" s="131">
        <v>45828</v>
      </c>
      <c r="F531" s="127" t="s">
        <v>842</v>
      </c>
      <c r="G531" s="127" t="s">
        <v>843</v>
      </c>
      <c r="H531" s="54">
        <v>22000</v>
      </c>
      <c r="I531" s="138">
        <v>0.47699999999999998</v>
      </c>
      <c r="J531" s="44" t="s">
        <v>1835</v>
      </c>
      <c r="K531" s="44" t="s">
        <v>1540</v>
      </c>
    </row>
    <row r="532" spans="1:11" x14ac:dyDescent="0.3">
      <c r="A532" s="126" t="s">
        <v>392</v>
      </c>
      <c r="B532" s="126" t="s">
        <v>49</v>
      </c>
      <c r="C532" s="53" t="s">
        <v>1870</v>
      </c>
      <c r="D532" s="53" t="s">
        <v>1939</v>
      </c>
      <c r="E532" s="131">
        <v>45828</v>
      </c>
      <c r="F532" s="127" t="s">
        <v>842</v>
      </c>
      <c r="G532" s="127" t="s">
        <v>843</v>
      </c>
      <c r="H532" s="54">
        <v>22000</v>
      </c>
      <c r="I532" s="138">
        <v>0.439</v>
      </c>
      <c r="J532" s="44" t="s">
        <v>1977</v>
      </c>
      <c r="K532" s="44" t="s">
        <v>1540</v>
      </c>
    </row>
    <row r="533" spans="1:11" x14ac:dyDescent="0.3">
      <c r="A533" s="126" t="s">
        <v>392</v>
      </c>
      <c r="B533" s="126" t="s">
        <v>49</v>
      </c>
      <c r="C533" s="53" t="s">
        <v>1871</v>
      </c>
      <c r="D533" s="53" t="s">
        <v>1940</v>
      </c>
      <c r="E533" s="131">
        <v>45828</v>
      </c>
      <c r="F533" s="127" t="s">
        <v>842</v>
      </c>
      <c r="G533" s="127" t="s">
        <v>843</v>
      </c>
      <c r="H533" s="54">
        <v>22000</v>
      </c>
      <c r="I533" s="138">
        <v>0.438</v>
      </c>
      <c r="J533" s="44" t="s">
        <v>1835</v>
      </c>
      <c r="K533" s="44" t="s">
        <v>1540</v>
      </c>
    </row>
    <row r="534" spans="1:11" x14ac:dyDescent="0.3">
      <c r="A534" s="126" t="s">
        <v>390</v>
      </c>
      <c r="B534" s="126" t="s">
        <v>49</v>
      </c>
      <c r="C534" s="53" t="s">
        <v>1872</v>
      </c>
      <c r="D534" s="53" t="s">
        <v>1941</v>
      </c>
      <c r="E534" s="131">
        <v>45828</v>
      </c>
      <c r="F534" s="127" t="s">
        <v>372</v>
      </c>
      <c r="G534" s="127" t="s">
        <v>10</v>
      </c>
      <c r="H534" s="54">
        <v>73548</v>
      </c>
      <c r="I534" s="138">
        <v>0.20799999999999999</v>
      </c>
      <c r="J534" s="44" t="s">
        <v>833</v>
      </c>
      <c r="K534" s="44" t="s">
        <v>1542</v>
      </c>
    </row>
    <row r="535" spans="1:11" x14ac:dyDescent="0.3">
      <c r="A535" s="126" t="s">
        <v>392</v>
      </c>
      <c r="B535" s="126" t="s">
        <v>49</v>
      </c>
      <c r="C535" s="53" t="s">
        <v>1873</v>
      </c>
      <c r="D535" s="53" t="s">
        <v>1942</v>
      </c>
      <c r="E535" s="131">
        <v>45831</v>
      </c>
      <c r="F535" s="127" t="s">
        <v>372</v>
      </c>
      <c r="G535" s="127" t="s">
        <v>10</v>
      </c>
      <c r="H535" s="54">
        <v>24750</v>
      </c>
      <c r="I535" s="138">
        <v>0.42</v>
      </c>
      <c r="J535" s="44" t="s">
        <v>848</v>
      </c>
      <c r="K535" s="44" t="s">
        <v>1540</v>
      </c>
    </row>
    <row r="536" spans="1:11" x14ac:dyDescent="0.3">
      <c r="A536" s="126" t="s">
        <v>392</v>
      </c>
      <c r="B536" s="126" t="s">
        <v>49</v>
      </c>
      <c r="C536" s="53" t="s">
        <v>1874</v>
      </c>
      <c r="D536" s="53" t="s">
        <v>1943</v>
      </c>
      <c r="E536" s="131">
        <v>45831</v>
      </c>
      <c r="F536" s="127" t="s">
        <v>372</v>
      </c>
      <c r="G536" s="127" t="s">
        <v>10</v>
      </c>
      <c r="H536" s="54">
        <v>24250</v>
      </c>
      <c r="I536" s="138">
        <v>0.40799999999999997</v>
      </c>
      <c r="J536" s="44" t="s">
        <v>848</v>
      </c>
      <c r="K536" s="44" t="s">
        <v>1540</v>
      </c>
    </row>
    <row r="537" spans="1:11" x14ac:dyDescent="0.3">
      <c r="A537" s="126" t="s">
        <v>392</v>
      </c>
      <c r="B537" s="126" t="s">
        <v>49</v>
      </c>
      <c r="C537" s="53" t="s">
        <v>1875</v>
      </c>
      <c r="D537" s="53" t="s">
        <v>1944</v>
      </c>
      <c r="E537" s="131">
        <v>45831</v>
      </c>
      <c r="F537" s="127" t="s">
        <v>372</v>
      </c>
      <c r="G537" s="127" t="s">
        <v>10</v>
      </c>
      <c r="H537" s="54">
        <v>41700</v>
      </c>
      <c r="I537" s="138">
        <v>0.40899999999999997</v>
      </c>
      <c r="J537" s="44" t="s">
        <v>848</v>
      </c>
      <c r="K537" s="44" t="s">
        <v>1540</v>
      </c>
    </row>
    <row r="538" spans="1:11" x14ac:dyDescent="0.3">
      <c r="A538" s="126" t="s">
        <v>390</v>
      </c>
      <c r="B538" s="126" t="s">
        <v>49</v>
      </c>
      <c r="C538" s="53" t="s">
        <v>1876</v>
      </c>
      <c r="D538" s="53" t="s">
        <v>1945</v>
      </c>
      <c r="E538" s="131">
        <v>45831</v>
      </c>
      <c r="F538" s="127" t="s">
        <v>372</v>
      </c>
      <c r="G538" s="127" t="s">
        <v>10</v>
      </c>
      <c r="H538" s="54">
        <v>107397.75</v>
      </c>
      <c r="I538" s="138">
        <v>0.28299999999999997</v>
      </c>
      <c r="J538" s="44" t="s">
        <v>833</v>
      </c>
      <c r="K538" s="44" t="s">
        <v>1542</v>
      </c>
    </row>
    <row r="539" spans="1:11" x14ac:dyDescent="0.3">
      <c r="A539" s="126" t="s">
        <v>390</v>
      </c>
      <c r="B539" s="126" t="s">
        <v>49</v>
      </c>
      <c r="C539" s="53" t="s">
        <v>1877</v>
      </c>
      <c r="D539" s="53" t="s">
        <v>1946</v>
      </c>
      <c r="E539" s="131">
        <v>45831</v>
      </c>
      <c r="F539" s="127" t="s">
        <v>371</v>
      </c>
      <c r="G539" s="127" t="s">
        <v>864</v>
      </c>
      <c r="H539" s="54">
        <v>15529.65</v>
      </c>
      <c r="I539" s="138">
        <v>0.17100000000000001</v>
      </c>
      <c r="J539" s="44" t="s">
        <v>832</v>
      </c>
      <c r="K539" s="44" t="s">
        <v>1541</v>
      </c>
    </row>
    <row r="540" spans="1:11" x14ac:dyDescent="0.3">
      <c r="A540" s="126" t="s">
        <v>392</v>
      </c>
      <c r="B540" s="126" t="s">
        <v>49</v>
      </c>
      <c r="C540" s="53" t="s">
        <v>1878</v>
      </c>
      <c r="D540" s="53" t="s">
        <v>1947</v>
      </c>
      <c r="E540" s="131">
        <v>45831</v>
      </c>
      <c r="F540" s="127" t="s">
        <v>842</v>
      </c>
      <c r="G540" s="127" t="s">
        <v>843</v>
      </c>
      <c r="H540" s="54">
        <v>22000</v>
      </c>
      <c r="I540" s="138">
        <v>0.48399999999999999</v>
      </c>
      <c r="J540" s="44" t="s">
        <v>1977</v>
      </c>
      <c r="K540" s="44" t="s">
        <v>1540</v>
      </c>
    </row>
    <row r="541" spans="1:11" x14ac:dyDescent="0.3">
      <c r="A541" s="126" t="s">
        <v>390</v>
      </c>
      <c r="B541" s="126" t="s">
        <v>49</v>
      </c>
      <c r="C541" s="53" t="s">
        <v>1879</v>
      </c>
      <c r="D541" s="53" t="s">
        <v>1948</v>
      </c>
      <c r="E541" s="131">
        <v>45831</v>
      </c>
      <c r="F541" s="127" t="s">
        <v>370</v>
      </c>
      <c r="G541" s="127" t="s">
        <v>63</v>
      </c>
      <c r="H541" s="54">
        <v>16080</v>
      </c>
      <c r="I541" s="138">
        <v>0.57899999999999996</v>
      </c>
      <c r="J541" s="44" t="s">
        <v>1835</v>
      </c>
      <c r="K541" s="44" t="s">
        <v>1541</v>
      </c>
    </row>
    <row r="542" spans="1:11" x14ac:dyDescent="0.3">
      <c r="A542" s="126" t="s">
        <v>390</v>
      </c>
      <c r="B542" s="126" t="s">
        <v>49</v>
      </c>
      <c r="C542" s="53" t="s">
        <v>1880</v>
      </c>
      <c r="D542" s="53" t="s">
        <v>1949</v>
      </c>
      <c r="E542" s="131">
        <v>45832</v>
      </c>
      <c r="F542" s="127" t="s">
        <v>371</v>
      </c>
      <c r="G542" s="127" t="s">
        <v>864</v>
      </c>
      <c r="H542" s="54">
        <v>14046.15</v>
      </c>
      <c r="I542" s="138">
        <v>0.20399999999999999</v>
      </c>
      <c r="J542" s="44" t="s">
        <v>832</v>
      </c>
      <c r="K542" s="44" t="s">
        <v>1541</v>
      </c>
    </row>
    <row r="543" spans="1:11" x14ac:dyDescent="0.3">
      <c r="A543" s="126" t="s">
        <v>392</v>
      </c>
      <c r="B543" s="126" t="s">
        <v>49</v>
      </c>
      <c r="C543" s="53" t="s">
        <v>1881</v>
      </c>
      <c r="D543" s="53" t="s">
        <v>1950</v>
      </c>
      <c r="E543" s="131">
        <v>45833</v>
      </c>
      <c r="F543" s="127" t="s">
        <v>370</v>
      </c>
      <c r="G543" s="127" t="s">
        <v>63</v>
      </c>
      <c r="H543" s="54">
        <v>18200</v>
      </c>
      <c r="I543" s="138">
        <v>0.61499999999999999</v>
      </c>
      <c r="J543" s="44" t="s">
        <v>848</v>
      </c>
      <c r="K543" s="44" t="s">
        <v>1540</v>
      </c>
    </row>
    <row r="544" spans="1:11" x14ac:dyDescent="0.3">
      <c r="A544" s="126" t="s">
        <v>392</v>
      </c>
      <c r="B544" s="126" t="s">
        <v>49</v>
      </c>
      <c r="C544" s="145" t="s">
        <v>1882</v>
      </c>
      <c r="D544" s="145" t="s">
        <v>1951</v>
      </c>
      <c r="E544" s="131">
        <v>45833</v>
      </c>
      <c r="F544" s="127" t="s">
        <v>371</v>
      </c>
      <c r="G544" s="127" t="s">
        <v>864</v>
      </c>
      <c r="H544" s="146">
        <v>7896</v>
      </c>
      <c r="I544" s="138">
        <v>0.86899999999999999</v>
      </c>
      <c r="J544" s="44" t="s">
        <v>848</v>
      </c>
      <c r="K544" s="44" t="s">
        <v>1540</v>
      </c>
    </row>
    <row r="545" spans="1:11" x14ac:dyDescent="0.3">
      <c r="A545" s="126" t="s">
        <v>392</v>
      </c>
      <c r="B545" s="126" t="s">
        <v>49</v>
      </c>
      <c r="C545" s="53" t="s">
        <v>1883</v>
      </c>
      <c r="D545" s="53" t="s">
        <v>1952</v>
      </c>
      <c r="E545" s="131">
        <v>45833</v>
      </c>
      <c r="F545" s="127" t="s">
        <v>842</v>
      </c>
      <c r="G545" s="127" t="s">
        <v>843</v>
      </c>
      <c r="H545" s="54">
        <v>22000</v>
      </c>
      <c r="I545" s="138">
        <v>0.48399999999999999</v>
      </c>
      <c r="J545" s="44" t="s">
        <v>1977</v>
      </c>
      <c r="K545" s="44" t="s">
        <v>1540</v>
      </c>
    </row>
    <row r="546" spans="1:11" x14ac:dyDescent="0.3">
      <c r="A546" s="126" t="s">
        <v>390</v>
      </c>
      <c r="B546" s="126" t="s">
        <v>49</v>
      </c>
      <c r="C546" s="53" t="s">
        <v>1884</v>
      </c>
      <c r="D546" s="53" t="s">
        <v>1953</v>
      </c>
      <c r="E546" s="131">
        <v>45833</v>
      </c>
      <c r="F546" s="127" t="s">
        <v>371</v>
      </c>
      <c r="G546" s="127" t="s">
        <v>864</v>
      </c>
      <c r="H546" s="54">
        <v>145230.38</v>
      </c>
      <c r="I546" s="138">
        <v>0.13700000000000001</v>
      </c>
      <c r="J546" s="44" t="s">
        <v>832</v>
      </c>
      <c r="K546" s="44" t="s">
        <v>1541</v>
      </c>
    </row>
    <row r="547" spans="1:11" x14ac:dyDescent="0.3">
      <c r="A547" s="126" t="s">
        <v>390</v>
      </c>
      <c r="B547" s="126" t="s">
        <v>49</v>
      </c>
      <c r="C547" s="53" t="s">
        <v>1885</v>
      </c>
      <c r="D547" s="53" t="s">
        <v>1954</v>
      </c>
      <c r="E547" s="131">
        <v>45834</v>
      </c>
      <c r="F547" s="127" t="s">
        <v>372</v>
      </c>
      <c r="G547" s="127" t="s">
        <v>10</v>
      </c>
      <c r="H547" s="54">
        <v>77046.81</v>
      </c>
      <c r="I547" s="138">
        <v>0.30499999999999999</v>
      </c>
      <c r="J547" s="44" t="s">
        <v>833</v>
      </c>
      <c r="K547" s="44" t="s">
        <v>1542</v>
      </c>
    </row>
    <row r="548" spans="1:11" x14ac:dyDescent="0.3">
      <c r="A548" s="126" t="s">
        <v>390</v>
      </c>
      <c r="B548" s="126" t="s">
        <v>49</v>
      </c>
      <c r="C548" s="53" t="s">
        <v>1886</v>
      </c>
      <c r="D548" s="53" t="s">
        <v>1955</v>
      </c>
      <c r="E548" s="131">
        <v>45834</v>
      </c>
      <c r="F548" s="127" t="s">
        <v>371</v>
      </c>
      <c r="G548" s="127" t="s">
        <v>864</v>
      </c>
      <c r="H548" s="54">
        <v>43975.48</v>
      </c>
      <c r="I548" s="138">
        <v>0.154</v>
      </c>
      <c r="J548" s="44" t="s">
        <v>832</v>
      </c>
      <c r="K548" s="44" t="s">
        <v>1541</v>
      </c>
    </row>
    <row r="549" spans="1:11" x14ac:dyDescent="0.3">
      <c r="A549" s="126" t="s">
        <v>390</v>
      </c>
      <c r="B549" s="126" t="s">
        <v>49</v>
      </c>
      <c r="C549" s="53" t="s">
        <v>1887</v>
      </c>
      <c r="D549" s="53" t="s">
        <v>1956</v>
      </c>
      <c r="E549" s="131">
        <v>45834</v>
      </c>
      <c r="F549" s="127" t="s">
        <v>371</v>
      </c>
      <c r="G549" s="127" t="s">
        <v>864</v>
      </c>
      <c r="H549" s="54">
        <v>44962.41</v>
      </c>
      <c r="I549" s="138">
        <v>0.16</v>
      </c>
      <c r="J549" s="44" t="s">
        <v>832</v>
      </c>
      <c r="K549" s="44" t="s">
        <v>1541</v>
      </c>
    </row>
    <row r="550" spans="1:11" x14ac:dyDescent="0.3">
      <c r="A550" s="126" t="s">
        <v>390</v>
      </c>
      <c r="B550" s="126" t="s">
        <v>49</v>
      </c>
      <c r="C550" s="53" t="s">
        <v>1888</v>
      </c>
      <c r="D550" s="53" t="s">
        <v>1957</v>
      </c>
      <c r="E550" s="131">
        <v>45834</v>
      </c>
      <c r="F550" s="127" t="s">
        <v>371</v>
      </c>
      <c r="G550" s="127" t="s">
        <v>864</v>
      </c>
      <c r="H550" s="54">
        <v>45138.14</v>
      </c>
      <c r="I550" s="138">
        <v>0.14499999999999999</v>
      </c>
      <c r="J550" s="44" t="s">
        <v>832</v>
      </c>
      <c r="K550" s="44" t="s">
        <v>1541</v>
      </c>
    </row>
    <row r="551" spans="1:11" x14ac:dyDescent="0.3">
      <c r="A551" s="126" t="s">
        <v>390</v>
      </c>
      <c r="B551" s="126" t="s">
        <v>49</v>
      </c>
      <c r="C551" s="53" t="s">
        <v>1889</v>
      </c>
      <c r="D551" s="53" t="s">
        <v>1958</v>
      </c>
      <c r="E551" s="131">
        <v>45834</v>
      </c>
      <c r="F551" s="127" t="s">
        <v>371</v>
      </c>
      <c r="G551" s="127" t="s">
        <v>864</v>
      </c>
      <c r="H551" s="54">
        <v>13117.25</v>
      </c>
      <c r="I551" s="138">
        <v>0.46300000000000002</v>
      </c>
      <c r="J551" s="44" t="s">
        <v>832</v>
      </c>
      <c r="K551" s="44" t="s">
        <v>1541</v>
      </c>
    </row>
    <row r="552" spans="1:11" x14ac:dyDescent="0.3">
      <c r="A552" s="126" t="s">
        <v>392</v>
      </c>
      <c r="B552" s="126" t="s">
        <v>49</v>
      </c>
      <c r="C552" s="53" t="s">
        <v>1890</v>
      </c>
      <c r="D552" s="53" t="s">
        <v>1959</v>
      </c>
      <c r="E552" s="131">
        <v>45834</v>
      </c>
      <c r="F552" s="127" t="s">
        <v>842</v>
      </c>
      <c r="G552" s="127" t="s">
        <v>843</v>
      </c>
      <c r="H552" s="54">
        <v>22000</v>
      </c>
      <c r="I552" s="138">
        <v>0.435</v>
      </c>
      <c r="J552" s="44" t="s">
        <v>1977</v>
      </c>
      <c r="K552" s="44" t="s">
        <v>1540</v>
      </c>
    </row>
    <row r="553" spans="1:11" x14ac:dyDescent="0.3">
      <c r="A553" s="126" t="s">
        <v>390</v>
      </c>
      <c r="B553" s="126" t="s">
        <v>49</v>
      </c>
      <c r="C553" s="53" t="s">
        <v>1891</v>
      </c>
      <c r="D553" s="53" t="s">
        <v>1960</v>
      </c>
      <c r="E553" s="131">
        <v>45835</v>
      </c>
      <c r="F553" s="127" t="s">
        <v>372</v>
      </c>
      <c r="G553" s="127" t="s">
        <v>10</v>
      </c>
      <c r="H553" s="54">
        <v>9702.9599999999991</v>
      </c>
      <c r="I553" s="138">
        <v>0.36499999999999999</v>
      </c>
      <c r="J553" s="44" t="s">
        <v>833</v>
      </c>
      <c r="K553" s="44" t="s">
        <v>1541</v>
      </c>
    </row>
    <row r="554" spans="1:11" x14ac:dyDescent="0.3">
      <c r="A554" s="126" t="s">
        <v>390</v>
      </c>
      <c r="B554" s="126" t="s">
        <v>49</v>
      </c>
      <c r="C554" s="53" t="s">
        <v>1892</v>
      </c>
      <c r="D554" s="53" t="s">
        <v>1961</v>
      </c>
      <c r="E554" s="131">
        <v>45835</v>
      </c>
      <c r="F554" s="127" t="s">
        <v>372</v>
      </c>
      <c r="G554" s="127" t="s">
        <v>10</v>
      </c>
      <c r="H554" s="54">
        <v>106289.04</v>
      </c>
      <c r="I554" s="138">
        <v>0.34100000000000003</v>
      </c>
      <c r="J554" s="44" t="s">
        <v>833</v>
      </c>
      <c r="K554" s="44" t="s">
        <v>1542</v>
      </c>
    </row>
    <row r="555" spans="1:11" x14ac:dyDescent="0.3">
      <c r="A555" s="126" t="s">
        <v>390</v>
      </c>
      <c r="B555" s="126" t="s">
        <v>49</v>
      </c>
      <c r="C555" s="53" t="s">
        <v>1893</v>
      </c>
      <c r="D555" s="53" t="s">
        <v>1822</v>
      </c>
      <c r="E555" s="131">
        <v>45835</v>
      </c>
      <c r="F555" s="127" t="s">
        <v>372</v>
      </c>
      <c r="G555" s="127" t="s">
        <v>10</v>
      </c>
      <c r="H555" s="54">
        <v>99854.05</v>
      </c>
      <c r="I555" s="138">
        <v>0.26600000000000001</v>
      </c>
      <c r="J555" s="44" t="s">
        <v>833</v>
      </c>
      <c r="K555" s="44" t="s">
        <v>1542</v>
      </c>
    </row>
    <row r="556" spans="1:11" x14ac:dyDescent="0.3">
      <c r="A556" s="126" t="s">
        <v>390</v>
      </c>
      <c r="B556" s="126" t="s">
        <v>49</v>
      </c>
      <c r="C556" s="53" t="s">
        <v>1894</v>
      </c>
      <c r="D556" s="53" t="s">
        <v>1962</v>
      </c>
      <c r="E556" s="131">
        <v>45835</v>
      </c>
      <c r="F556" s="127" t="s">
        <v>371</v>
      </c>
      <c r="G556" s="127" t="s">
        <v>864</v>
      </c>
      <c r="H556" s="54">
        <v>30454.92</v>
      </c>
      <c r="I556" s="138">
        <v>0.23799999999999999</v>
      </c>
      <c r="J556" s="44" t="s">
        <v>832</v>
      </c>
      <c r="K556" s="44" t="s">
        <v>1541</v>
      </c>
    </row>
    <row r="557" spans="1:11" x14ac:dyDescent="0.3">
      <c r="A557" s="126" t="s">
        <v>392</v>
      </c>
      <c r="B557" s="126" t="s">
        <v>49</v>
      </c>
      <c r="C557" s="53" t="s">
        <v>1895</v>
      </c>
      <c r="D557" s="53" t="s">
        <v>1963</v>
      </c>
      <c r="E557" s="131">
        <v>45835</v>
      </c>
      <c r="F557" s="127" t="s">
        <v>844</v>
      </c>
      <c r="G557" s="127" t="s">
        <v>863</v>
      </c>
      <c r="H557" s="54">
        <v>21000</v>
      </c>
      <c r="I557" s="138">
        <v>0.316</v>
      </c>
      <c r="J557" s="44" t="s">
        <v>1018</v>
      </c>
      <c r="K557" s="44" t="s">
        <v>1540</v>
      </c>
    </row>
    <row r="558" spans="1:11" x14ac:dyDescent="0.3">
      <c r="A558" s="126" t="s">
        <v>390</v>
      </c>
      <c r="B558" s="126" t="s">
        <v>49</v>
      </c>
      <c r="C558" s="53" t="s">
        <v>1896</v>
      </c>
      <c r="D558" s="53" t="s">
        <v>1964</v>
      </c>
      <c r="E558" s="131">
        <v>45835</v>
      </c>
      <c r="F558" s="127" t="s">
        <v>371</v>
      </c>
      <c r="G558" s="127" t="s">
        <v>864</v>
      </c>
      <c r="H558" s="54">
        <v>30069.31</v>
      </c>
      <c r="I558" s="138">
        <v>0.29099999999999998</v>
      </c>
      <c r="J558" s="44" t="s">
        <v>832</v>
      </c>
      <c r="K558" s="44" t="s">
        <v>1541</v>
      </c>
    </row>
    <row r="559" spans="1:11" x14ac:dyDescent="0.3">
      <c r="A559" s="126" t="s">
        <v>390</v>
      </c>
      <c r="B559" s="126" t="s">
        <v>49</v>
      </c>
      <c r="C559" s="53" t="s">
        <v>1897</v>
      </c>
      <c r="D559" s="53" t="s">
        <v>1965</v>
      </c>
      <c r="E559" s="131">
        <v>45835</v>
      </c>
      <c r="F559" s="127" t="s">
        <v>370</v>
      </c>
      <c r="G559" s="127" t="s">
        <v>63</v>
      </c>
      <c r="H559" s="54">
        <v>15500</v>
      </c>
      <c r="I559" s="138">
        <v>0.43</v>
      </c>
      <c r="J559" s="44" t="s">
        <v>1835</v>
      </c>
      <c r="K559" s="44" t="s">
        <v>1541</v>
      </c>
    </row>
    <row r="560" spans="1:11" x14ac:dyDescent="0.3">
      <c r="A560" s="126" t="s">
        <v>392</v>
      </c>
      <c r="B560" s="126" t="s">
        <v>49</v>
      </c>
      <c r="C560" s="53" t="s">
        <v>1898</v>
      </c>
      <c r="D560" s="53" t="s">
        <v>1966</v>
      </c>
      <c r="E560" s="131">
        <v>45835</v>
      </c>
      <c r="F560" s="127" t="s">
        <v>842</v>
      </c>
      <c r="G560" s="127" t="s">
        <v>843</v>
      </c>
      <c r="H560" s="54">
        <v>22000</v>
      </c>
      <c r="I560" s="138">
        <v>0.441</v>
      </c>
      <c r="J560" s="44" t="s">
        <v>1977</v>
      </c>
      <c r="K560" s="44" t="s">
        <v>1540</v>
      </c>
    </row>
    <row r="561" spans="1:11" x14ac:dyDescent="0.3">
      <c r="A561" s="126" t="s">
        <v>390</v>
      </c>
      <c r="B561" s="126" t="s">
        <v>49</v>
      </c>
      <c r="C561" s="53" t="s">
        <v>1899</v>
      </c>
      <c r="D561" s="53" t="s">
        <v>1967</v>
      </c>
      <c r="E561" s="131">
        <v>45835</v>
      </c>
      <c r="F561" s="127" t="s">
        <v>371</v>
      </c>
      <c r="G561" s="127" t="s">
        <v>864</v>
      </c>
      <c r="H561" s="54">
        <v>13540.26</v>
      </c>
      <c r="I561" s="138">
        <v>0.22900000000000001</v>
      </c>
      <c r="J561" s="44" t="s">
        <v>832</v>
      </c>
      <c r="K561" s="44" t="s">
        <v>1541</v>
      </c>
    </row>
    <row r="562" spans="1:11" x14ac:dyDescent="0.3">
      <c r="A562" s="126" t="s">
        <v>392</v>
      </c>
      <c r="B562" s="126" t="s">
        <v>49</v>
      </c>
      <c r="C562" s="145" t="s">
        <v>1900</v>
      </c>
      <c r="D562" s="145" t="s">
        <v>1968</v>
      </c>
      <c r="E562" s="131">
        <v>45835</v>
      </c>
      <c r="F562" s="127" t="s">
        <v>371</v>
      </c>
      <c r="G562" s="127" t="s">
        <v>864</v>
      </c>
      <c r="H562" s="146">
        <v>7896</v>
      </c>
      <c r="I562" s="138">
        <v>0.74399999999999999</v>
      </c>
      <c r="J562" s="44" t="s">
        <v>848</v>
      </c>
      <c r="K562" s="44" t="s">
        <v>1540</v>
      </c>
    </row>
    <row r="563" spans="1:11" x14ac:dyDescent="0.3">
      <c r="A563" s="126" t="s">
        <v>392</v>
      </c>
      <c r="B563" s="126" t="s">
        <v>49</v>
      </c>
      <c r="C563" s="145" t="s">
        <v>1901</v>
      </c>
      <c r="D563" s="145" t="s">
        <v>1969</v>
      </c>
      <c r="E563" s="131">
        <v>45838</v>
      </c>
      <c r="F563" s="127" t="s">
        <v>371</v>
      </c>
      <c r="G563" s="127" t="s">
        <v>864</v>
      </c>
      <c r="H563" s="146">
        <v>4800</v>
      </c>
      <c r="I563" s="138">
        <v>0.78600000000000003</v>
      </c>
      <c r="J563" s="44" t="s">
        <v>848</v>
      </c>
      <c r="K563" s="44" t="s">
        <v>1540</v>
      </c>
    </row>
    <row r="564" spans="1:11" x14ac:dyDescent="0.3">
      <c r="A564" s="126" t="s">
        <v>390</v>
      </c>
      <c r="B564" s="126" t="s">
        <v>49</v>
      </c>
      <c r="C564" s="53" t="s">
        <v>1902</v>
      </c>
      <c r="D564" s="53" t="s">
        <v>1970</v>
      </c>
      <c r="E564" s="131">
        <v>45838</v>
      </c>
      <c r="F564" s="127" t="s">
        <v>371</v>
      </c>
      <c r="G564" s="127" t="s">
        <v>864</v>
      </c>
      <c r="H564" s="54">
        <v>30809.15</v>
      </c>
      <c r="I564" s="138">
        <v>0.23400000000000001</v>
      </c>
      <c r="J564" s="44" t="s">
        <v>832</v>
      </c>
      <c r="K564" s="44" t="s">
        <v>1541</v>
      </c>
    </row>
    <row r="565" spans="1:11" x14ac:dyDescent="0.3">
      <c r="A565" s="126" t="s">
        <v>390</v>
      </c>
      <c r="B565" s="126" t="s">
        <v>49</v>
      </c>
      <c r="C565" s="53" t="s">
        <v>1903</v>
      </c>
      <c r="D565" s="53" t="s">
        <v>1830</v>
      </c>
      <c r="E565" s="131">
        <v>45838</v>
      </c>
      <c r="F565" s="127" t="s">
        <v>1007</v>
      </c>
      <c r="G565" s="127" t="s">
        <v>865</v>
      </c>
      <c r="H565" s="54">
        <v>0.01</v>
      </c>
      <c r="I565" s="138">
        <v>0.34599999999999997</v>
      </c>
      <c r="J565" s="44" t="s">
        <v>831</v>
      </c>
      <c r="K565" s="44" t="s">
        <v>1542</v>
      </c>
    </row>
    <row r="566" spans="1:11" x14ac:dyDescent="0.3">
      <c r="A566" s="126" t="s">
        <v>392</v>
      </c>
      <c r="B566" s="126" t="s">
        <v>49</v>
      </c>
      <c r="C566" s="145" t="s">
        <v>1904</v>
      </c>
      <c r="D566" s="145" t="s">
        <v>1971</v>
      </c>
      <c r="E566" s="131">
        <v>45838</v>
      </c>
      <c r="F566" s="127" t="s">
        <v>371</v>
      </c>
      <c r="G566" s="127" t="s">
        <v>864</v>
      </c>
      <c r="H566" s="146">
        <v>37600</v>
      </c>
      <c r="I566" s="138">
        <v>0.86299999999999999</v>
      </c>
      <c r="J566" s="44" t="s">
        <v>848</v>
      </c>
      <c r="K566" s="44" t="s">
        <v>1540</v>
      </c>
    </row>
    <row r="567" spans="1:11" x14ac:dyDescent="0.3">
      <c r="A567" s="126" t="s">
        <v>390</v>
      </c>
      <c r="B567" s="126" t="s">
        <v>49</v>
      </c>
      <c r="C567" s="53" t="s">
        <v>1905</v>
      </c>
      <c r="D567" s="53" t="s">
        <v>1972</v>
      </c>
      <c r="E567" s="131">
        <v>45838</v>
      </c>
      <c r="F567" s="127" t="s">
        <v>370</v>
      </c>
      <c r="G567" s="127" t="s">
        <v>63</v>
      </c>
      <c r="H567" s="54">
        <v>130054.54</v>
      </c>
      <c r="I567" s="138">
        <v>0.46400000000000002</v>
      </c>
      <c r="J567" s="44" t="s">
        <v>1835</v>
      </c>
      <c r="K567" s="44" t="s">
        <v>1542</v>
      </c>
    </row>
    <row r="568" spans="1:11" x14ac:dyDescent="0.3">
      <c r="A568" s="126" t="s">
        <v>390</v>
      </c>
      <c r="B568" s="126" t="s">
        <v>49</v>
      </c>
      <c r="C568" s="53" t="s">
        <v>1973</v>
      </c>
      <c r="D568" s="53" t="s">
        <v>1832</v>
      </c>
      <c r="E568" s="131">
        <v>45818</v>
      </c>
      <c r="F568" s="127" t="s">
        <v>1174</v>
      </c>
      <c r="G568" s="127" t="s">
        <v>857</v>
      </c>
      <c r="H568" s="54">
        <v>1429.4625000000001</v>
      </c>
      <c r="I568" s="138">
        <v>0.65200000000000002</v>
      </c>
      <c r="J568" s="44" t="s">
        <v>831</v>
      </c>
      <c r="K568" s="44" t="s">
        <v>1542</v>
      </c>
    </row>
    <row r="569" spans="1:11" x14ac:dyDescent="0.3">
      <c r="A569" s="126" t="s">
        <v>390</v>
      </c>
      <c r="B569" s="126" t="s">
        <v>49</v>
      </c>
      <c r="C569" s="53" t="s">
        <v>1974</v>
      </c>
      <c r="D569" s="53" t="s">
        <v>1975</v>
      </c>
      <c r="E569" s="131">
        <v>45824</v>
      </c>
      <c r="F569" s="127" t="s">
        <v>372</v>
      </c>
      <c r="G569" s="127" t="s">
        <v>10</v>
      </c>
      <c r="H569" s="54">
        <v>150495.09</v>
      </c>
      <c r="I569" s="138">
        <v>0.251</v>
      </c>
      <c r="J569" s="44" t="s">
        <v>833</v>
      </c>
      <c r="K569" s="44" t="s">
        <v>1542</v>
      </c>
    </row>
    <row r="570" spans="1:11" x14ac:dyDescent="0.3">
      <c r="A570" s="126" t="s">
        <v>390</v>
      </c>
      <c r="B570" s="126" t="s">
        <v>49</v>
      </c>
      <c r="C570" s="53" t="s">
        <v>1976</v>
      </c>
      <c r="D570" s="53" t="s">
        <v>1830</v>
      </c>
      <c r="E570" s="131">
        <v>45838</v>
      </c>
      <c r="F570" s="127" t="s">
        <v>1007</v>
      </c>
      <c r="G570" s="127" t="s">
        <v>865</v>
      </c>
      <c r="H570" s="54">
        <v>86023.641199999998</v>
      </c>
      <c r="I570" s="138">
        <v>0.34599999999999997</v>
      </c>
      <c r="J570" s="44" t="s">
        <v>831</v>
      </c>
      <c r="K570" s="44" t="s">
        <v>1542</v>
      </c>
    </row>
    <row r="571" spans="1:11" x14ac:dyDescent="0.3">
      <c r="A571" s="126" t="s">
        <v>392</v>
      </c>
      <c r="B571" s="126" t="s">
        <v>50</v>
      </c>
      <c r="C571" s="53" t="s">
        <v>1978</v>
      </c>
      <c r="D571" s="53" t="s">
        <v>1979</v>
      </c>
      <c r="E571" s="131">
        <v>45842</v>
      </c>
      <c r="F571" s="127" t="s">
        <v>370</v>
      </c>
      <c r="G571" s="127" t="s">
        <v>63</v>
      </c>
      <c r="H571" s="54">
        <v>17400</v>
      </c>
      <c r="I571" s="138">
        <v>0.56299999999999994</v>
      </c>
      <c r="J571" s="44" t="s">
        <v>1835</v>
      </c>
      <c r="K571" s="44" t="s">
        <v>1540</v>
      </c>
    </row>
    <row r="572" spans="1:11" x14ac:dyDescent="0.3">
      <c r="A572" s="126" t="s">
        <v>392</v>
      </c>
      <c r="B572" s="126" t="s">
        <v>50</v>
      </c>
      <c r="C572" s="53" t="s">
        <v>1980</v>
      </c>
      <c r="D572" s="53" t="s">
        <v>1981</v>
      </c>
      <c r="E572" s="131">
        <v>45842</v>
      </c>
      <c r="F572" s="127" t="s">
        <v>370</v>
      </c>
      <c r="G572" s="127" t="s">
        <v>63</v>
      </c>
      <c r="H572" s="54">
        <v>9700</v>
      </c>
      <c r="I572" s="138">
        <v>0.54600000000000004</v>
      </c>
      <c r="J572" s="44" t="s">
        <v>1835</v>
      </c>
      <c r="K572" s="44" t="s">
        <v>1540</v>
      </c>
    </row>
    <row r="573" spans="1:11" x14ac:dyDescent="0.3">
      <c r="A573" s="126" t="s">
        <v>392</v>
      </c>
      <c r="B573" s="126" t="s">
        <v>50</v>
      </c>
      <c r="C573" s="53" t="s">
        <v>1982</v>
      </c>
      <c r="D573" s="53" t="s">
        <v>1983</v>
      </c>
      <c r="E573" s="131">
        <v>45842</v>
      </c>
      <c r="F573" s="127" t="s">
        <v>370</v>
      </c>
      <c r="G573" s="127" t="s">
        <v>63</v>
      </c>
      <c r="H573" s="54">
        <v>4200</v>
      </c>
      <c r="I573" s="138">
        <v>0.57099999999999995</v>
      </c>
      <c r="J573" s="44" t="s">
        <v>1835</v>
      </c>
      <c r="K573" s="44" t="s">
        <v>1540</v>
      </c>
    </row>
    <row r="574" spans="1:11" x14ac:dyDescent="0.3">
      <c r="A574" s="126" t="s">
        <v>392</v>
      </c>
      <c r="B574" s="126" t="s">
        <v>50</v>
      </c>
      <c r="C574" s="53" t="s">
        <v>1984</v>
      </c>
      <c r="D574" s="53" t="s">
        <v>1985</v>
      </c>
      <c r="E574" s="131">
        <v>45842</v>
      </c>
      <c r="F574" s="127" t="s">
        <v>370</v>
      </c>
      <c r="G574" s="127" t="s">
        <v>63</v>
      </c>
      <c r="H574" s="54">
        <v>10700</v>
      </c>
      <c r="I574" s="138">
        <v>0.56100000000000005</v>
      </c>
      <c r="J574" s="44" t="s">
        <v>1835</v>
      </c>
      <c r="K574" s="44" t="s">
        <v>1541</v>
      </c>
    </row>
    <row r="575" spans="1:11" x14ac:dyDescent="0.3">
      <c r="A575" s="126" t="s">
        <v>392</v>
      </c>
      <c r="B575" s="126" t="s">
        <v>50</v>
      </c>
      <c r="C575" s="53" t="s">
        <v>1986</v>
      </c>
      <c r="D575" s="53" t="s">
        <v>1987</v>
      </c>
      <c r="E575" s="131">
        <v>45842</v>
      </c>
      <c r="F575" s="127" t="s">
        <v>370</v>
      </c>
      <c r="G575" s="127" t="s">
        <v>63</v>
      </c>
      <c r="H575" s="54">
        <v>41000</v>
      </c>
      <c r="I575" s="138">
        <v>0.44700000000000001</v>
      </c>
      <c r="J575" s="44" t="s">
        <v>1835</v>
      </c>
      <c r="K575" s="44" t="s">
        <v>1541</v>
      </c>
    </row>
    <row r="576" spans="1:11" x14ac:dyDescent="0.3">
      <c r="A576" s="126" t="s">
        <v>392</v>
      </c>
      <c r="B576" s="126" t="s">
        <v>50</v>
      </c>
      <c r="C576" s="53" t="s">
        <v>1988</v>
      </c>
      <c r="D576" s="53" t="s">
        <v>1989</v>
      </c>
      <c r="E576" s="131">
        <v>45842</v>
      </c>
      <c r="F576" s="127" t="s">
        <v>370</v>
      </c>
      <c r="G576" s="127" t="s">
        <v>63</v>
      </c>
      <c r="H576" s="54">
        <v>4800</v>
      </c>
      <c r="I576" s="138">
        <v>0.625</v>
      </c>
      <c r="J576" s="44" t="s">
        <v>848</v>
      </c>
      <c r="K576" s="44" t="s">
        <v>1540</v>
      </c>
    </row>
    <row r="577" spans="1:11" x14ac:dyDescent="0.3">
      <c r="A577" s="126" t="s">
        <v>392</v>
      </c>
      <c r="B577" s="126" t="s">
        <v>50</v>
      </c>
      <c r="C577" s="53" t="s">
        <v>1990</v>
      </c>
      <c r="D577" s="53" t="s">
        <v>1991</v>
      </c>
      <c r="E577" s="131">
        <v>45842</v>
      </c>
      <c r="F577" s="127" t="s">
        <v>370</v>
      </c>
      <c r="G577" s="127" t="s">
        <v>63</v>
      </c>
      <c r="H577" s="54">
        <v>4800</v>
      </c>
      <c r="I577" s="138">
        <v>0.625</v>
      </c>
      <c r="J577" s="44" t="s">
        <v>848</v>
      </c>
      <c r="K577" s="44" t="s">
        <v>1540</v>
      </c>
    </row>
    <row r="578" spans="1:11" x14ac:dyDescent="0.3">
      <c r="A578" s="126" t="s">
        <v>392</v>
      </c>
      <c r="B578" s="126" t="s">
        <v>50</v>
      </c>
      <c r="C578" s="53" t="s">
        <v>1992</v>
      </c>
      <c r="D578" s="53" t="s">
        <v>1993</v>
      </c>
      <c r="E578" s="131">
        <v>45842</v>
      </c>
      <c r="F578" s="127" t="s">
        <v>370</v>
      </c>
      <c r="G578" s="127" t="s">
        <v>63</v>
      </c>
      <c r="H578" s="54">
        <v>7276</v>
      </c>
      <c r="I578" s="138">
        <v>0.57399999999999995</v>
      </c>
      <c r="J578" s="44" t="s">
        <v>1835</v>
      </c>
      <c r="K578" s="44" t="s">
        <v>1540</v>
      </c>
    </row>
    <row r="579" spans="1:11" x14ac:dyDescent="0.3">
      <c r="A579" s="126" t="s">
        <v>392</v>
      </c>
      <c r="B579" s="126" t="s">
        <v>50</v>
      </c>
      <c r="C579" s="53" t="s">
        <v>1994</v>
      </c>
      <c r="D579" s="53" t="s">
        <v>1995</v>
      </c>
      <c r="E579" s="131">
        <v>45842</v>
      </c>
      <c r="F579" s="127" t="s">
        <v>370</v>
      </c>
      <c r="G579" s="127" t="s">
        <v>63</v>
      </c>
      <c r="H579" s="54">
        <v>6100</v>
      </c>
      <c r="I579" s="138">
        <v>0.65600000000000003</v>
      </c>
      <c r="J579" s="44" t="s">
        <v>848</v>
      </c>
      <c r="K579" s="44" t="s">
        <v>1540</v>
      </c>
    </row>
    <row r="580" spans="1:11" x14ac:dyDescent="0.3">
      <c r="A580" s="126" t="s">
        <v>392</v>
      </c>
      <c r="B580" s="126" t="s">
        <v>50</v>
      </c>
      <c r="C580" s="53" t="s">
        <v>1996</v>
      </c>
      <c r="D580" s="53" t="s">
        <v>1997</v>
      </c>
      <c r="E580" s="131">
        <v>45842</v>
      </c>
      <c r="F580" s="127" t="s">
        <v>370</v>
      </c>
      <c r="G580" s="127" t="s">
        <v>63</v>
      </c>
      <c r="H580" s="54">
        <v>8150</v>
      </c>
      <c r="I580" s="138">
        <v>0.57099999999999995</v>
      </c>
      <c r="J580" s="44" t="s">
        <v>1835</v>
      </c>
      <c r="K580" s="44" t="s">
        <v>1540</v>
      </c>
    </row>
    <row r="581" spans="1:11" x14ac:dyDescent="0.3">
      <c r="A581" s="126" t="s">
        <v>392</v>
      </c>
      <c r="B581" s="126" t="s">
        <v>50</v>
      </c>
      <c r="C581" s="53" t="s">
        <v>1998</v>
      </c>
      <c r="D581" s="53" t="s">
        <v>1999</v>
      </c>
      <c r="E581" s="131">
        <v>45842</v>
      </c>
      <c r="F581" s="127" t="s">
        <v>370</v>
      </c>
      <c r="G581" s="127" t="s">
        <v>63</v>
      </c>
      <c r="H581" s="54">
        <v>17300</v>
      </c>
      <c r="I581" s="138">
        <v>0.59</v>
      </c>
      <c r="J581" s="44" t="s">
        <v>1835</v>
      </c>
      <c r="K581" s="44" t="s">
        <v>1540</v>
      </c>
    </row>
    <row r="582" spans="1:11" x14ac:dyDescent="0.3">
      <c r="A582" s="126" t="s">
        <v>392</v>
      </c>
      <c r="B582" s="126" t="s">
        <v>50</v>
      </c>
      <c r="C582" s="53" t="s">
        <v>2000</v>
      </c>
      <c r="D582" s="53" t="s">
        <v>2001</v>
      </c>
      <c r="E582" s="131">
        <v>45842</v>
      </c>
      <c r="F582" s="127" t="s">
        <v>370</v>
      </c>
      <c r="G582" s="127" t="s">
        <v>63</v>
      </c>
      <c r="H582" s="54">
        <v>13600</v>
      </c>
      <c r="I582" s="138">
        <v>0.54200000000000004</v>
      </c>
      <c r="J582" s="44" t="s">
        <v>1835</v>
      </c>
      <c r="K582" s="44" t="s">
        <v>1541</v>
      </c>
    </row>
    <row r="583" spans="1:11" x14ac:dyDescent="0.3">
      <c r="A583" s="126" t="s">
        <v>392</v>
      </c>
      <c r="B583" s="126" t="s">
        <v>50</v>
      </c>
      <c r="C583" s="53" t="s">
        <v>2002</v>
      </c>
      <c r="D583" s="53" t="s">
        <v>2003</v>
      </c>
      <c r="E583" s="131">
        <v>45842</v>
      </c>
      <c r="F583" s="127" t="s">
        <v>370</v>
      </c>
      <c r="G583" s="127" t="s">
        <v>63</v>
      </c>
      <c r="H583" s="54">
        <v>9600</v>
      </c>
      <c r="I583" s="138">
        <v>0.52100000000000002</v>
      </c>
      <c r="J583" s="44" t="s">
        <v>848</v>
      </c>
      <c r="K583" s="44" t="s">
        <v>1540</v>
      </c>
    </row>
    <row r="584" spans="1:11" x14ac:dyDescent="0.3">
      <c r="A584" s="126" t="s">
        <v>392</v>
      </c>
      <c r="B584" s="126" t="s">
        <v>50</v>
      </c>
      <c r="C584" s="53" t="s">
        <v>2004</v>
      </c>
      <c r="D584" s="53" t="s">
        <v>2005</v>
      </c>
      <c r="E584" s="131">
        <v>45842</v>
      </c>
      <c r="F584" s="127" t="s">
        <v>370</v>
      </c>
      <c r="G584" s="127" t="s">
        <v>63</v>
      </c>
      <c r="H584" s="54">
        <v>10800</v>
      </c>
      <c r="I584" s="138">
        <v>0.60199999999999998</v>
      </c>
      <c r="J584" s="44" t="s">
        <v>848</v>
      </c>
      <c r="K584" s="44" t="s">
        <v>1540</v>
      </c>
    </row>
    <row r="585" spans="1:11" x14ac:dyDescent="0.3">
      <c r="A585" s="126" t="s">
        <v>392</v>
      </c>
      <c r="B585" s="126" t="s">
        <v>50</v>
      </c>
      <c r="C585" s="53" t="s">
        <v>2006</v>
      </c>
      <c r="D585" s="53" t="s">
        <v>2007</v>
      </c>
      <c r="E585" s="131">
        <v>45842</v>
      </c>
      <c r="F585" s="127" t="s">
        <v>842</v>
      </c>
      <c r="G585" s="127" t="s">
        <v>843</v>
      </c>
      <c r="H585" s="54">
        <v>22000</v>
      </c>
      <c r="I585" s="138">
        <v>0.44400000000000001</v>
      </c>
      <c r="J585" s="44" t="s">
        <v>1977</v>
      </c>
      <c r="K585" s="44" t="s">
        <v>1540</v>
      </c>
    </row>
    <row r="586" spans="1:11" x14ac:dyDescent="0.3">
      <c r="A586" s="126" t="s">
        <v>392</v>
      </c>
      <c r="B586" s="126" t="s">
        <v>50</v>
      </c>
      <c r="C586" s="53" t="s">
        <v>2008</v>
      </c>
      <c r="D586" s="53" t="s">
        <v>2009</v>
      </c>
      <c r="E586" s="131">
        <v>45842</v>
      </c>
      <c r="F586" s="127" t="s">
        <v>842</v>
      </c>
      <c r="G586" s="127" t="s">
        <v>843</v>
      </c>
      <c r="H586" s="54">
        <v>22000</v>
      </c>
      <c r="I586" s="138">
        <v>0.44400000000000001</v>
      </c>
      <c r="J586" s="44" t="s">
        <v>1977</v>
      </c>
      <c r="K586" s="44" t="s">
        <v>1540</v>
      </c>
    </row>
    <row r="587" spans="1:11" x14ac:dyDescent="0.3">
      <c r="A587" s="126" t="s">
        <v>392</v>
      </c>
      <c r="B587" s="126" t="s">
        <v>50</v>
      </c>
      <c r="C587" s="53" t="s">
        <v>2010</v>
      </c>
      <c r="D587" s="53" t="s">
        <v>2011</v>
      </c>
      <c r="E587" s="131">
        <v>45842</v>
      </c>
      <c r="F587" s="127" t="s">
        <v>371</v>
      </c>
      <c r="G587" s="127" t="s">
        <v>864</v>
      </c>
      <c r="H587" s="54">
        <v>9600</v>
      </c>
      <c r="I587" s="138">
        <v>0.78600000000000003</v>
      </c>
      <c r="J587" s="44" t="s">
        <v>848</v>
      </c>
      <c r="K587" s="44" t="s">
        <v>1540</v>
      </c>
    </row>
    <row r="588" spans="1:11" x14ac:dyDescent="0.3">
      <c r="A588" s="126" t="s">
        <v>392</v>
      </c>
      <c r="B588" s="126" t="s">
        <v>50</v>
      </c>
      <c r="C588" s="53" t="s">
        <v>2012</v>
      </c>
      <c r="D588" s="53" t="s">
        <v>2013</v>
      </c>
      <c r="E588" s="131">
        <v>45842</v>
      </c>
      <c r="F588" s="127" t="s">
        <v>370</v>
      </c>
      <c r="G588" s="127" t="s">
        <v>63</v>
      </c>
      <c r="H588" s="54">
        <v>8300</v>
      </c>
      <c r="I588" s="138">
        <v>0.56599999999999995</v>
      </c>
      <c r="J588" s="44" t="s">
        <v>848</v>
      </c>
      <c r="K588" s="44" t="s">
        <v>1540</v>
      </c>
    </row>
    <row r="589" spans="1:11" x14ac:dyDescent="0.3">
      <c r="A589" s="126" t="s">
        <v>392</v>
      </c>
      <c r="B589" s="126" t="s">
        <v>50</v>
      </c>
      <c r="C589" s="53" t="s">
        <v>2014</v>
      </c>
      <c r="D589" s="53" t="s">
        <v>2015</v>
      </c>
      <c r="E589" s="131">
        <v>45842</v>
      </c>
      <c r="F589" s="127" t="s">
        <v>370</v>
      </c>
      <c r="G589" s="127" t="s">
        <v>63</v>
      </c>
      <c r="H589" s="54">
        <v>8600</v>
      </c>
      <c r="I589" s="138">
        <v>0.74399999999999999</v>
      </c>
      <c r="J589" s="44" t="s">
        <v>848</v>
      </c>
      <c r="K589" s="44" t="s">
        <v>1540</v>
      </c>
    </row>
    <row r="590" spans="1:11" x14ac:dyDescent="0.3">
      <c r="A590" s="126" t="s">
        <v>392</v>
      </c>
      <c r="B590" s="126" t="s">
        <v>50</v>
      </c>
      <c r="C590" s="53" t="s">
        <v>2016</v>
      </c>
      <c r="D590" s="53" t="s">
        <v>2017</v>
      </c>
      <c r="E590" s="131">
        <v>45842</v>
      </c>
      <c r="F590" s="127" t="s">
        <v>370</v>
      </c>
      <c r="G590" s="127" t="s">
        <v>63</v>
      </c>
      <c r="H590" s="54">
        <v>4800</v>
      </c>
      <c r="I590" s="138">
        <v>0.625</v>
      </c>
      <c r="J590" s="44" t="s">
        <v>848</v>
      </c>
      <c r="K590" s="44" t="s">
        <v>1540</v>
      </c>
    </row>
    <row r="591" spans="1:11" x14ac:dyDescent="0.3">
      <c r="A591" s="126" t="s">
        <v>392</v>
      </c>
      <c r="B591" s="126" t="s">
        <v>50</v>
      </c>
      <c r="C591" s="53" t="s">
        <v>2018</v>
      </c>
      <c r="D591" s="53" t="s">
        <v>2019</v>
      </c>
      <c r="E591" s="131">
        <v>45842</v>
      </c>
      <c r="F591" s="127" t="s">
        <v>370</v>
      </c>
      <c r="G591" s="127" t="s">
        <v>63</v>
      </c>
      <c r="H591" s="54">
        <v>17500</v>
      </c>
      <c r="I591" s="138">
        <v>0.61299999999999999</v>
      </c>
      <c r="J591" s="44" t="s">
        <v>1835</v>
      </c>
      <c r="K591" s="44" t="s">
        <v>1540</v>
      </c>
    </row>
    <row r="592" spans="1:11" x14ac:dyDescent="0.3">
      <c r="A592" s="126" t="s">
        <v>392</v>
      </c>
      <c r="B592" s="126" t="s">
        <v>50</v>
      </c>
      <c r="C592" s="53" t="s">
        <v>2020</v>
      </c>
      <c r="D592" s="53" t="s">
        <v>2021</v>
      </c>
      <c r="E592" s="131">
        <v>45845</v>
      </c>
      <c r="F592" s="127" t="s">
        <v>370</v>
      </c>
      <c r="G592" s="127" t="s">
        <v>63</v>
      </c>
      <c r="H592" s="54">
        <v>8000</v>
      </c>
      <c r="I592" s="138">
        <v>0.66200000000000003</v>
      </c>
      <c r="J592" s="44" t="s">
        <v>848</v>
      </c>
      <c r="K592" s="44" t="s">
        <v>1540</v>
      </c>
    </row>
    <row r="593" spans="1:11" x14ac:dyDescent="0.3">
      <c r="A593" s="126" t="s">
        <v>392</v>
      </c>
      <c r="B593" s="126" t="s">
        <v>50</v>
      </c>
      <c r="C593" s="53" t="s">
        <v>2022</v>
      </c>
      <c r="D593" s="53" t="s">
        <v>2023</v>
      </c>
      <c r="E593" s="131">
        <v>45845</v>
      </c>
      <c r="F593" s="127" t="s">
        <v>370</v>
      </c>
      <c r="G593" s="127" t="s">
        <v>63</v>
      </c>
      <c r="H593" s="54">
        <v>7700</v>
      </c>
      <c r="I593" s="138">
        <v>0.66200000000000003</v>
      </c>
      <c r="J593" s="44" t="s">
        <v>848</v>
      </c>
      <c r="K593" s="44" t="s">
        <v>1540</v>
      </c>
    </row>
    <row r="594" spans="1:11" x14ac:dyDescent="0.3">
      <c r="A594" s="126" t="s">
        <v>392</v>
      </c>
      <c r="B594" s="126" t="s">
        <v>50</v>
      </c>
      <c r="C594" s="53" t="s">
        <v>2024</v>
      </c>
      <c r="D594" s="53" t="s">
        <v>2025</v>
      </c>
      <c r="E594" s="131">
        <v>45845</v>
      </c>
      <c r="F594" s="127" t="s">
        <v>372</v>
      </c>
      <c r="G594" s="127" t="s">
        <v>10</v>
      </c>
      <c r="H594" s="54">
        <v>42100</v>
      </c>
      <c r="I594" s="138">
        <v>0.38500000000000001</v>
      </c>
      <c r="J594" s="44" t="s">
        <v>848</v>
      </c>
      <c r="K594" s="44" t="s">
        <v>1540</v>
      </c>
    </row>
    <row r="595" spans="1:11" x14ac:dyDescent="0.3">
      <c r="A595" s="126" t="s">
        <v>392</v>
      </c>
      <c r="B595" s="126" t="s">
        <v>50</v>
      </c>
      <c r="C595" s="53" t="s">
        <v>2026</v>
      </c>
      <c r="D595" s="53" t="s">
        <v>2027</v>
      </c>
      <c r="E595" s="131">
        <v>45845</v>
      </c>
      <c r="F595" s="127" t="s">
        <v>372</v>
      </c>
      <c r="G595" s="127" t="s">
        <v>10</v>
      </c>
      <c r="H595" s="54">
        <v>25200</v>
      </c>
      <c r="I595" s="138">
        <v>0.40100000000000002</v>
      </c>
      <c r="J595" s="44" t="s">
        <v>848</v>
      </c>
      <c r="K595" s="44" t="s">
        <v>1540</v>
      </c>
    </row>
    <row r="596" spans="1:11" x14ac:dyDescent="0.3">
      <c r="A596" s="126" t="s">
        <v>392</v>
      </c>
      <c r="B596" s="126" t="s">
        <v>50</v>
      </c>
      <c r="C596" s="53" t="s">
        <v>2028</v>
      </c>
      <c r="D596" s="53" t="s">
        <v>2029</v>
      </c>
      <c r="E596" s="131">
        <v>45845</v>
      </c>
      <c r="F596" s="127" t="s">
        <v>842</v>
      </c>
      <c r="G596" s="127" t="s">
        <v>843</v>
      </c>
      <c r="H596" s="54">
        <v>22000</v>
      </c>
      <c r="I596" s="138">
        <v>0.44600000000000001</v>
      </c>
      <c r="J596" s="44" t="s">
        <v>1977</v>
      </c>
      <c r="K596" s="44" t="s">
        <v>1540</v>
      </c>
    </row>
    <row r="597" spans="1:11" x14ac:dyDescent="0.3">
      <c r="A597" s="126" t="s">
        <v>390</v>
      </c>
      <c r="B597" s="126" t="s">
        <v>50</v>
      </c>
      <c r="C597" s="53" t="s">
        <v>2030</v>
      </c>
      <c r="D597" s="53" t="s">
        <v>2031</v>
      </c>
      <c r="E597" s="131">
        <v>45845</v>
      </c>
      <c r="F597" s="127" t="s">
        <v>371</v>
      </c>
      <c r="G597" s="127" t="s">
        <v>864</v>
      </c>
      <c r="H597" s="54">
        <v>15499.2</v>
      </c>
      <c r="I597" s="138">
        <v>0.29199999999999998</v>
      </c>
      <c r="J597" s="44" t="s">
        <v>832</v>
      </c>
      <c r="K597" s="44" t="s">
        <v>1541</v>
      </c>
    </row>
    <row r="598" spans="1:11" x14ac:dyDescent="0.3">
      <c r="A598" s="126" t="s">
        <v>392</v>
      </c>
      <c r="B598" s="126" t="s">
        <v>50</v>
      </c>
      <c r="C598" s="53" t="s">
        <v>2032</v>
      </c>
      <c r="D598" s="53" t="s">
        <v>2033</v>
      </c>
      <c r="E598" s="131">
        <v>45846</v>
      </c>
      <c r="F598" s="127" t="s">
        <v>372</v>
      </c>
      <c r="G598" s="127" t="s">
        <v>10</v>
      </c>
      <c r="H598" s="54">
        <v>25200</v>
      </c>
      <c r="I598" s="138">
        <v>0.379</v>
      </c>
      <c r="J598" s="44" t="s">
        <v>848</v>
      </c>
      <c r="K598" s="44" t="s">
        <v>1540</v>
      </c>
    </row>
    <row r="599" spans="1:11" x14ac:dyDescent="0.3">
      <c r="A599" s="126" t="s">
        <v>392</v>
      </c>
      <c r="B599" s="126" t="s">
        <v>50</v>
      </c>
      <c r="C599" s="53" t="s">
        <v>2034</v>
      </c>
      <c r="D599" s="53" t="s">
        <v>2035</v>
      </c>
      <c r="E599" s="131">
        <v>45846</v>
      </c>
      <c r="F599" s="127" t="s">
        <v>370</v>
      </c>
      <c r="G599" s="127" t="s">
        <v>63</v>
      </c>
      <c r="H599" s="54">
        <v>13250</v>
      </c>
      <c r="I599" s="138">
        <v>0.59399999999999997</v>
      </c>
      <c r="J599" s="44" t="s">
        <v>1835</v>
      </c>
      <c r="K599" s="44" t="s">
        <v>1541</v>
      </c>
    </row>
    <row r="600" spans="1:11" x14ac:dyDescent="0.3">
      <c r="A600" s="126" t="s">
        <v>390</v>
      </c>
      <c r="B600" s="126" t="s">
        <v>50</v>
      </c>
      <c r="C600" s="53" t="s">
        <v>2036</v>
      </c>
      <c r="D600" s="53" t="s">
        <v>2037</v>
      </c>
      <c r="E600" s="131">
        <v>45846</v>
      </c>
      <c r="F600" s="127" t="s">
        <v>371</v>
      </c>
      <c r="G600" s="127" t="s">
        <v>864</v>
      </c>
      <c r="H600" s="54">
        <v>13926.89</v>
      </c>
      <c r="I600" s="138">
        <v>0.47899999999999998</v>
      </c>
      <c r="J600" s="44" t="s">
        <v>832</v>
      </c>
      <c r="K600" s="44" t="s">
        <v>1541</v>
      </c>
    </row>
    <row r="601" spans="1:11" x14ac:dyDescent="0.3">
      <c r="A601" s="126" t="s">
        <v>392</v>
      </c>
      <c r="B601" s="126" t="s">
        <v>50</v>
      </c>
      <c r="C601" s="53" t="s">
        <v>2038</v>
      </c>
      <c r="D601" s="53" t="s">
        <v>2039</v>
      </c>
      <c r="E601" s="131">
        <v>45847</v>
      </c>
      <c r="F601" s="127" t="s">
        <v>370</v>
      </c>
      <c r="G601" s="127" t="s">
        <v>63</v>
      </c>
      <c r="H601" s="54">
        <v>14103</v>
      </c>
      <c r="I601" s="138">
        <v>0.59</v>
      </c>
      <c r="J601" s="44" t="s">
        <v>848</v>
      </c>
      <c r="K601" s="44" t="s">
        <v>1540</v>
      </c>
    </row>
    <row r="602" spans="1:11" x14ac:dyDescent="0.3">
      <c r="A602" s="126" t="s">
        <v>390</v>
      </c>
      <c r="B602" s="126" t="s">
        <v>50</v>
      </c>
      <c r="C602" s="53" t="s">
        <v>2040</v>
      </c>
      <c r="D602" s="53" t="s">
        <v>2041</v>
      </c>
      <c r="E602" s="131">
        <v>45847</v>
      </c>
      <c r="F602" s="127" t="s">
        <v>371</v>
      </c>
      <c r="G602" s="127" t="s">
        <v>864</v>
      </c>
      <c r="H602" s="54">
        <v>18041.650000000001</v>
      </c>
      <c r="I602" s="138">
        <v>0.45</v>
      </c>
      <c r="J602" s="44" t="s">
        <v>832</v>
      </c>
      <c r="K602" s="44" t="s">
        <v>1541</v>
      </c>
    </row>
    <row r="603" spans="1:11" x14ac:dyDescent="0.3">
      <c r="A603" s="126" t="s">
        <v>390</v>
      </c>
      <c r="B603" s="126" t="s">
        <v>50</v>
      </c>
      <c r="C603" s="53" t="s">
        <v>2042</v>
      </c>
      <c r="D603" s="53" t="s">
        <v>2043</v>
      </c>
      <c r="E603" s="131">
        <v>45848</v>
      </c>
      <c r="F603" s="127" t="s">
        <v>371</v>
      </c>
      <c r="G603" s="127" t="s">
        <v>864</v>
      </c>
      <c r="H603" s="54">
        <v>37539.64</v>
      </c>
      <c r="I603" s="138">
        <v>0.16700000000000001</v>
      </c>
      <c r="J603" s="44" t="s">
        <v>832</v>
      </c>
      <c r="K603" s="44" t="s">
        <v>1541</v>
      </c>
    </row>
    <row r="604" spans="1:11" x14ac:dyDescent="0.3">
      <c r="A604" s="126" t="s">
        <v>390</v>
      </c>
      <c r="B604" s="126" t="s">
        <v>50</v>
      </c>
      <c r="C604" s="53" t="s">
        <v>2044</v>
      </c>
      <c r="D604" s="53" t="s">
        <v>2045</v>
      </c>
      <c r="E604" s="131">
        <v>45848</v>
      </c>
      <c r="F604" s="127" t="s">
        <v>371</v>
      </c>
      <c r="G604" s="127" t="s">
        <v>864</v>
      </c>
      <c r="H604" s="54">
        <v>43320.06</v>
      </c>
      <c r="I604" s="138">
        <v>0.16200000000000001</v>
      </c>
      <c r="J604" s="44" t="s">
        <v>832</v>
      </c>
      <c r="K604" s="44" t="s">
        <v>1541</v>
      </c>
    </row>
    <row r="605" spans="1:11" x14ac:dyDescent="0.3">
      <c r="A605" s="126" t="s">
        <v>390</v>
      </c>
      <c r="B605" s="126" t="s">
        <v>50</v>
      </c>
      <c r="C605" s="53" t="s">
        <v>2046</v>
      </c>
      <c r="D605" s="53" t="s">
        <v>2047</v>
      </c>
      <c r="E605" s="131">
        <v>45848</v>
      </c>
      <c r="F605" s="127" t="s">
        <v>371</v>
      </c>
      <c r="G605" s="127" t="s">
        <v>864</v>
      </c>
      <c r="H605" s="54">
        <v>27429.66</v>
      </c>
      <c r="I605" s="138">
        <v>0.18</v>
      </c>
      <c r="J605" s="44" t="s">
        <v>832</v>
      </c>
      <c r="K605" s="44" t="s">
        <v>1541</v>
      </c>
    </row>
    <row r="606" spans="1:11" x14ac:dyDescent="0.3">
      <c r="A606" s="126" t="s">
        <v>390</v>
      </c>
      <c r="B606" s="126" t="s">
        <v>50</v>
      </c>
      <c r="C606" s="53" t="s">
        <v>2048</v>
      </c>
      <c r="D606" s="53" t="s">
        <v>2049</v>
      </c>
      <c r="E606" s="131">
        <v>45848</v>
      </c>
      <c r="F606" s="127" t="s">
        <v>371</v>
      </c>
      <c r="G606" s="127" t="s">
        <v>864</v>
      </c>
      <c r="H606" s="54">
        <v>22871.13</v>
      </c>
      <c r="I606" s="138">
        <v>0.19</v>
      </c>
      <c r="J606" s="44" t="s">
        <v>832</v>
      </c>
      <c r="K606" s="44" t="s">
        <v>1541</v>
      </c>
    </row>
    <row r="607" spans="1:11" x14ac:dyDescent="0.3">
      <c r="A607" s="126" t="s">
        <v>390</v>
      </c>
      <c r="B607" s="126" t="s">
        <v>50</v>
      </c>
      <c r="C607" s="53" t="s">
        <v>2050</v>
      </c>
      <c r="D607" s="53" t="s">
        <v>2051</v>
      </c>
      <c r="E607" s="131">
        <v>45848</v>
      </c>
      <c r="F607" s="127" t="s">
        <v>371</v>
      </c>
      <c r="G607" s="127" t="s">
        <v>864</v>
      </c>
      <c r="H607" s="54">
        <v>17287.900000000001</v>
      </c>
      <c r="I607" s="138">
        <v>0.20899999999999999</v>
      </c>
      <c r="J607" s="44" t="s">
        <v>832</v>
      </c>
      <c r="K607" s="44" t="s">
        <v>1541</v>
      </c>
    </row>
    <row r="608" spans="1:11" x14ac:dyDescent="0.3">
      <c r="A608" s="126" t="s">
        <v>392</v>
      </c>
      <c r="B608" s="126" t="s">
        <v>50</v>
      </c>
      <c r="C608" s="53" t="s">
        <v>2052</v>
      </c>
      <c r="D608" s="53" t="s">
        <v>2053</v>
      </c>
      <c r="E608" s="131">
        <v>45848</v>
      </c>
      <c r="F608" s="127" t="s">
        <v>370</v>
      </c>
      <c r="G608" s="127" t="s">
        <v>63</v>
      </c>
      <c r="H608" s="54">
        <v>8300</v>
      </c>
      <c r="I608" s="138">
        <v>0.34899999999999998</v>
      </c>
      <c r="J608" s="44" t="s">
        <v>848</v>
      </c>
      <c r="K608" s="44" t="s">
        <v>1540</v>
      </c>
    </row>
    <row r="609" spans="1:11" x14ac:dyDescent="0.3">
      <c r="A609" s="126" t="s">
        <v>392</v>
      </c>
      <c r="B609" s="126" t="s">
        <v>50</v>
      </c>
      <c r="C609" s="53" t="s">
        <v>2054</v>
      </c>
      <c r="D609" s="53" t="s">
        <v>2055</v>
      </c>
      <c r="E609" s="131">
        <v>45849</v>
      </c>
      <c r="F609" s="127" t="s">
        <v>370</v>
      </c>
      <c r="G609" s="127" t="s">
        <v>63</v>
      </c>
      <c r="H609" s="54">
        <v>8150</v>
      </c>
      <c r="I609" s="138">
        <v>0.57099999999999995</v>
      </c>
      <c r="J609" s="44" t="s">
        <v>848</v>
      </c>
      <c r="K609" s="44" t="s">
        <v>1540</v>
      </c>
    </row>
    <row r="610" spans="1:11" x14ac:dyDescent="0.3">
      <c r="A610" s="126" t="s">
        <v>392</v>
      </c>
      <c r="B610" s="126" t="s">
        <v>50</v>
      </c>
      <c r="C610" s="53" t="s">
        <v>2056</v>
      </c>
      <c r="D610" s="53" t="s">
        <v>2057</v>
      </c>
      <c r="E610" s="131">
        <v>45849</v>
      </c>
      <c r="F610" s="127" t="s">
        <v>370</v>
      </c>
      <c r="G610" s="127" t="s">
        <v>63</v>
      </c>
      <c r="H610" s="54">
        <v>8000</v>
      </c>
      <c r="I610" s="138">
        <v>0.66200000000000003</v>
      </c>
      <c r="J610" s="44" t="s">
        <v>848</v>
      </c>
      <c r="K610" s="44" t="s">
        <v>1540</v>
      </c>
    </row>
    <row r="611" spans="1:11" x14ac:dyDescent="0.3">
      <c r="A611" s="126" t="s">
        <v>390</v>
      </c>
      <c r="B611" s="126" t="s">
        <v>50</v>
      </c>
      <c r="C611" s="53" t="s">
        <v>2058</v>
      </c>
      <c r="D611" s="53" t="s">
        <v>2059</v>
      </c>
      <c r="E611" s="131">
        <v>45849</v>
      </c>
      <c r="F611" s="127" t="s">
        <v>371</v>
      </c>
      <c r="G611" s="127" t="s">
        <v>864</v>
      </c>
      <c r="H611" s="54">
        <v>25060.27</v>
      </c>
      <c r="I611" s="138">
        <v>0.182</v>
      </c>
      <c r="J611" s="44" t="s">
        <v>832</v>
      </c>
      <c r="K611" s="44" t="s">
        <v>1541</v>
      </c>
    </row>
    <row r="612" spans="1:11" x14ac:dyDescent="0.3">
      <c r="A612" s="126" t="s">
        <v>392</v>
      </c>
      <c r="B612" s="126" t="s">
        <v>50</v>
      </c>
      <c r="C612" s="53" t="s">
        <v>2060</v>
      </c>
      <c r="D612" s="53" t="s">
        <v>2061</v>
      </c>
      <c r="E612" s="131">
        <v>45849</v>
      </c>
      <c r="F612" s="127" t="s">
        <v>842</v>
      </c>
      <c r="G612" s="127" t="s">
        <v>843</v>
      </c>
      <c r="H612" s="54">
        <v>22000</v>
      </c>
      <c r="I612" s="138">
        <v>0.44800000000000001</v>
      </c>
      <c r="J612" s="44" t="s">
        <v>1977</v>
      </c>
      <c r="K612" s="44" t="s">
        <v>1540</v>
      </c>
    </row>
    <row r="613" spans="1:11" x14ac:dyDescent="0.3">
      <c r="A613" s="126" t="s">
        <v>392</v>
      </c>
      <c r="B613" s="126" t="s">
        <v>50</v>
      </c>
      <c r="C613" s="53" t="s">
        <v>2062</v>
      </c>
      <c r="D613" s="53" t="s">
        <v>2063</v>
      </c>
      <c r="E613" s="131">
        <v>45849</v>
      </c>
      <c r="F613" s="127" t="s">
        <v>372</v>
      </c>
      <c r="G613" s="127" t="s">
        <v>10</v>
      </c>
      <c r="H613" s="54">
        <v>41500</v>
      </c>
      <c r="I613" s="138">
        <v>0.376</v>
      </c>
      <c r="J613" s="44" t="s">
        <v>848</v>
      </c>
      <c r="K613" s="44" t="s">
        <v>1540</v>
      </c>
    </row>
    <row r="614" spans="1:11" x14ac:dyDescent="0.3">
      <c r="A614" s="126" t="s">
        <v>392</v>
      </c>
      <c r="B614" s="126" t="s">
        <v>50</v>
      </c>
      <c r="C614" s="53" t="s">
        <v>2064</v>
      </c>
      <c r="D614" s="53" t="s">
        <v>2065</v>
      </c>
      <c r="E614" s="131">
        <v>45849</v>
      </c>
      <c r="F614" s="127" t="s">
        <v>842</v>
      </c>
      <c r="G614" s="127" t="s">
        <v>843</v>
      </c>
      <c r="H614" s="54">
        <v>22000</v>
      </c>
      <c r="I614" s="138">
        <v>0.44800000000000001</v>
      </c>
      <c r="J614" s="44" t="s">
        <v>1977</v>
      </c>
      <c r="K614" s="44" t="s">
        <v>1540</v>
      </c>
    </row>
    <row r="615" spans="1:11" x14ac:dyDescent="0.3">
      <c r="A615" s="126" t="s">
        <v>392</v>
      </c>
      <c r="B615" s="126" t="s">
        <v>50</v>
      </c>
      <c r="C615" s="53" t="s">
        <v>2066</v>
      </c>
      <c r="D615" s="53" t="s">
        <v>2067</v>
      </c>
      <c r="E615" s="131">
        <v>45849</v>
      </c>
      <c r="F615" s="127" t="s">
        <v>842</v>
      </c>
      <c r="G615" s="127" t="s">
        <v>843</v>
      </c>
      <c r="H615" s="54">
        <v>22000</v>
      </c>
      <c r="I615" s="138">
        <v>0.44800000000000001</v>
      </c>
      <c r="J615" s="44" t="s">
        <v>1977</v>
      </c>
      <c r="K615" s="44" t="s">
        <v>1540</v>
      </c>
    </row>
    <row r="616" spans="1:11" x14ac:dyDescent="0.3">
      <c r="A616" s="126" t="s">
        <v>392</v>
      </c>
      <c r="B616" s="126" t="s">
        <v>50</v>
      </c>
      <c r="C616" s="53" t="s">
        <v>2068</v>
      </c>
      <c r="D616" s="53" t="s">
        <v>2069</v>
      </c>
      <c r="E616" s="131">
        <v>45852</v>
      </c>
      <c r="F616" s="127" t="s">
        <v>370</v>
      </c>
      <c r="G616" s="127" t="s">
        <v>63</v>
      </c>
      <c r="H616" s="54">
        <v>6800</v>
      </c>
      <c r="I616" s="138">
        <v>0.73499999999999999</v>
      </c>
      <c r="J616" s="44" t="s">
        <v>848</v>
      </c>
      <c r="K616" s="44" t="s">
        <v>1540</v>
      </c>
    </row>
    <row r="617" spans="1:11" x14ac:dyDescent="0.3">
      <c r="A617" s="126" t="s">
        <v>392</v>
      </c>
      <c r="B617" s="126" t="s">
        <v>50</v>
      </c>
      <c r="C617" s="53" t="s">
        <v>2070</v>
      </c>
      <c r="D617" s="53" t="s">
        <v>2071</v>
      </c>
      <c r="E617" s="131">
        <v>45852</v>
      </c>
      <c r="F617" s="127" t="s">
        <v>370</v>
      </c>
      <c r="G617" s="127" t="s">
        <v>63</v>
      </c>
      <c r="H617" s="54">
        <v>10600</v>
      </c>
      <c r="I617" s="138">
        <v>0.73499999999999999</v>
      </c>
      <c r="J617" s="44" t="s">
        <v>1835</v>
      </c>
      <c r="K617" s="44" t="s">
        <v>1540</v>
      </c>
    </row>
    <row r="618" spans="1:11" x14ac:dyDescent="0.3">
      <c r="A618" s="126" t="s">
        <v>392</v>
      </c>
      <c r="B618" s="126" t="s">
        <v>50</v>
      </c>
      <c r="C618" s="53" t="s">
        <v>2072</v>
      </c>
      <c r="D618" s="53" t="s">
        <v>2073</v>
      </c>
      <c r="E618" s="131">
        <v>45852</v>
      </c>
      <c r="F618" s="127" t="s">
        <v>370</v>
      </c>
      <c r="G618" s="127" t="s">
        <v>63</v>
      </c>
      <c r="H618" s="54">
        <v>8150</v>
      </c>
      <c r="I618" s="138">
        <v>0.53400000000000003</v>
      </c>
      <c r="J618" s="44" t="s">
        <v>1835</v>
      </c>
      <c r="K618" s="44" t="s">
        <v>1540</v>
      </c>
    </row>
    <row r="619" spans="1:11" x14ac:dyDescent="0.3">
      <c r="A619" s="126" t="s">
        <v>390</v>
      </c>
      <c r="B619" s="126" t="s">
        <v>50</v>
      </c>
      <c r="C619" s="53" t="s">
        <v>2074</v>
      </c>
      <c r="D619" s="53" t="s">
        <v>2075</v>
      </c>
      <c r="E619" s="131">
        <v>45852</v>
      </c>
      <c r="F619" s="127" t="s">
        <v>375</v>
      </c>
      <c r="G619" s="127" t="s">
        <v>62</v>
      </c>
      <c r="H619" s="54">
        <v>11596.990000000002</v>
      </c>
      <c r="I619" s="138">
        <v>0.40899999999999997</v>
      </c>
      <c r="J619" s="44" t="s">
        <v>831</v>
      </c>
      <c r="K619" s="44" t="s">
        <v>1541</v>
      </c>
    </row>
    <row r="620" spans="1:11" x14ac:dyDescent="0.3">
      <c r="A620" s="126" t="s">
        <v>390</v>
      </c>
      <c r="B620" s="126" t="s">
        <v>50</v>
      </c>
      <c r="C620" s="53" t="s">
        <v>2076</v>
      </c>
      <c r="D620" s="53" t="s">
        <v>2077</v>
      </c>
      <c r="E620" s="131">
        <v>45853</v>
      </c>
      <c r="F620" s="127" t="s">
        <v>371</v>
      </c>
      <c r="G620" s="127" t="s">
        <v>864</v>
      </c>
      <c r="H620" s="54">
        <v>75360.51999999999</v>
      </c>
      <c r="I620" s="138">
        <v>0.17299999999999999</v>
      </c>
      <c r="J620" s="44" t="s">
        <v>832</v>
      </c>
      <c r="K620" s="44" t="s">
        <v>1541</v>
      </c>
    </row>
    <row r="621" spans="1:11" x14ac:dyDescent="0.3">
      <c r="A621" s="126" t="s">
        <v>392</v>
      </c>
      <c r="B621" s="126" t="s">
        <v>50</v>
      </c>
      <c r="C621" s="53" t="s">
        <v>2078</v>
      </c>
      <c r="D621" s="53" t="s">
        <v>2079</v>
      </c>
      <c r="E621" s="131">
        <v>45853</v>
      </c>
      <c r="F621" s="127" t="s">
        <v>842</v>
      </c>
      <c r="G621" s="127" t="s">
        <v>843</v>
      </c>
      <c r="H621" s="54">
        <v>22000</v>
      </c>
      <c r="I621" s="138">
        <v>0.45100000000000001</v>
      </c>
      <c r="J621" s="44" t="s">
        <v>1977</v>
      </c>
      <c r="K621" s="44" t="s">
        <v>1540</v>
      </c>
    </row>
    <row r="622" spans="1:11" x14ac:dyDescent="0.3">
      <c r="A622" s="126" t="s">
        <v>392</v>
      </c>
      <c r="B622" s="126" t="s">
        <v>50</v>
      </c>
      <c r="C622" s="53" t="s">
        <v>2080</v>
      </c>
      <c r="D622" s="53" t="s">
        <v>2081</v>
      </c>
      <c r="E622" s="131">
        <v>45853</v>
      </c>
      <c r="F622" s="127" t="s">
        <v>372</v>
      </c>
      <c r="G622" s="127" t="s">
        <v>10</v>
      </c>
      <c r="H622" s="54">
        <v>43600</v>
      </c>
      <c r="I622" s="138">
        <v>0.38900000000000001</v>
      </c>
      <c r="J622" s="44" t="s">
        <v>848</v>
      </c>
      <c r="K622" s="44" t="s">
        <v>1540</v>
      </c>
    </row>
    <row r="623" spans="1:11" x14ac:dyDescent="0.3">
      <c r="A623" s="126" t="s">
        <v>392</v>
      </c>
      <c r="B623" s="126" t="s">
        <v>50</v>
      </c>
      <c r="C623" s="53" t="s">
        <v>2082</v>
      </c>
      <c r="D623" s="53" t="s">
        <v>2083</v>
      </c>
      <c r="E623" s="131">
        <v>45853</v>
      </c>
      <c r="F623" s="127" t="s">
        <v>372</v>
      </c>
      <c r="G623" s="127" t="s">
        <v>10</v>
      </c>
      <c r="H623" s="54">
        <v>4000</v>
      </c>
      <c r="I623" s="138">
        <v>0.6</v>
      </c>
      <c r="J623" s="44" t="s">
        <v>848</v>
      </c>
      <c r="K623" s="44" t="s">
        <v>1540</v>
      </c>
    </row>
    <row r="624" spans="1:11" x14ac:dyDescent="0.3">
      <c r="A624" s="126" t="s">
        <v>390</v>
      </c>
      <c r="B624" s="126" t="s">
        <v>50</v>
      </c>
      <c r="C624" s="53" t="s">
        <v>2084</v>
      </c>
      <c r="D624" s="53" t="s">
        <v>2085</v>
      </c>
      <c r="E624" s="131">
        <v>45853</v>
      </c>
      <c r="F624" s="127" t="s">
        <v>619</v>
      </c>
      <c r="G624" s="127" t="s">
        <v>2086</v>
      </c>
      <c r="H624" s="54">
        <v>19500</v>
      </c>
      <c r="I624" s="138">
        <v>0.55600000000000005</v>
      </c>
      <c r="J624" s="44" t="s">
        <v>833</v>
      </c>
      <c r="K624" s="44" t="s">
        <v>1541</v>
      </c>
    </row>
    <row r="625" spans="1:11" x14ac:dyDescent="0.3">
      <c r="A625" s="126" t="s">
        <v>392</v>
      </c>
      <c r="B625" s="126" t="s">
        <v>50</v>
      </c>
      <c r="C625" s="53" t="s">
        <v>2087</v>
      </c>
      <c r="D625" s="53" t="s">
        <v>2088</v>
      </c>
      <c r="E625" s="131">
        <v>45853</v>
      </c>
      <c r="F625" s="127" t="s">
        <v>844</v>
      </c>
      <c r="G625" s="127" t="s">
        <v>846</v>
      </c>
      <c r="H625" s="54">
        <v>11640.93</v>
      </c>
      <c r="I625" s="138">
        <v>0.23100000000000001</v>
      </c>
      <c r="J625" s="44" t="s">
        <v>1977</v>
      </c>
      <c r="K625" s="44" t="s">
        <v>1540</v>
      </c>
    </row>
    <row r="626" spans="1:11" x14ac:dyDescent="0.3">
      <c r="A626" s="126" t="s">
        <v>390</v>
      </c>
      <c r="B626" s="126" t="s">
        <v>50</v>
      </c>
      <c r="C626" s="53" t="s">
        <v>2089</v>
      </c>
      <c r="D626" s="53" t="s">
        <v>2090</v>
      </c>
      <c r="E626" s="131">
        <v>45854</v>
      </c>
      <c r="F626" s="127" t="s">
        <v>371</v>
      </c>
      <c r="G626" s="127" t="s">
        <v>864</v>
      </c>
      <c r="H626" s="54">
        <v>59451.85</v>
      </c>
      <c r="I626" s="138">
        <v>0.153</v>
      </c>
      <c r="J626" s="44" t="s">
        <v>832</v>
      </c>
      <c r="K626" s="44" t="s">
        <v>1541</v>
      </c>
    </row>
    <row r="627" spans="1:11" x14ac:dyDescent="0.3">
      <c r="A627" s="126" t="s">
        <v>392</v>
      </c>
      <c r="B627" s="126" t="s">
        <v>50</v>
      </c>
      <c r="C627" s="53" t="s">
        <v>2091</v>
      </c>
      <c r="D627" s="53" t="s">
        <v>2092</v>
      </c>
      <c r="E627" s="131">
        <v>45854</v>
      </c>
      <c r="F627" s="127" t="s">
        <v>370</v>
      </c>
      <c r="G627" s="127" t="s">
        <v>63</v>
      </c>
      <c r="H627" s="54">
        <v>11000</v>
      </c>
      <c r="I627" s="138">
        <v>0.64500000000000002</v>
      </c>
      <c r="J627" s="44" t="s">
        <v>848</v>
      </c>
      <c r="K627" s="44" t="s">
        <v>1540</v>
      </c>
    </row>
    <row r="628" spans="1:11" x14ac:dyDescent="0.3">
      <c r="A628" s="126" t="s">
        <v>392</v>
      </c>
      <c r="B628" s="126" t="s">
        <v>50</v>
      </c>
      <c r="C628" s="53" t="s">
        <v>2093</v>
      </c>
      <c r="D628" s="53" t="s">
        <v>2094</v>
      </c>
      <c r="E628" s="131">
        <v>45854</v>
      </c>
      <c r="F628" s="127" t="s">
        <v>370</v>
      </c>
      <c r="G628" s="127" t="s">
        <v>63</v>
      </c>
      <c r="H628" s="54">
        <v>6000</v>
      </c>
      <c r="I628" s="138">
        <v>0.7</v>
      </c>
      <c r="J628" s="44" t="s">
        <v>1835</v>
      </c>
      <c r="K628" s="44" t="s">
        <v>1540</v>
      </c>
    </row>
    <row r="629" spans="1:11" x14ac:dyDescent="0.3">
      <c r="A629" s="126" t="s">
        <v>390</v>
      </c>
      <c r="B629" s="126" t="s">
        <v>50</v>
      </c>
      <c r="C629" s="53" t="s">
        <v>2095</v>
      </c>
      <c r="D629" s="53" t="s">
        <v>2096</v>
      </c>
      <c r="E629" s="131">
        <v>45854</v>
      </c>
      <c r="F629" s="127" t="s">
        <v>376</v>
      </c>
      <c r="G629" s="127" t="s">
        <v>14</v>
      </c>
      <c r="H629" s="54">
        <v>11448.470000000001</v>
      </c>
      <c r="I629" s="138">
        <v>0.312</v>
      </c>
      <c r="J629" s="44" t="s">
        <v>832</v>
      </c>
      <c r="K629" s="44" t="s">
        <v>1541</v>
      </c>
    </row>
    <row r="630" spans="1:11" x14ac:dyDescent="0.3">
      <c r="A630" s="126" t="s">
        <v>392</v>
      </c>
      <c r="B630" s="126" t="s">
        <v>50</v>
      </c>
      <c r="C630" s="53" t="s">
        <v>2097</v>
      </c>
      <c r="D630" s="53" t="s">
        <v>2098</v>
      </c>
      <c r="E630" s="131">
        <v>45854</v>
      </c>
      <c r="F630" s="127" t="s">
        <v>370</v>
      </c>
      <c r="G630" s="127" t="s">
        <v>63</v>
      </c>
      <c r="H630" s="54">
        <v>6700</v>
      </c>
      <c r="I630" s="138">
        <v>0.56699999999999995</v>
      </c>
      <c r="J630" s="44" t="s">
        <v>1835</v>
      </c>
      <c r="K630" s="44" t="s">
        <v>1540</v>
      </c>
    </row>
    <row r="631" spans="1:11" x14ac:dyDescent="0.3">
      <c r="A631" s="126" t="s">
        <v>390</v>
      </c>
      <c r="B631" s="126" t="s">
        <v>50</v>
      </c>
      <c r="C631" s="53" t="s">
        <v>2099</v>
      </c>
      <c r="D631" s="53" t="s">
        <v>2100</v>
      </c>
      <c r="E631" s="131">
        <v>45854</v>
      </c>
      <c r="F631" s="127" t="s">
        <v>371</v>
      </c>
      <c r="G631" s="127" t="s">
        <v>864</v>
      </c>
      <c r="H631" s="54">
        <v>14317.13</v>
      </c>
      <c r="I631" s="138">
        <v>0.432</v>
      </c>
      <c r="J631" s="44" t="s">
        <v>832</v>
      </c>
      <c r="K631" s="44" t="s">
        <v>1541</v>
      </c>
    </row>
    <row r="632" spans="1:11" x14ac:dyDescent="0.3">
      <c r="A632" s="126" t="s">
        <v>390</v>
      </c>
      <c r="B632" s="126" t="s">
        <v>50</v>
      </c>
      <c r="C632" s="53" t="s">
        <v>2101</v>
      </c>
      <c r="D632" s="53" t="s">
        <v>2102</v>
      </c>
      <c r="E632" s="131">
        <v>45855</v>
      </c>
      <c r="F632" s="127" t="s">
        <v>371</v>
      </c>
      <c r="G632" s="127" t="s">
        <v>864</v>
      </c>
      <c r="H632" s="54">
        <v>254608.83000000002</v>
      </c>
      <c r="I632" s="138">
        <v>0.17299999999999999</v>
      </c>
      <c r="J632" s="44" t="s">
        <v>833</v>
      </c>
      <c r="K632" s="44" t="s">
        <v>1542</v>
      </c>
    </row>
    <row r="633" spans="1:11" x14ac:dyDescent="0.3">
      <c r="A633" s="126" t="s">
        <v>390</v>
      </c>
      <c r="B633" s="126" t="s">
        <v>50</v>
      </c>
      <c r="C633" s="53" t="s">
        <v>2103</v>
      </c>
      <c r="D633" s="53" t="s">
        <v>2104</v>
      </c>
      <c r="E633" s="131">
        <v>45855</v>
      </c>
      <c r="F633" s="127" t="s">
        <v>371</v>
      </c>
      <c r="G633" s="127" t="s">
        <v>864</v>
      </c>
      <c r="H633" s="54">
        <v>96291.78</v>
      </c>
      <c r="I633" s="138">
        <v>0.17100000000000001</v>
      </c>
      <c r="J633" s="44" t="s">
        <v>833</v>
      </c>
      <c r="K633" s="44" t="s">
        <v>1542</v>
      </c>
    </row>
    <row r="634" spans="1:11" x14ac:dyDescent="0.3">
      <c r="A634" s="126" t="s">
        <v>392</v>
      </c>
      <c r="B634" s="126" t="s">
        <v>50</v>
      </c>
      <c r="C634" s="53" t="s">
        <v>2105</v>
      </c>
      <c r="D634" s="53" t="s">
        <v>2106</v>
      </c>
      <c r="E634" s="131">
        <v>45855</v>
      </c>
      <c r="F634" s="127" t="s">
        <v>370</v>
      </c>
      <c r="G634" s="127" t="s">
        <v>63</v>
      </c>
      <c r="H634" s="54">
        <v>17900</v>
      </c>
      <c r="I634" s="138">
        <v>0.50800000000000001</v>
      </c>
      <c r="J634" s="44" t="s">
        <v>1835</v>
      </c>
      <c r="K634" s="44" t="s">
        <v>1540</v>
      </c>
    </row>
    <row r="635" spans="1:11" x14ac:dyDescent="0.3">
      <c r="A635" s="126" t="s">
        <v>392</v>
      </c>
      <c r="B635" s="126" t="s">
        <v>50</v>
      </c>
      <c r="C635" s="53" t="s">
        <v>2107</v>
      </c>
      <c r="D635" s="53" t="s">
        <v>2108</v>
      </c>
      <c r="E635" s="131">
        <v>45855</v>
      </c>
      <c r="F635" s="127" t="s">
        <v>370</v>
      </c>
      <c r="G635" s="127" t="s">
        <v>63</v>
      </c>
      <c r="H635" s="54">
        <v>8300</v>
      </c>
      <c r="I635" s="138">
        <v>0.56599999999999995</v>
      </c>
      <c r="J635" s="44" t="s">
        <v>1835</v>
      </c>
      <c r="K635" s="44" t="s">
        <v>1540</v>
      </c>
    </row>
    <row r="636" spans="1:11" x14ac:dyDescent="0.3">
      <c r="A636" s="126" t="s">
        <v>390</v>
      </c>
      <c r="B636" s="126" t="s">
        <v>50</v>
      </c>
      <c r="C636" s="53" t="s">
        <v>2109</v>
      </c>
      <c r="D636" s="53" t="s">
        <v>1975</v>
      </c>
      <c r="E636" s="131">
        <v>45856</v>
      </c>
      <c r="F636" s="127" t="s">
        <v>372</v>
      </c>
      <c r="G636" s="127" t="s">
        <v>10</v>
      </c>
      <c r="H636" s="54">
        <v>104036.54</v>
      </c>
      <c r="I636" s="138">
        <v>0.28399999999999997</v>
      </c>
      <c r="J636" s="44" t="s">
        <v>833</v>
      </c>
      <c r="K636" s="44" t="s">
        <v>1542</v>
      </c>
    </row>
    <row r="637" spans="1:11" x14ac:dyDescent="0.3">
      <c r="A637" s="126" t="s">
        <v>390</v>
      </c>
      <c r="B637" s="126" t="s">
        <v>50</v>
      </c>
      <c r="C637" s="53" t="s">
        <v>2110</v>
      </c>
      <c r="D637" s="53" t="s">
        <v>2111</v>
      </c>
      <c r="E637" s="131">
        <v>45856</v>
      </c>
      <c r="F637" s="127" t="s">
        <v>372</v>
      </c>
      <c r="G637" s="127" t="s">
        <v>10</v>
      </c>
      <c r="H637" s="54">
        <v>121895.34</v>
      </c>
      <c r="I637" s="138">
        <v>0.25800000000000001</v>
      </c>
      <c r="J637" s="44" t="s">
        <v>833</v>
      </c>
      <c r="K637" s="44" t="s">
        <v>1542</v>
      </c>
    </row>
    <row r="638" spans="1:11" x14ac:dyDescent="0.3">
      <c r="A638" s="126" t="s">
        <v>390</v>
      </c>
      <c r="B638" s="126" t="s">
        <v>50</v>
      </c>
      <c r="C638" s="53" t="s">
        <v>2112</v>
      </c>
      <c r="D638" s="53" t="s">
        <v>2113</v>
      </c>
      <c r="E638" s="131">
        <v>45856</v>
      </c>
      <c r="F638" s="127" t="s">
        <v>371</v>
      </c>
      <c r="G638" s="127" t="s">
        <v>864</v>
      </c>
      <c r="H638" s="54">
        <v>113979.51</v>
      </c>
      <c r="I638" s="138">
        <v>0.22700000000000001</v>
      </c>
      <c r="J638" s="44" t="s">
        <v>833</v>
      </c>
      <c r="K638" s="44" t="s">
        <v>1542</v>
      </c>
    </row>
    <row r="639" spans="1:11" x14ac:dyDescent="0.3">
      <c r="A639" s="126" t="s">
        <v>390</v>
      </c>
      <c r="B639" s="126" t="s">
        <v>50</v>
      </c>
      <c r="C639" s="53" t="s">
        <v>2114</v>
      </c>
      <c r="D639" s="53" t="s">
        <v>2113</v>
      </c>
      <c r="E639" s="131">
        <v>45856</v>
      </c>
      <c r="F639" s="127" t="s">
        <v>371</v>
      </c>
      <c r="G639" s="127" t="s">
        <v>864</v>
      </c>
      <c r="H639" s="54">
        <v>5250</v>
      </c>
      <c r="I639" s="138">
        <v>0.22700000000000001</v>
      </c>
      <c r="J639" s="44" t="s">
        <v>833</v>
      </c>
      <c r="K639" s="44" t="s">
        <v>1542</v>
      </c>
    </row>
    <row r="640" spans="1:11" x14ac:dyDescent="0.3">
      <c r="A640" s="126" t="s">
        <v>390</v>
      </c>
      <c r="B640" s="126" t="s">
        <v>50</v>
      </c>
      <c r="C640" s="53" t="s">
        <v>2115</v>
      </c>
      <c r="D640" s="53" t="s">
        <v>2116</v>
      </c>
      <c r="E640" s="131">
        <v>45856</v>
      </c>
      <c r="F640" s="127" t="s">
        <v>371</v>
      </c>
      <c r="G640" s="127" t="s">
        <v>864</v>
      </c>
      <c r="H640" s="54">
        <v>292437.04000000004</v>
      </c>
      <c r="I640" s="138">
        <v>0.191</v>
      </c>
      <c r="J640" s="44" t="s">
        <v>833</v>
      </c>
      <c r="K640" s="44" t="s">
        <v>1542</v>
      </c>
    </row>
    <row r="641" spans="1:11" x14ac:dyDescent="0.3">
      <c r="A641" s="126" t="s">
        <v>390</v>
      </c>
      <c r="B641" s="126" t="s">
        <v>50</v>
      </c>
      <c r="C641" s="53" t="s">
        <v>2117</v>
      </c>
      <c r="D641" s="53" t="s">
        <v>2116</v>
      </c>
      <c r="E641" s="131">
        <v>45856</v>
      </c>
      <c r="F641" s="127" t="s">
        <v>371</v>
      </c>
      <c r="G641" s="127" t="s">
        <v>864</v>
      </c>
      <c r="H641" s="54">
        <v>5250</v>
      </c>
      <c r="I641" s="138">
        <v>0.191</v>
      </c>
      <c r="J641" s="44" t="s">
        <v>833</v>
      </c>
      <c r="K641" s="44" t="s">
        <v>1542</v>
      </c>
    </row>
    <row r="642" spans="1:11" x14ac:dyDescent="0.3">
      <c r="A642" s="126" t="s">
        <v>392</v>
      </c>
      <c r="B642" s="126" t="s">
        <v>50</v>
      </c>
      <c r="C642" s="53" t="s">
        <v>2118</v>
      </c>
      <c r="D642" s="53" t="s">
        <v>2119</v>
      </c>
      <c r="E642" s="131">
        <v>45859</v>
      </c>
      <c r="F642" s="127" t="s">
        <v>842</v>
      </c>
      <c r="G642" s="127" t="s">
        <v>843</v>
      </c>
      <c r="H642" s="54">
        <v>23900</v>
      </c>
      <c r="I642" s="138">
        <v>0.44</v>
      </c>
      <c r="J642" s="44" t="s">
        <v>1977</v>
      </c>
      <c r="K642" s="44" t="s">
        <v>1540</v>
      </c>
    </row>
    <row r="643" spans="1:11" x14ac:dyDescent="0.3">
      <c r="A643" s="126" t="s">
        <v>392</v>
      </c>
      <c r="B643" s="126" t="s">
        <v>50</v>
      </c>
      <c r="C643" s="53" t="s">
        <v>2120</v>
      </c>
      <c r="D643" s="53" t="s">
        <v>2121</v>
      </c>
      <c r="E643" s="131">
        <v>45859</v>
      </c>
      <c r="F643" s="127" t="s">
        <v>372</v>
      </c>
      <c r="G643" s="127" t="s">
        <v>10</v>
      </c>
      <c r="H643" s="54">
        <v>62532</v>
      </c>
      <c r="I643" s="138">
        <v>0.47099999999999997</v>
      </c>
      <c r="J643" s="44" t="s">
        <v>848</v>
      </c>
      <c r="K643" s="44" t="s">
        <v>1540</v>
      </c>
    </row>
    <row r="644" spans="1:11" x14ac:dyDescent="0.3">
      <c r="A644" s="126" t="s">
        <v>392</v>
      </c>
      <c r="B644" s="126" t="s">
        <v>50</v>
      </c>
      <c r="C644" s="53" t="s">
        <v>2122</v>
      </c>
      <c r="D644" s="53" t="s">
        <v>2123</v>
      </c>
      <c r="E644" s="131">
        <v>45859</v>
      </c>
      <c r="F644" s="127" t="s">
        <v>374</v>
      </c>
      <c r="G644" s="127" t="s">
        <v>2124</v>
      </c>
      <c r="H644" s="54">
        <v>7700</v>
      </c>
      <c r="I644" s="138">
        <v>0.63600000000000001</v>
      </c>
      <c r="J644" s="44" t="s">
        <v>848</v>
      </c>
      <c r="K644" s="44" t="s">
        <v>1540</v>
      </c>
    </row>
    <row r="645" spans="1:11" x14ac:dyDescent="0.3">
      <c r="A645" s="126" t="s">
        <v>392</v>
      </c>
      <c r="B645" s="126" t="s">
        <v>50</v>
      </c>
      <c r="C645" s="53" t="s">
        <v>2125</v>
      </c>
      <c r="D645" s="53" t="s">
        <v>2126</v>
      </c>
      <c r="E645" s="131">
        <v>45860</v>
      </c>
      <c r="F645" s="127" t="s">
        <v>371</v>
      </c>
      <c r="G645" s="127" t="s">
        <v>864</v>
      </c>
      <c r="H645" s="54">
        <v>7063.22</v>
      </c>
      <c r="I645" s="138">
        <v>0.78100000000000003</v>
      </c>
      <c r="J645" s="44" t="s">
        <v>1018</v>
      </c>
      <c r="K645" s="44" t="s">
        <v>1540</v>
      </c>
    </row>
    <row r="646" spans="1:11" x14ac:dyDescent="0.3">
      <c r="A646" s="126" t="s">
        <v>390</v>
      </c>
      <c r="B646" s="126" t="s">
        <v>50</v>
      </c>
      <c r="C646" s="53" t="s">
        <v>2127</v>
      </c>
      <c r="D646" s="53" t="s">
        <v>2128</v>
      </c>
      <c r="E646" s="131">
        <v>45860</v>
      </c>
      <c r="F646" s="127" t="s">
        <v>370</v>
      </c>
      <c r="G646" s="127" t="s">
        <v>63</v>
      </c>
      <c r="H646" s="54">
        <v>8500</v>
      </c>
      <c r="I646" s="138">
        <v>0.52500000000000002</v>
      </c>
      <c r="J646" s="44" t="s">
        <v>1835</v>
      </c>
      <c r="K646" s="44" t="s">
        <v>1541</v>
      </c>
    </row>
    <row r="647" spans="1:11" x14ac:dyDescent="0.3">
      <c r="A647" s="126" t="s">
        <v>390</v>
      </c>
      <c r="B647" s="126" t="s">
        <v>50</v>
      </c>
      <c r="C647" s="53" t="s">
        <v>2129</v>
      </c>
      <c r="D647" s="53" t="s">
        <v>2130</v>
      </c>
      <c r="E647" s="131">
        <v>45860</v>
      </c>
      <c r="F647" s="127" t="s">
        <v>2131</v>
      </c>
      <c r="G647" s="127" t="s">
        <v>2132</v>
      </c>
      <c r="H647" s="54">
        <v>12600</v>
      </c>
      <c r="I647" s="138">
        <v>0.68200000000000005</v>
      </c>
      <c r="J647" s="44" t="s">
        <v>831</v>
      </c>
      <c r="K647" s="44" t="s">
        <v>1541</v>
      </c>
    </row>
    <row r="648" spans="1:11" x14ac:dyDescent="0.3">
      <c r="A648" s="126" t="s">
        <v>392</v>
      </c>
      <c r="B648" s="126" t="s">
        <v>50</v>
      </c>
      <c r="C648" s="53" t="s">
        <v>2133</v>
      </c>
      <c r="D648" s="53" t="s">
        <v>2134</v>
      </c>
      <c r="E648" s="131">
        <v>45860</v>
      </c>
      <c r="F648" s="127" t="s">
        <v>371</v>
      </c>
      <c r="G648" s="127" t="s">
        <v>864</v>
      </c>
      <c r="H648" s="54">
        <v>7400</v>
      </c>
      <c r="I648" s="138">
        <v>0.86299999999999999</v>
      </c>
      <c r="J648" s="44" t="s">
        <v>1018</v>
      </c>
      <c r="K648" s="44" t="s">
        <v>1540</v>
      </c>
    </row>
    <row r="649" spans="1:11" x14ac:dyDescent="0.3">
      <c r="A649" s="126" t="s">
        <v>390</v>
      </c>
      <c r="B649" s="126" t="s">
        <v>50</v>
      </c>
      <c r="C649" s="53" t="s">
        <v>2135</v>
      </c>
      <c r="D649" s="53" t="s">
        <v>2136</v>
      </c>
      <c r="E649" s="131">
        <v>45860</v>
      </c>
      <c r="F649" s="127" t="s">
        <v>372</v>
      </c>
      <c r="G649" s="127" t="s">
        <v>10</v>
      </c>
      <c r="H649" s="54">
        <v>3540</v>
      </c>
      <c r="I649" s="138">
        <v>0.25900000000000001</v>
      </c>
      <c r="J649" s="44" t="s">
        <v>833</v>
      </c>
      <c r="K649" s="44" t="s">
        <v>1542</v>
      </c>
    </row>
    <row r="650" spans="1:11" x14ac:dyDescent="0.3">
      <c r="A650" s="126" t="s">
        <v>390</v>
      </c>
      <c r="B650" s="126" t="s">
        <v>50</v>
      </c>
      <c r="C650" s="53" t="s">
        <v>2137</v>
      </c>
      <c r="D650" s="53" t="s">
        <v>2138</v>
      </c>
      <c r="E650" s="131">
        <v>45860</v>
      </c>
      <c r="F650" s="127" t="s">
        <v>371</v>
      </c>
      <c r="G650" s="127" t="s">
        <v>864</v>
      </c>
      <c r="H650" s="54">
        <v>13197.19</v>
      </c>
      <c r="I650" s="138">
        <v>0.191</v>
      </c>
      <c r="J650" s="44" t="s">
        <v>832</v>
      </c>
      <c r="K650" s="44" t="s">
        <v>1541</v>
      </c>
    </row>
    <row r="651" spans="1:11" x14ac:dyDescent="0.3">
      <c r="A651" s="126" t="s">
        <v>390</v>
      </c>
      <c r="B651" s="126" t="s">
        <v>50</v>
      </c>
      <c r="C651" s="53" t="s">
        <v>2139</v>
      </c>
      <c r="D651" s="53" t="s">
        <v>2140</v>
      </c>
      <c r="E651" s="131">
        <v>45861</v>
      </c>
      <c r="F651" s="127" t="s">
        <v>371</v>
      </c>
      <c r="G651" s="127" t="s">
        <v>864</v>
      </c>
      <c r="H651" s="54">
        <v>24548.080000000002</v>
      </c>
      <c r="I651" s="138">
        <v>0.183</v>
      </c>
      <c r="J651" s="44" t="s">
        <v>832</v>
      </c>
      <c r="K651" s="44" t="s">
        <v>1541</v>
      </c>
    </row>
    <row r="652" spans="1:11" x14ac:dyDescent="0.3">
      <c r="A652" s="126" t="s">
        <v>390</v>
      </c>
      <c r="B652" s="126" t="s">
        <v>50</v>
      </c>
      <c r="C652" s="53" t="s">
        <v>2141</v>
      </c>
      <c r="D652" s="53" t="s">
        <v>2142</v>
      </c>
      <c r="E652" s="131">
        <v>45861</v>
      </c>
      <c r="F652" s="127" t="s">
        <v>371</v>
      </c>
      <c r="G652" s="127" t="s">
        <v>864</v>
      </c>
      <c r="H652" s="54">
        <v>39445.770000000004</v>
      </c>
      <c r="I652" s="138">
        <v>0.16500000000000001</v>
      </c>
      <c r="J652" s="44" t="s">
        <v>832</v>
      </c>
      <c r="K652" s="44" t="s">
        <v>1541</v>
      </c>
    </row>
    <row r="653" spans="1:11" x14ac:dyDescent="0.3">
      <c r="A653" s="126" t="s">
        <v>390</v>
      </c>
      <c r="B653" s="126" t="s">
        <v>50</v>
      </c>
      <c r="C653" s="53" t="s">
        <v>2143</v>
      </c>
      <c r="D653" s="53" t="s">
        <v>2144</v>
      </c>
      <c r="E653" s="131">
        <v>45861</v>
      </c>
      <c r="F653" s="127" t="s">
        <v>371</v>
      </c>
      <c r="G653" s="127" t="s">
        <v>864</v>
      </c>
      <c r="H653" s="54">
        <v>26871.34</v>
      </c>
      <c r="I653" s="138">
        <v>0.18099999999999999</v>
      </c>
      <c r="J653" s="44" t="s">
        <v>832</v>
      </c>
      <c r="K653" s="44" t="s">
        <v>1541</v>
      </c>
    </row>
    <row r="654" spans="1:11" x14ac:dyDescent="0.3">
      <c r="A654" s="126" t="s">
        <v>390</v>
      </c>
      <c r="B654" s="126" t="s">
        <v>50</v>
      </c>
      <c r="C654" s="53" t="s">
        <v>2145</v>
      </c>
      <c r="D654" s="53" t="s">
        <v>2146</v>
      </c>
      <c r="E654" s="131">
        <v>45861</v>
      </c>
      <c r="F654" s="127" t="s">
        <v>371</v>
      </c>
      <c r="G654" s="127" t="s">
        <v>864</v>
      </c>
      <c r="H654" s="54">
        <v>36721.11</v>
      </c>
      <c r="I654" s="138">
        <v>0.219</v>
      </c>
      <c r="J654" s="44" t="s">
        <v>832</v>
      </c>
      <c r="K654" s="44" t="s">
        <v>1541</v>
      </c>
    </row>
    <row r="655" spans="1:11" x14ac:dyDescent="0.3">
      <c r="A655" s="126" t="s">
        <v>390</v>
      </c>
      <c r="B655" s="126" t="s">
        <v>50</v>
      </c>
      <c r="C655" s="53" t="s">
        <v>2147</v>
      </c>
      <c r="D655" s="53" t="s">
        <v>2148</v>
      </c>
      <c r="E655" s="131">
        <v>45861</v>
      </c>
      <c r="F655" s="127" t="s">
        <v>371</v>
      </c>
      <c r="G655" s="127" t="s">
        <v>864</v>
      </c>
      <c r="H655" s="54">
        <v>51369.54</v>
      </c>
      <c r="I655" s="138">
        <v>0.17899999999999999</v>
      </c>
      <c r="J655" s="44" t="s">
        <v>832</v>
      </c>
      <c r="K655" s="44" t="s">
        <v>1541</v>
      </c>
    </row>
    <row r="656" spans="1:11" x14ac:dyDescent="0.3">
      <c r="A656" s="126" t="s">
        <v>390</v>
      </c>
      <c r="B656" s="126" t="s">
        <v>50</v>
      </c>
      <c r="C656" s="53" t="s">
        <v>2149</v>
      </c>
      <c r="D656" s="53" t="s">
        <v>2150</v>
      </c>
      <c r="E656" s="131">
        <v>45861</v>
      </c>
      <c r="F656" s="127" t="s">
        <v>371</v>
      </c>
      <c r="G656" s="127" t="s">
        <v>864</v>
      </c>
      <c r="H656" s="54">
        <v>35655.1</v>
      </c>
      <c r="I656" s="138">
        <v>0.2</v>
      </c>
      <c r="J656" s="44" t="s">
        <v>832</v>
      </c>
      <c r="K656" s="44" t="s">
        <v>1541</v>
      </c>
    </row>
    <row r="657" spans="1:11" x14ac:dyDescent="0.3">
      <c r="A657" s="126" t="s">
        <v>390</v>
      </c>
      <c r="B657" s="126" t="s">
        <v>50</v>
      </c>
      <c r="C657" s="53" t="s">
        <v>2151</v>
      </c>
      <c r="D657" s="53" t="s">
        <v>2152</v>
      </c>
      <c r="E657" s="131">
        <v>45861</v>
      </c>
      <c r="F657" s="127" t="s">
        <v>370</v>
      </c>
      <c r="G657" s="127" t="s">
        <v>63</v>
      </c>
      <c r="H657" s="54">
        <v>17200</v>
      </c>
      <c r="I657" s="138">
        <v>0.52900000000000003</v>
      </c>
      <c r="J657" s="44" t="s">
        <v>1835</v>
      </c>
      <c r="K657" s="44" t="s">
        <v>1541</v>
      </c>
    </row>
    <row r="658" spans="1:11" x14ac:dyDescent="0.3">
      <c r="A658" s="126" t="s">
        <v>392</v>
      </c>
      <c r="B658" s="126" t="s">
        <v>50</v>
      </c>
      <c r="C658" s="53" t="s">
        <v>2153</v>
      </c>
      <c r="D658" s="53" t="s">
        <v>2154</v>
      </c>
      <c r="E658" s="131">
        <v>45861</v>
      </c>
      <c r="F658" s="127" t="s">
        <v>370</v>
      </c>
      <c r="G658" s="127" t="s">
        <v>63</v>
      </c>
      <c r="H658" s="54">
        <v>8500</v>
      </c>
      <c r="I658" s="138">
        <v>0.63500000000000001</v>
      </c>
      <c r="J658" s="44" t="s">
        <v>1835</v>
      </c>
      <c r="K658" s="44" t="s">
        <v>1540</v>
      </c>
    </row>
    <row r="659" spans="1:11" x14ac:dyDescent="0.3">
      <c r="A659" s="126" t="s">
        <v>392</v>
      </c>
      <c r="B659" s="126" t="s">
        <v>50</v>
      </c>
      <c r="C659" s="53" t="s">
        <v>2155</v>
      </c>
      <c r="D659" s="53" t="s">
        <v>2156</v>
      </c>
      <c r="E659" s="131">
        <v>45862</v>
      </c>
      <c r="F659" s="127" t="s">
        <v>370</v>
      </c>
      <c r="G659" s="127" t="s">
        <v>63</v>
      </c>
      <c r="H659" s="54">
        <v>13300</v>
      </c>
      <c r="I659" s="138">
        <v>0.72899999999999998</v>
      </c>
      <c r="J659" s="44" t="s">
        <v>1835</v>
      </c>
      <c r="K659" s="44" t="s">
        <v>1540</v>
      </c>
    </row>
    <row r="660" spans="1:11" x14ac:dyDescent="0.3">
      <c r="A660" s="126" t="s">
        <v>392</v>
      </c>
      <c r="B660" s="126" t="s">
        <v>50</v>
      </c>
      <c r="C660" s="53" t="s">
        <v>2157</v>
      </c>
      <c r="D660" s="53" t="s">
        <v>2158</v>
      </c>
      <c r="E660" s="131">
        <v>45862</v>
      </c>
      <c r="F660" s="127" t="s">
        <v>370</v>
      </c>
      <c r="G660" s="127" t="s">
        <v>63</v>
      </c>
      <c r="H660" s="54">
        <v>650</v>
      </c>
      <c r="I660" s="138">
        <v>0.375</v>
      </c>
      <c r="J660" s="44" t="s">
        <v>848</v>
      </c>
      <c r="K660" s="44" t="s">
        <v>1540</v>
      </c>
    </row>
    <row r="661" spans="1:11" x14ac:dyDescent="0.3">
      <c r="A661" s="126" t="s">
        <v>392</v>
      </c>
      <c r="B661" s="126" t="s">
        <v>50</v>
      </c>
      <c r="C661" s="53" t="s">
        <v>2159</v>
      </c>
      <c r="D661" s="53" t="s">
        <v>2160</v>
      </c>
      <c r="E661" s="131">
        <v>45862</v>
      </c>
      <c r="F661" s="127" t="s">
        <v>370</v>
      </c>
      <c r="G661" s="127" t="s">
        <v>63</v>
      </c>
      <c r="H661" s="54">
        <v>8150</v>
      </c>
      <c r="I661" s="138">
        <v>0.55800000000000005</v>
      </c>
      <c r="J661" s="44" t="s">
        <v>1835</v>
      </c>
      <c r="K661" s="44" t="s">
        <v>1540</v>
      </c>
    </row>
    <row r="662" spans="1:11" x14ac:dyDescent="0.3">
      <c r="A662" s="126" t="s">
        <v>390</v>
      </c>
      <c r="B662" s="126" t="s">
        <v>50</v>
      </c>
      <c r="C662" s="53" t="s">
        <v>2161</v>
      </c>
      <c r="D662" s="53" t="s">
        <v>2162</v>
      </c>
      <c r="E662" s="131">
        <v>45862</v>
      </c>
      <c r="F662" s="127" t="s">
        <v>372</v>
      </c>
      <c r="G662" s="127" t="s">
        <v>10</v>
      </c>
      <c r="H662" s="54">
        <v>75524.56</v>
      </c>
      <c r="I662" s="138">
        <v>0.23599999999999999</v>
      </c>
      <c r="J662" s="44" t="s">
        <v>833</v>
      </c>
      <c r="K662" s="44" t="s">
        <v>1542</v>
      </c>
    </row>
    <row r="663" spans="1:11" x14ac:dyDescent="0.3">
      <c r="A663" s="126" t="s">
        <v>392</v>
      </c>
      <c r="B663" s="126" t="s">
        <v>50</v>
      </c>
      <c r="C663" s="53" t="s">
        <v>2163</v>
      </c>
      <c r="D663" s="53" t="s">
        <v>2164</v>
      </c>
      <c r="E663" s="131">
        <v>45862</v>
      </c>
      <c r="F663" s="127" t="s">
        <v>372</v>
      </c>
      <c r="G663" s="127" t="s">
        <v>10</v>
      </c>
      <c r="H663" s="54">
        <v>42400</v>
      </c>
      <c r="I663" s="138">
        <v>0.39200000000000002</v>
      </c>
      <c r="J663" s="44" t="s">
        <v>848</v>
      </c>
      <c r="K663" s="44" t="s">
        <v>1540</v>
      </c>
    </row>
    <row r="664" spans="1:11" x14ac:dyDescent="0.3">
      <c r="A664" s="126" t="s">
        <v>392</v>
      </c>
      <c r="B664" s="126" t="s">
        <v>50</v>
      </c>
      <c r="C664" s="53" t="s">
        <v>2165</v>
      </c>
      <c r="D664" s="53" t="s">
        <v>2166</v>
      </c>
      <c r="E664" s="131">
        <v>45862</v>
      </c>
      <c r="F664" s="127" t="s">
        <v>372</v>
      </c>
      <c r="G664" s="127" t="s">
        <v>10</v>
      </c>
      <c r="H664" s="54">
        <v>4900</v>
      </c>
      <c r="I664" s="138">
        <v>0.67300000000000004</v>
      </c>
      <c r="J664" s="44" t="s">
        <v>848</v>
      </c>
      <c r="K664" s="44" t="s">
        <v>1540</v>
      </c>
    </row>
    <row r="665" spans="1:11" x14ac:dyDescent="0.3">
      <c r="A665" s="126" t="s">
        <v>390</v>
      </c>
      <c r="B665" s="126" t="s">
        <v>50</v>
      </c>
      <c r="C665" s="53" t="s">
        <v>2167</v>
      </c>
      <c r="D665" s="53" t="s">
        <v>2168</v>
      </c>
      <c r="E665" s="131">
        <v>45862</v>
      </c>
      <c r="F665" s="127" t="s">
        <v>371</v>
      </c>
      <c r="G665" s="127" t="s">
        <v>864</v>
      </c>
      <c r="H665" s="54">
        <v>32941.020000000004</v>
      </c>
      <c r="I665" s="138">
        <v>0.19400000000000001</v>
      </c>
      <c r="J665" s="44" t="s">
        <v>832</v>
      </c>
      <c r="K665" s="44" t="s">
        <v>1541</v>
      </c>
    </row>
    <row r="666" spans="1:11" x14ac:dyDescent="0.3">
      <c r="A666" s="126" t="s">
        <v>392</v>
      </c>
      <c r="B666" s="126" t="s">
        <v>50</v>
      </c>
      <c r="C666" s="53" t="s">
        <v>2169</v>
      </c>
      <c r="D666" s="53" t="s">
        <v>2170</v>
      </c>
      <c r="E666" s="131">
        <v>45861</v>
      </c>
      <c r="F666" s="127" t="s">
        <v>842</v>
      </c>
      <c r="G666" s="127" t="s">
        <v>843</v>
      </c>
      <c r="H666" s="54">
        <v>22000</v>
      </c>
      <c r="I666" s="138">
        <v>0.45</v>
      </c>
      <c r="J666" s="44" t="s">
        <v>1977</v>
      </c>
      <c r="K666" s="44" t="s">
        <v>1540</v>
      </c>
    </row>
    <row r="667" spans="1:11" x14ac:dyDescent="0.3">
      <c r="A667" s="126" t="s">
        <v>392</v>
      </c>
      <c r="B667" s="126" t="s">
        <v>50</v>
      </c>
      <c r="C667" s="53" t="s">
        <v>2171</v>
      </c>
      <c r="D667" s="53" t="s">
        <v>2172</v>
      </c>
      <c r="E667" s="131">
        <v>45863</v>
      </c>
      <c r="F667" s="127" t="s">
        <v>370</v>
      </c>
      <c r="G667" s="127" t="s">
        <v>63</v>
      </c>
      <c r="H667" s="54">
        <v>9300</v>
      </c>
      <c r="I667" s="138">
        <v>0.71</v>
      </c>
      <c r="J667" s="44" t="s">
        <v>1835</v>
      </c>
      <c r="K667" s="44" t="s">
        <v>1540</v>
      </c>
    </row>
    <row r="668" spans="1:11" x14ac:dyDescent="0.3">
      <c r="A668" s="126" t="s">
        <v>392</v>
      </c>
      <c r="B668" s="126" t="s">
        <v>50</v>
      </c>
      <c r="C668" s="53" t="s">
        <v>2173</v>
      </c>
      <c r="D668" s="53" t="s">
        <v>2174</v>
      </c>
      <c r="E668" s="131">
        <v>45863</v>
      </c>
      <c r="F668" s="127" t="s">
        <v>370</v>
      </c>
      <c r="G668" s="127" t="s">
        <v>63</v>
      </c>
      <c r="H668" s="54">
        <v>8300</v>
      </c>
      <c r="I668" s="138">
        <v>0.54200000000000004</v>
      </c>
      <c r="J668" s="44" t="s">
        <v>848</v>
      </c>
      <c r="K668" s="44" t="s">
        <v>1540</v>
      </c>
    </row>
    <row r="669" spans="1:11" x14ac:dyDescent="0.3">
      <c r="A669" s="126" t="s">
        <v>390</v>
      </c>
      <c r="B669" s="126" t="s">
        <v>50</v>
      </c>
      <c r="C669" s="53" t="s">
        <v>2175</v>
      </c>
      <c r="D669" s="53" t="s">
        <v>2176</v>
      </c>
      <c r="E669" s="131">
        <v>45863</v>
      </c>
      <c r="F669" s="127" t="s">
        <v>371</v>
      </c>
      <c r="G669" s="127" t="s">
        <v>864</v>
      </c>
      <c r="H669" s="54">
        <v>414700.39</v>
      </c>
      <c r="I669" s="138">
        <v>0.16400000000000001</v>
      </c>
      <c r="J669" s="44" t="s">
        <v>833</v>
      </c>
      <c r="K669" s="44" t="s">
        <v>1542</v>
      </c>
    </row>
    <row r="670" spans="1:11" x14ac:dyDescent="0.3">
      <c r="A670" s="126" t="s">
        <v>390</v>
      </c>
      <c r="B670" s="126" t="s">
        <v>50</v>
      </c>
      <c r="C670" s="53" t="s">
        <v>2177</v>
      </c>
      <c r="D670" s="53" t="s">
        <v>2178</v>
      </c>
      <c r="E670" s="131">
        <v>45863</v>
      </c>
      <c r="F670" s="127" t="s">
        <v>371</v>
      </c>
      <c r="G670" s="127" t="s">
        <v>864</v>
      </c>
      <c r="H670" s="54">
        <v>38196.33</v>
      </c>
      <c r="I670" s="138">
        <v>0.223</v>
      </c>
      <c r="J670" s="44" t="s">
        <v>832</v>
      </c>
      <c r="K670" s="44" t="s">
        <v>1541</v>
      </c>
    </row>
    <row r="671" spans="1:11" x14ac:dyDescent="0.3">
      <c r="A671" s="126" t="s">
        <v>390</v>
      </c>
      <c r="B671" s="126" t="s">
        <v>50</v>
      </c>
      <c r="C671" s="53" t="s">
        <v>2179</v>
      </c>
      <c r="D671" s="53" t="s">
        <v>2180</v>
      </c>
      <c r="E671" s="131">
        <v>45863</v>
      </c>
      <c r="F671" s="127" t="s">
        <v>371</v>
      </c>
      <c r="G671" s="127" t="s">
        <v>864</v>
      </c>
      <c r="H671" s="54">
        <v>38435.5</v>
      </c>
      <c r="I671" s="138">
        <v>0.222</v>
      </c>
      <c r="J671" s="44" t="s">
        <v>832</v>
      </c>
      <c r="K671" s="44" t="s">
        <v>1541</v>
      </c>
    </row>
    <row r="672" spans="1:11" x14ac:dyDescent="0.3">
      <c r="A672" s="126" t="s">
        <v>390</v>
      </c>
      <c r="B672" s="126" t="s">
        <v>50</v>
      </c>
      <c r="C672" s="53" t="s">
        <v>2181</v>
      </c>
      <c r="D672" s="53" t="s">
        <v>2182</v>
      </c>
      <c r="E672" s="131">
        <v>45863</v>
      </c>
      <c r="F672" s="127" t="s">
        <v>371</v>
      </c>
      <c r="G672" s="127" t="s">
        <v>864</v>
      </c>
      <c r="H672" s="54">
        <v>18027.77</v>
      </c>
      <c r="I672" s="138">
        <v>0.20200000000000001</v>
      </c>
      <c r="J672" s="44" t="s">
        <v>832</v>
      </c>
      <c r="K672" s="44" t="s">
        <v>1541</v>
      </c>
    </row>
    <row r="673" spans="1:11" x14ac:dyDescent="0.3">
      <c r="A673" s="126" t="s">
        <v>392</v>
      </c>
      <c r="B673" s="126" t="s">
        <v>50</v>
      </c>
      <c r="C673" s="53" t="s">
        <v>2183</v>
      </c>
      <c r="D673" s="53" t="s">
        <v>2184</v>
      </c>
      <c r="E673" s="131">
        <v>45863</v>
      </c>
      <c r="F673" s="127" t="s">
        <v>370</v>
      </c>
      <c r="G673" s="127" t="s">
        <v>63</v>
      </c>
      <c r="H673" s="54">
        <v>8500</v>
      </c>
      <c r="I673" s="138">
        <v>0.55300000000000005</v>
      </c>
      <c r="J673" s="44" t="s">
        <v>1835</v>
      </c>
      <c r="K673" s="44" t="s">
        <v>1540</v>
      </c>
    </row>
    <row r="674" spans="1:11" x14ac:dyDescent="0.3">
      <c r="A674" s="126" t="s">
        <v>390</v>
      </c>
      <c r="B674" s="126" t="s">
        <v>50</v>
      </c>
      <c r="C674" s="53" t="s">
        <v>2185</v>
      </c>
      <c r="D674" s="53" t="s">
        <v>2186</v>
      </c>
      <c r="E674" s="131">
        <v>45863</v>
      </c>
      <c r="F674" s="127" t="s">
        <v>371</v>
      </c>
      <c r="G674" s="127" t="s">
        <v>864</v>
      </c>
      <c r="H674" s="54">
        <v>103963.82</v>
      </c>
      <c r="I674" s="138">
        <v>0.16700000000000001</v>
      </c>
      <c r="J674" s="44" t="s">
        <v>833</v>
      </c>
      <c r="K674" s="44" t="s">
        <v>1542</v>
      </c>
    </row>
    <row r="675" spans="1:11" x14ac:dyDescent="0.3">
      <c r="A675" s="126" t="s">
        <v>392</v>
      </c>
      <c r="B675" s="126" t="s">
        <v>50</v>
      </c>
      <c r="C675" s="53" t="s">
        <v>2187</v>
      </c>
      <c r="D675" s="53" t="s">
        <v>2188</v>
      </c>
      <c r="E675" s="131">
        <v>45863</v>
      </c>
      <c r="F675" s="127" t="s">
        <v>370</v>
      </c>
      <c r="G675" s="127" t="s">
        <v>63</v>
      </c>
      <c r="H675" s="54">
        <v>7600</v>
      </c>
      <c r="I675" s="138">
        <v>0.76300000000000001</v>
      </c>
      <c r="J675" s="44" t="s">
        <v>848</v>
      </c>
      <c r="K675" s="44" t="s">
        <v>1540</v>
      </c>
    </row>
    <row r="676" spans="1:11" x14ac:dyDescent="0.3">
      <c r="A676" s="126" t="s">
        <v>390</v>
      </c>
      <c r="B676" s="126" t="s">
        <v>50</v>
      </c>
      <c r="C676" s="53" t="s">
        <v>2189</v>
      </c>
      <c r="D676" s="53" t="s">
        <v>2190</v>
      </c>
      <c r="E676" s="131">
        <v>45866</v>
      </c>
      <c r="F676" s="127" t="s">
        <v>372</v>
      </c>
      <c r="G676" s="127" t="s">
        <v>10</v>
      </c>
      <c r="H676" s="54">
        <v>80024.56</v>
      </c>
      <c r="I676" s="138">
        <v>0.27200000000000002</v>
      </c>
      <c r="J676" s="44" t="s">
        <v>833</v>
      </c>
      <c r="K676" s="44" t="s">
        <v>1542</v>
      </c>
    </row>
    <row r="677" spans="1:11" x14ac:dyDescent="0.3">
      <c r="A677" s="126" t="s">
        <v>392</v>
      </c>
      <c r="B677" s="126" t="s">
        <v>50</v>
      </c>
      <c r="C677" s="53" t="s">
        <v>2191</v>
      </c>
      <c r="D677" s="53" t="s">
        <v>2192</v>
      </c>
      <c r="E677" s="131">
        <v>45866</v>
      </c>
      <c r="F677" s="127" t="s">
        <v>372</v>
      </c>
      <c r="G677" s="127" t="s">
        <v>10</v>
      </c>
      <c r="H677" s="54">
        <v>45100</v>
      </c>
      <c r="I677" s="138">
        <v>0.39100000000000001</v>
      </c>
      <c r="J677" s="44" t="s">
        <v>848</v>
      </c>
      <c r="K677" s="44" t="s">
        <v>1540</v>
      </c>
    </row>
    <row r="678" spans="1:11" x14ac:dyDescent="0.3">
      <c r="A678" s="126" t="s">
        <v>392</v>
      </c>
      <c r="B678" s="126" t="s">
        <v>50</v>
      </c>
      <c r="C678" s="53" t="s">
        <v>2193</v>
      </c>
      <c r="D678" s="53" t="s">
        <v>2194</v>
      </c>
      <c r="E678" s="131">
        <v>45866</v>
      </c>
      <c r="F678" s="127" t="s">
        <v>370</v>
      </c>
      <c r="G678" s="127" t="s">
        <v>63</v>
      </c>
      <c r="H678" s="54">
        <v>6600</v>
      </c>
      <c r="I678" s="138">
        <v>0.72699999999999998</v>
      </c>
      <c r="J678" s="44" t="s">
        <v>1835</v>
      </c>
      <c r="K678" s="44" t="s">
        <v>1540</v>
      </c>
    </row>
    <row r="679" spans="1:11" x14ac:dyDescent="0.3">
      <c r="A679" s="126" t="s">
        <v>392</v>
      </c>
      <c r="B679" s="126" t="s">
        <v>50</v>
      </c>
      <c r="C679" s="53" t="s">
        <v>2195</v>
      </c>
      <c r="D679" s="53" t="s">
        <v>2196</v>
      </c>
      <c r="E679" s="131">
        <v>45866</v>
      </c>
      <c r="F679" s="127" t="s">
        <v>370</v>
      </c>
      <c r="G679" s="127" t="s">
        <v>63</v>
      </c>
      <c r="H679" s="54">
        <v>6600</v>
      </c>
      <c r="I679" s="138">
        <v>0.72699999999999998</v>
      </c>
      <c r="J679" s="44" t="s">
        <v>848</v>
      </c>
      <c r="K679" s="44" t="s">
        <v>1540</v>
      </c>
    </row>
    <row r="680" spans="1:11" x14ac:dyDescent="0.3">
      <c r="A680" s="126" t="s">
        <v>390</v>
      </c>
      <c r="B680" s="126" t="s">
        <v>50</v>
      </c>
      <c r="C680" s="53" t="s">
        <v>2197</v>
      </c>
      <c r="D680" s="53" t="s">
        <v>2198</v>
      </c>
      <c r="E680" s="131">
        <v>45866</v>
      </c>
      <c r="F680" s="127" t="s">
        <v>371</v>
      </c>
      <c r="G680" s="127" t="s">
        <v>864</v>
      </c>
      <c r="H680" s="54">
        <v>109574.62</v>
      </c>
      <c r="I680" s="138">
        <v>0.16</v>
      </c>
      <c r="J680" s="44" t="s">
        <v>833</v>
      </c>
      <c r="K680" s="44" t="s">
        <v>1542</v>
      </c>
    </row>
    <row r="681" spans="1:11" x14ac:dyDescent="0.3">
      <c r="A681" s="126" t="s">
        <v>390</v>
      </c>
      <c r="B681" s="126" t="s">
        <v>50</v>
      </c>
      <c r="C681" s="53" t="s">
        <v>2199</v>
      </c>
      <c r="D681" s="53" t="s">
        <v>2200</v>
      </c>
      <c r="E681" s="131">
        <v>45866</v>
      </c>
      <c r="F681" s="127" t="s">
        <v>371</v>
      </c>
      <c r="G681" s="127" t="s">
        <v>864</v>
      </c>
      <c r="H681" s="54">
        <v>13619.41</v>
      </c>
      <c r="I681" s="138">
        <v>0.47799999999999998</v>
      </c>
      <c r="J681" s="44" t="s">
        <v>832</v>
      </c>
      <c r="K681" s="44" t="s">
        <v>1541</v>
      </c>
    </row>
    <row r="682" spans="1:11" x14ac:dyDescent="0.3">
      <c r="A682" s="126" t="s">
        <v>390</v>
      </c>
      <c r="B682" s="126" t="s">
        <v>50</v>
      </c>
      <c r="C682" s="53" t="s">
        <v>2201</v>
      </c>
      <c r="D682" s="53" t="s">
        <v>2202</v>
      </c>
      <c r="E682" s="131">
        <v>45866</v>
      </c>
      <c r="F682" s="127" t="s">
        <v>371</v>
      </c>
      <c r="G682" s="127" t="s">
        <v>864</v>
      </c>
      <c r="H682" s="54">
        <v>15094.63</v>
      </c>
      <c r="I682" s="138">
        <v>0.39600000000000002</v>
      </c>
      <c r="J682" s="44" t="s">
        <v>832</v>
      </c>
      <c r="K682" s="44" t="s">
        <v>1541</v>
      </c>
    </row>
    <row r="683" spans="1:11" x14ac:dyDescent="0.3">
      <c r="A683" s="126" t="s">
        <v>392</v>
      </c>
      <c r="B683" s="126" t="s">
        <v>50</v>
      </c>
      <c r="C683" s="53" t="s">
        <v>2203</v>
      </c>
      <c r="D683" s="53" t="s">
        <v>2204</v>
      </c>
      <c r="E683" s="131">
        <v>45866</v>
      </c>
      <c r="F683" s="127" t="s">
        <v>370</v>
      </c>
      <c r="G683" s="127" t="s">
        <v>63</v>
      </c>
      <c r="H683" s="54">
        <v>7400</v>
      </c>
      <c r="I683" s="138">
        <v>0.75700000000000001</v>
      </c>
      <c r="J683" s="44" t="s">
        <v>1835</v>
      </c>
      <c r="K683" s="44" t="s">
        <v>1540</v>
      </c>
    </row>
    <row r="684" spans="1:11" x14ac:dyDescent="0.3">
      <c r="A684" s="126" t="s">
        <v>390</v>
      </c>
      <c r="B684" s="126" t="s">
        <v>50</v>
      </c>
      <c r="C684" s="53" t="s">
        <v>2205</v>
      </c>
      <c r="D684" s="53" t="s">
        <v>2206</v>
      </c>
      <c r="E684" s="131">
        <v>45866</v>
      </c>
      <c r="F684" s="127" t="s">
        <v>371</v>
      </c>
      <c r="G684" s="127" t="s">
        <v>864</v>
      </c>
      <c r="H684" s="54">
        <v>55790.76</v>
      </c>
      <c r="I684" s="138">
        <v>0.182</v>
      </c>
      <c r="J684" s="44" t="s">
        <v>833</v>
      </c>
      <c r="K684" s="44" t="s">
        <v>1542</v>
      </c>
    </row>
    <row r="685" spans="1:11" x14ac:dyDescent="0.3">
      <c r="A685" s="126" t="s">
        <v>392</v>
      </c>
      <c r="B685" s="126" t="s">
        <v>50</v>
      </c>
      <c r="C685" s="53" t="s">
        <v>2207</v>
      </c>
      <c r="D685" s="53" t="s">
        <v>2208</v>
      </c>
      <c r="E685" s="131">
        <v>45867</v>
      </c>
      <c r="F685" s="127" t="s">
        <v>372</v>
      </c>
      <c r="G685" s="127" t="s">
        <v>10</v>
      </c>
      <c r="H685" s="54">
        <v>43500</v>
      </c>
      <c r="I685" s="138">
        <v>0.38600000000000001</v>
      </c>
      <c r="J685" s="44" t="s">
        <v>848</v>
      </c>
      <c r="K685" s="44" t="s">
        <v>1540</v>
      </c>
    </row>
    <row r="686" spans="1:11" x14ac:dyDescent="0.3">
      <c r="A686" s="126" t="s">
        <v>390</v>
      </c>
      <c r="B686" s="126" t="s">
        <v>50</v>
      </c>
      <c r="C686" s="53" t="s">
        <v>2209</v>
      </c>
      <c r="D686" s="53" t="s">
        <v>2210</v>
      </c>
      <c r="E686" s="131">
        <v>45867</v>
      </c>
      <c r="F686" s="127" t="s">
        <v>371</v>
      </c>
      <c r="G686" s="127" t="s">
        <v>864</v>
      </c>
      <c r="H686" s="54">
        <v>210909.57</v>
      </c>
      <c r="I686" s="138">
        <v>0.16600000000000001</v>
      </c>
      <c r="J686" s="44" t="s">
        <v>833</v>
      </c>
      <c r="K686" s="44" t="s">
        <v>1542</v>
      </c>
    </row>
    <row r="687" spans="1:11" x14ac:dyDescent="0.3">
      <c r="A687" s="126" t="s">
        <v>392</v>
      </c>
      <c r="B687" s="126" t="s">
        <v>50</v>
      </c>
      <c r="C687" s="53" t="s">
        <v>2211</v>
      </c>
      <c r="D687" s="53" t="s">
        <v>2212</v>
      </c>
      <c r="E687" s="131">
        <v>45867</v>
      </c>
      <c r="F687" s="127" t="s">
        <v>370</v>
      </c>
      <c r="G687" s="127" t="s">
        <v>63</v>
      </c>
      <c r="H687" s="54">
        <v>10300</v>
      </c>
      <c r="I687" s="138">
        <v>0.57299999999999995</v>
      </c>
      <c r="J687" s="44" t="s">
        <v>848</v>
      </c>
      <c r="K687" s="44" t="s">
        <v>1540</v>
      </c>
    </row>
    <row r="688" spans="1:11" x14ac:dyDescent="0.3">
      <c r="A688" s="126" t="s">
        <v>392</v>
      </c>
      <c r="B688" s="126" t="s">
        <v>50</v>
      </c>
      <c r="C688" s="53" t="s">
        <v>2213</v>
      </c>
      <c r="D688" s="53" t="s">
        <v>2214</v>
      </c>
      <c r="E688" s="131">
        <v>45867</v>
      </c>
      <c r="F688" s="127" t="s">
        <v>370</v>
      </c>
      <c r="G688" s="127" t="s">
        <v>63</v>
      </c>
      <c r="H688" s="54">
        <v>8500</v>
      </c>
      <c r="I688" s="138">
        <v>0.57599999999999996</v>
      </c>
      <c r="J688" s="44" t="s">
        <v>848</v>
      </c>
      <c r="K688" s="44" t="s">
        <v>1540</v>
      </c>
    </row>
    <row r="689" spans="1:11" x14ac:dyDescent="0.3">
      <c r="A689" s="126" t="s">
        <v>390</v>
      </c>
      <c r="B689" s="126" t="s">
        <v>50</v>
      </c>
      <c r="C689" s="53" t="s">
        <v>2215</v>
      </c>
      <c r="D689" s="53" t="s">
        <v>2216</v>
      </c>
      <c r="E689" s="131">
        <v>45867</v>
      </c>
      <c r="F689" s="127" t="s">
        <v>371</v>
      </c>
      <c r="G689" s="127" t="s">
        <v>864</v>
      </c>
      <c r="H689" s="54">
        <v>155023.51999999999</v>
      </c>
      <c r="I689" s="138">
        <v>0.16300000000000001</v>
      </c>
      <c r="J689" s="44" t="s">
        <v>833</v>
      </c>
      <c r="K689" s="44" t="s">
        <v>1542</v>
      </c>
    </row>
    <row r="690" spans="1:11" x14ac:dyDescent="0.3">
      <c r="A690" s="126" t="s">
        <v>390</v>
      </c>
      <c r="B690" s="126" t="s">
        <v>50</v>
      </c>
      <c r="C690" s="53" t="s">
        <v>2217</v>
      </c>
      <c r="D690" s="53" t="s">
        <v>1016</v>
      </c>
      <c r="E690" s="131">
        <v>45867</v>
      </c>
      <c r="F690" s="127" t="s">
        <v>1595</v>
      </c>
      <c r="G690" s="127" t="s">
        <v>2218</v>
      </c>
      <c r="H690" s="54">
        <v>436050.55</v>
      </c>
      <c r="I690" s="138">
        <v>-2.7E-2</v>
      </c>
      <c r="J690" s="44" t="s">
        <v>1018</v>
      </c>
      <c r="K690" s="44" t="s">
        <v>1542</v>
      </c>
    </row>
    <row r="691" spans="1:11" x14ac:dyDescent="0.3">
      <c r="A691" s="126" t="s">
        <v>390</v>
      </c>
      <c r="B691" s="126" t="s">
        <v>50</v>
      </c>
      <c r="C691" s="53" t="s">
        <v>2219</v>
      </c>
      <c r="D691" s="53" t="s">
        <v>2220</v>
      </c>
      <c r="E691" s="131">
        <v>45867</v>
      </c>
      <c r="F691" s="127" t="s">
        <v>371</v>
      </c>
      <c r="G691" s="127" t="s">
        <v>864</v>
      </c>
      <c r="H691" s="54">
        <v>149822.59</v>
      </c>
      <c r="I691" s="138">
        <v>0.151</v>
      </c>
      <c r="J691" s="44" t="s">
        <v>832</v>
      </c>
      <c r="K691" s="44" t="s">
        <v>1541</v>
      </c>
    </row>
    <row r="692" spans="1:11" x14ac:dyDescent="0.3">
      <c r="A692" s="126" t="s">
        <v>390</v>
      </c>
      <c r="B692" s="126" t="s">
        <v>50</v>
      </c>
      <c r="C692" s="53" t="s">
        <v>2221</v>
      </c>
      <c r="D692" s="53" t="s">
        <v>2222</v>
      </c>
      <c r="E692" s="131">
        <v>45867</v>
      </c>
      <c r="F692" s="127" t="s">
        <v>370</v>
      </c>
      <c r="G692" s="127" t="s">
        <v>63</v>
      </c>
      <c r="H692" s="54">
        <v>30150</v>
      </c>
      <c r="I692" s="138">
        <v>0.39600000000000002</v>
      </c>
      <c r="J692" s="44" t="s">
        <v>1835</v>
      </c>
      <c r="K692" s="44" t="s">
        <v>1541</v>
      </c>
    </row>
    <row r="693" spans="1:11" x14ac:dyDescent="0.3">
      <c r="A693" s="126" t="s">
        <v>390</v>
      </c>
      <c r="B693" s="126" t="s">
        <v>50</v>
      </c>
      <c r="C693" s="53" t="s">
        <v>2223</v>
      </c>
      <c r="D693" s="53" t="s">
        <v>2224</v>
      </c>
      <c r="E693" s="131">
        <v>45868</v>
      </c>
      <c r="F693" s="127" t="s">
        <v>2225</v>
      </c>
      <c r="G693" s="127" t="s">
        <v>2226</v>
      </c>
      <c r="H693" s="54">
        <v>5066.33</v>
      </c>
      <c r="I693" s="138">
        <v>0.245</v>
      </c>
      <c r="J693" s="44" t="s">
        <v>831</v>
      </c>
      <c r="K693" s="44" t="s">
        <v>1540</v>
      </c>
    </row>
    <row r="694" spans="1:11" x14ac:dyDescent="0.3">
      <c r="A694" s="126" t="s">
        <v>392</v>
      </c>
      <c r="B694" s="126" t="s">
        <v>50</v>
      </c>
      <c r="C694" s="53" t="s">
        <v>2227</v>
      </c>
      <c r="D694" s="53" t="s">
        <v>2228</v>
      </c>
      <c r="E694" s="131">
        <v>45868</v>
      </c>
      <c r="F694" s="127" t="s">
        <v>370</v>
      </c>
      <c r="G694" s="127" t="s">
        <v>63</v>
      </c>
      <c r="H694" s="54">
        <v>11100</v>
      </c>
      <c r="I694" s="138">
        <v>0.68500000000000005</v>
      </c>
      <c r="J694" s="44" t="s">
        <v>1835</v>
      </c>
      <c r="K694" s="44" t="s">
        <v>1540</v>
      </c>
    </row>
    <row r="695" spans="1:11" x14ac:dyDescent="0.3">
      <c r="A695" s="126" t="s">
        <v>390</v>
      </c>
      <c r="B695" s="126" t="s">
        <v>50</v>
      </c>
      <c r="C695" s="53" t="s">
        <v>2229</v>
      </c>
      <c r="D695" s="53" t="s">
        <v>2230</v>
      </c>
      <c r="E695" s="131">
        <v>45868</v>
      </c>
      <c r="F695" s="127" t="s">
        <v>371</v>
      </c>
      <c r="G695" s="127" t="s">
        <v>864</v>
      </c>
      <c r="H695" s="54">
        <v>22609.72</v>
      </c>
      <c r="I695" s="138">
        <v>0.28399999999999997</v>
      </c>
      <c r="J695" s="44" t="s">
        <v>832</v>
      </c>
      <c r="K695" s="44" t="s">
        <v>1541</v>
      </c>
    </row>
    <row r="696" spans="1:11" x14ac:dyDescent="0.3">
      <c r="A696" s="126" t="s">
        <v>392</v>
      </c>
      <c r="B696" s="126" t="s">
        <v>50</v>
      </c>
      <c r="C696" s="53" t="s">
        <v>2231</v>
      </c>
      <c r="D696" s="53" t="s">
        <v>2232</v>
      </c>
      <c r="E696" s="131">
        <v>45868</v>
      </c>
      <c r="F696" s="127" t="s">
        <v>842</v>
      </c>
      <c r="G696" s="127" t="s">
        <v>843</v>
      </c>
      <c r="H696" s="54">
        <v>22000</v>
      </c>
      <c r="I696" s="138">
        <v>0.44700000000000001</v>
      </c>
      <c r="J696" s="44" t="s">
        <v>1977</v>
      </c>
      <c r="K696" s="44" t="s">
        <v>1540</v>
      </c>
    </row>
    <row r="697" spans="1:11" x14ac:dyDescent="0.3">
      <c r="A697" s="126" t="s">
        <v>390</v>
      </c>
      <c r="B697" s="126" t="s">
        <v>50</v>
      </c>
      <c r="C697" s="53" t="s">
        <v>2233</v>
      </c>
      <c r="D697" s="53" t="s">
        <v>2234</v>
      </c>
      <c r="E697" s="131">
        <v>45869</v>
      </c>
      <c r="F697" s="127" t="s">
        <v>371</v>
      </c>
      <c r="G697" s="127" t="s">
        <v>864</v>
      </c>
      <c r="H697" s="54">
        <v>205461.02</v>
      </c>
      <c r="I697" s="138">
        <v>0.16900000000000001</v>
      </c>
      <c r="J697" s="44" t="s">
        <v>833</v>
      </c>
      <c r="K697" s="44" t="s">
        <v>1542</v>
      </c>
    </row>
    <row r="698" spans="1:11" x14ac:dyDescent="0.3">
      <c r="A698" s="126" t="s">
        <v>390</v>
      </c>
      <c r="B698" s="126" t="s">
        <v>50</v>
      </c>
      <c r="C698" s="53" t="s">
        <v>2235</v>
      </c>
      <c r="D698" s="53" t="s">
        <v>2236</v>
      </c>
      <c r="E698" s="131">
        <v>45869</v>
      </c>
      <c r="F698" s="127" t="s">
        <v>371</v>
      </c>
      <c r="G698" s="127" t="s">
        <v>864</v>
      </c>
      <c r="H698" s="54">
        <v>15901.39</v>
      </c>
      <c r="I698" s="138">
        <v>0.67200000000000004</v>
      </c>
      <c r="J698" s="44" t="s">
        <v>832</v>
      </c>
      <c r="K698" s="44" t="s">
        <v>1541</v>
      </c>
    </row>
    <row r="699" spans="1:11" x14ac:dyDescent="0.3">
      <c r="A699" s="126" t="s">
        <v>390</v>
      </c>
      <c r="B699" s="126" t="s">
        <v>50</v>
      </c>
      <c r="C699" s="53" t="s">
        <v>2237</v>
      </c>
      <c r="D699" s="53" t="s">
        <v>2238</v>
      </c>
      <c r="E699" s="131">
        <v>45869</v>
      </c>
      <c r="F699" s="127" t="s">
        <v>371</v>
      </c>
      <c r="G699" s="127" t="s">
        <v>864</v>
      </c>
      <c r="H699" s="54">
        <v>14112.36</v>
      </c>
      <c r="I699" s="138">
        <v>0.46700000000000003</v>
      </c>
      <c r="J699" s="44" t="s">
        <v>832</v>
      </c>
      <c r="K699" s="44" t="s">
        <v>1541</v>
      </c>
    </row>
    <row r="700" spans="1:11" x14ac:dyDescent="0.3">
      <c r="A700" s="126" t="s">
        <v>390</v>
      </c>
      <c r="B700" s="126" t="s">
        <v>50</v>
      </c>
      <c r="C700" s="53" t="s">
        <v>2239</v>
      </c>
      <c r="D700" s="53" t="s">
        <v>2240</v>
      </c>
      <c r="E700" s="131">
        <v>45869</v>
      </c>
      <c r="F700" s="127" t="s">
        <v>371</v>
      </c>
      <c r="G700" s="127" t="s">
        <v>864</v>
      </c>
      <c r="H700" s="54">
        <v>24622.94</v>
      </c>
      <c r="I700" s="138">
        <v>0.51</v>
      </c>
      <c r="J700" s="44" t="s">
        <v>831</v>
      </c>
      <c r="K700" s="44" t="s">
        <v>1542</v>
      </c>
    </row>
    <row r="701" spans="1:11" x14ac:dyDescent="0.3">
      <c r="A701" s="126" t="s">
        <v>392</v>
      </c>
      <c r="B701" s="126" t="s">
        <v>50</v>
      </c>
      <c r="C701" s="53" t="s">
        <v>2241</v>
      </c>
      <c r="D701" s="53" t="s">
        <v>2242</v>
      </c>
      <c r="E701" s="131">
        <v>45869</v>
      </c>
      <c r="F701" s="127" t="s">
        <v>371</v>
      </c>
      <c r="G701" s="127" t="s">
        <v>864</v>
      </c>
      <c r="H701" s="54">
        <v>7400</v>
      </c>
      <c r="I701" s="138">
        <v>0.86299999999999999</v>
      </c>
      <c r="J701" s="44" t="s">
        <v>1977</v>
      </c>
      <c r="K701" s="44" t="s">
        <v>1540</v>
      </c>
    </row>
    <row r="702" spans="1:11" x14ac:dyDescent="0.3">
      <c r="A702" s="126" t="s">
        <v>392</v>
      </c>
      <c r="B702" s="126" t="s">
        <v>50</v>
      </c>
      <c r="C702" s="53" t="s">
        <v>2243</v>
      </c>
      <c r="D702" s="53" t="s">
        <v>2244</v>
      </c>
      <c r="E702" s="131">
        <v>45869</v>
      </c>
      <c r="F702" s="127" t="s">
        <v>371</v>
      </c>
      <c r="G702" s="127" t="s">
        <v>864</v>
      </c>
      <c r="H702" s="54">
        <v>7400</v>
      </c>
      <c r="I702" s="138">
        <v>0.86299999999999999</v>
      </c>
      <c r="J702" s="44" t="s">
        <v>1977</v>
      </c>
      <c r="K702" s="44" t="s">
        <v>1540</v>
      </c>
    </row>
    <row r="703" spans="1:11" x14ac:dyDescent="0.3">
      <c r="A703" s="126" t="s">
        <v>390</v>
      </c>
      <c r="B703" s="126" t="s">
        <v>50</v>
      </c>
      <c r="C703" s="53" t="s">
        <v>2245</v>
      </c>
      <c r="D703" s="53" t="s">
        <v>2246</v>
      </c>
      <c r="E703" s="131">
        <v>45869</v>
      </c>
      <c r="F703" s="127" t="s">
        <v>371</v>
      </c>
      <c r="G703" s="127" t="s">
        <v>864</v>
      </c>
      <c r="H703" s="54">
        <v>79859.789999999994</v>
      </c>
      <c r="I703" s="138">
        <v>0.23100000000000001</v>
      </c>
      <c r="J703" s="44" t="s">
        <v>833</v>
      </c>
      <c r="K703" s="44" t="s">
        <v>1542</v>
      </c>
    </row>
    <row r="704" spans="1:11" x14ac:dyDescent="0.3">
      <c r="A704" s="126" t="s">
        <v>390</v>
      </c>
      <c r="B704" s="126" t="s">
        <v>50</v>
      </c>
      <c r="C704" s="53" t="s">
        <v>2247</v>
      </c>
      <c r="D704" s="53" t="s">
        <v>2248</v>
      </c>
      <c r="E704" s="131">
        <v>45869</v>
      </c>
      <c r="F704" s="127" t="s">
        <v>371</v>
      </c>
      <c r="G704" s="127" t="s">
        <v>864</v>
      </c>
      <c r="H704" s="54">
        <v>111566.63</v>
      </c>
      <c r="I704" s="138">
        <v>0.16200000000000001</v>
      </c>
      <c r="J704" s="44" t="s">
        <v>832</v>
      </c>
      <c r="K704" s="44" t="s">
        <v>1541</v>
      </c>
    </row>
    <row r="705" spans="1:11" x14ac:dyDescent="0.3">
      <c r="A705" s="126" t="s">
        <v>390</v>
      </c>
      <c r="B705" s="126" t="s">
        <v>50</v>
      </c>
      <c r="C705" s="53" t="s">
        <v>2249</v>
      </c>
      <c r="D705" s="53" t="s">
        <v>1830</v>
      </c>
      <c r="E705" s="131">
        <v>45869</v>
      </c>
      <c r="F705" s="127" t="s">
        <v>1007</v>
      </c>
      <c r="G705" s="127" t="s">
        <v>2250</v>
      </c>
      <c r="H705" s="54">
        <v>28784.92</v>
      </c>
      <c r="I705" s="138">
        <v>0.311</v>
      </c>
      <c r="J705" s="44" t="s">
        <v>831</v>
      </c>
      <c r="K705" s="44" t="s">
        <v>1542</v>
      </c>
    </row>
    <row r="706" spans="1:11" x14ac:dyDescent="0.3">
      <c r="A706" s="126" t="s">
        <v>390</v>
      </c>
      <c r="B706" s="126" t="s">
        <v>50</v>
      </c>
      <c r="C706" s="53" t="s">
        <v>2251</v>
      </c>
      <c r="D706" s="53" t="s">
        <v>1830</v>
      </c>
      <c r="E706" s="131">
        <v>45869</v>
      </c>
      <c r="F706" s="127" t="s">
        <v>1007</v>
      </c>
      <c r="G706" s="127" t="s">
        <v>2250</v>
      </c>
      <c r="H706" s="54">
        <v>1258.5999999999999</v>
      </c>
      <c r="I706" s="138">
        <v>0.311</v>
      </c>
      <c r="J706" s="44" t="s">
        <v>831</v>
      </c>
      <c r="K706" s="44" t="s">
        <v>1542</v>
      </c>
    </row>
    <row r="707" spans="1:11" x14ac:dyDescent="0.3">
      <c r="A707" s="126" t="s">
        <v>392</v>
      </c>
      <c r="B707" s="126" t="s">
        <v>50</v>
      </c>
      <c r="C707" s="53" t="s">
        <v>2252</v>
      </c>
      <c r="D707" s="53" t="s">
        <v>2253</v>
      </c>
      <c r="E707" s="131">
        <v>45869</v>
      </c>
      <c r="F707" s="127" t="s">
        <v>842</v>
      </c>
      <c r="G707" s="127" t="s">
        <v>843</v>
      </c>
      <c r="H707" s="54">
        <v>22000</v>
      </c>
      <c r="I707" s="138">
        <v>0.45100000000000001</v>
      </c>
      <c r="J707" s="44" t="s">
        <v>1977</v>
      </c>
      <c r="K707" s="44" t="s">
        <v>1540</v>
      </c>
    </row>
    <row r="708" spans="1:11" x14ac:dyDescent="0.3">
      <c r="A708" s="126" t="s">
        <v>392</v>
      </c>
      <c r="B708" s="126" t="s">
        <v>50</v>
      </c>
      <c r="C708" s="53" t="s">
        <v>2254</v>
      </c>
      <c r="D708" s="53" t="s">
        <v>2255</v>
      </c>
      <c r="E708" s="131">
        <v>45869</v>
      </c>
      <c r="F708" s="127" t="s">
        <v>842</v>
      </c>
      <c r="G708" s="127" t="s">
        <v>843</v>
      </c>
      <c r="H708" s="54">
        <v>22000</v>
      </c>
      <c r="I708" s="138">
        <v>0.44700000000000001</v>
      </c>
      <c r="J708" s="44" t="s">
        <v>1977</v>
      </c>
      <c r="K708" s="44" t="s">
        <v>1540</v>
      </c>
    </row>
    <row r="709" spans="1:11" x14ac:dyDescent="0.3">
      <c r="A709" s="126" t="s">
        <v>392</v>
      </c>
      <c r="B709" s="126" t="s">
        <v>50</v>
      </c>
      <c r="C709" s="53" t="s">
        <v>2256</v>
      </c>
      <c r="D709" s="53" t="s">
        <v>2257</v>
      </c>
      <c r="E709" s="131">
        <v>45869</v>
      </c>
      <c r="F709" s="127" t="s">
        <v>842</v>
      </c>
      <c r="G709" s="127" t="s">
        <v>843</v>
      </c>
      <c r="H709" s="54">
        <v>22000</v>
      </c>
      <c r="I709" s="138">
        <v>0.44700000000000001</v>
      </c>
      <c r="J709" s="44" t="s">
        <v>1977</v>
      </c>
      <c r="K709" s="44" t="s">
        <v>1540</v>
      </c>
    </row>
    <row r="710" spans="1:11" x14ac:dyDescent="0.3">
      <c r="A710" s="126" t="s">
        <v>390</v>
      </c>
      <c r="B710" s="126" t="s">
        <v>50</v>
      </c>
      <c r="C710" s="53" t="s">
        <v>2258</v>
      </c>
      <c r="D710" s="53" t="s">
        <v>2259</v>
      </c>
      <c r="E710" s="131">
        <v>45869</v>
      </c>
      <c r="F710" s="127" t="s">
        <v>375</v>
      </c>
      <c r="G710" s="127" t="s">
        <v>62</v>
      </c>
      <c r="H710" s="54">
        <v>38892.74</v>
      </c>
      <c r="I710" s="138">
        <v>0.191</v>
      </c>
      <c r="J710" s="44" t="s">
        <v>831</v>
      </c>
      <c r="K710" s="44" t="s">
        <v>1542</v>
      </c>
    </row>
    <row r="711" spans="1:11" x14ac:dyDescent="0.3">
      <c r="A711" s="126" t="s">
        <v>390</v>
      </c>
      <c r="B711" s="126" t="s">
        <v>50</v>
      </c>
      <c r="C711" s="53" t="s">
        <v>2260</v>
      </c>
      <c r="D711" s="53" t="s">
        <v>2104</v>
      </c>
      <c r="E711" s="131">
        <v>45869</v>
      </c>
      <c r="F711" s="127" t="s">
        <v>371</v>
      </c>
      <c r="G711" s="127" t="s">
        <v>864</v>
      </c>
      <c r="H711" s="54">
        <v>10120</v>
      </c>
      <c r="I711" s="138">
        <v>0.17100000000000001</v>
      </c>
      <c r="J711" s="44" t="s">
        <v>833</v>
      </c>
      <c r="K711" s="44" t="s">
        <v>1542</v>
      </c>
    </row>
    <row r="712" spans="1:11" x14ac:dyDescent="0.3">
      <c r="A712" s="126" t="s">
        <v>390</v>
      </c>
      <c r="B712" s="126" t="s">
        <v>50</v>
      </c>
      <c r="C712" s="53" t="s">
        <v>2261</v>
      </c>
      <c r="D712" s="53" t="s">
        <v>2246</v>
      </c>
      <c r="E712" s="131">
        <v>45869</v>
      </c>
      <c r="F712" s="127" t="s">
        <v>371</v>
      </c>
      <c r="G712" s="127" t="s">
        <v>864</v>
      </c>
      <c r="H712" s="54">
        <v>5250</v>
      </c>
      <c r="I712" s="138">
        <v>0.23100000000000001</v>
      </c>
      <c r="J712" s="44" t="s">
        <v>833</v>
      </c>
      <c r="K712" s="44" t="s">
        <v>1542</v>
      </c>
    </row>
    <row r="713" spans="1:11" x14ac:dyDescent="0.3">
      <c r="A713" s="126" t="s">
        <v>390</v>
      </c>
      <c r="B713" s="126" t="s">
        <v>50</v>
      </c>
      <c r="C713" s="53" t="s">
        <v>2262</v>
      </c>
      <c r="D713" s="53" t="s">
        <v>2263</v>
      </c>
      <c r="E713" s="131">
        <v>45869</v>
      </c>
      <c r="F713" s="127" t="s">
        <v>371</v>
      </c>
      <c r="G713" s="127" t="s">
        <v>864</v>
      </c>
      <c r="H713" s="54">
        <v>41496.899999999994</v>
      </c>
      <c r="I713" s="138">
        <v>0.20399999999999999</v>
      </c>
      <c r="J713" s="44" t="s">
        <v>832</v>
      </c>
      <c r="K713" s="44" t="s">
        <v>1541</v>
      </c>
    </row>
    <row r="714" spans="1:11" x14ac:dyDescent="0.3">
      <c r="A714" s="126" t="s">
        <v>392</v>
      </c>
      <c r="B714" s="126" t="s">
        <v>50</v>
      </c>
      <c r="C714" s="53" t="s">
        <v>2264</v>
      </c>
      <c r="D714" s="53" t="s">
        <v>2265</v>
      </c>
      <c r="E714" s="131">
        <v>45869</v>
      </c>
      <c r="F714" s="127" t="s">
        <v>371</v>
      </c>
      <c r="G714" s="127" t="s">
        <v>864</v>
      </c>
      <c r="H714" s="54">
        <v>14800</v>
      </c>
      <c r="I714" s="138">
        <v>0.52400000000000002</v>
      </c>
      <c r="J714" s="44" t="s">
        <v>1977</v>
      </c>
      <c r="K714" s="44" t="s">
        <v>1540</v>
      </c>
    </row>
    <row r="715" spans="1:11" x14ac:dyDescent="0.3">
      <c r="A715" s="126" t="s">
        <v>392</v>
      </c>
      <c r="B715" s="126" t="s">
        <v>50</v>
      </c>
      <c r="C715" s="53" t="s">
        <v>2266</v>
      </c>
      <c r="D715" s="53" t="s">
        <v>2267</v>
      </c>
      <c r="E715" s="131">
        <v>45869</v>
      </c>
      <c r="F715" s="127" t="s">
        <v>371</v>
      </c>
      <c r="G715" s="127" t="s">
        <v>864</v>
      </c>
      <c r="H715" s="54">
        <v>14800</v>
      </c>
      <c r="I715" s="138">
        <v>0.52400000000000002</v>
      </c>
      <c r="J715" s="44" t="s">
        <v>848</v>
      </c>
      <c r="K715" s="44" t="s">
        <v>1540</v>
      </c>
    </row>
    <row r="716" spans="1:11" x14ac:dyDescent="0.3">
      <c r="A716" s="126" t="s">
        <v>392</v>
      </c>
      <c r="B716" s="126" t="s">
        <v>50</v>
      </c>
      <c r="C716" s="53" t="s">
        <v>2268</v>
      </c>
      <c r="D716" s="53" t="s">
        <v>2269</v>
      </c>
      <c r="E716" s="131">
        <v>45869</v>
      </c>
      <c r="F716" s="127" t="s">
        <v>371</v>
      </c>
      <c r="G716" s="127" t="s">
        <v>864</v>
      </c>
      <c r="H716" s="54">
        <v>14800</v>
      </c>
      <c r="I716" s="138">
        <v>0.52400000000000002</v>
      </c>
      <c r="J716" s="44" t="s">
        <v>1977</v>
      </c>
      <c r="K716" s="44" t="s">
        <v>1540</v>
      </c>
    </row>
    <row r="717" spans="1:11" x14ac:dyDescent="0.3">
      <c r="A717" s="126" t="s">
        <v>390</v>
      </c>
      <c r="B717" s="126" t="s">
        <v>50</v>
      </c>
      <c r="C717" s="53" t="s">
        <v>2270</v>
      </c>
      <c r="D717" s="53" t="s">
        <v>2271</v>
      </c>
      <c r="E717" s="131">
        <v>45869</v>
      </c>
      <c r="F717" s="127" t="s">
        <v>371</v>
      </c>
      <c r="G717" s="127" t="s">
        <v>864</v>
      </c>
      <c r="H717" s="54">
        <v>158523.54999999999</v>
      </c>
      <c r="I717" s="138">
        <v>0.156</v>
      </c>
      <c r="J717" s="44" t="s">
        <v>833</v>
      </c>
      <c r="K717" s="44" t="s">
        <v>1542</v>
      </c>
    </row>
    <row r="718" spans="1:11" x14ac:dyDescent="0.3">
      <c r="A718" s="126" t="s">
        <v>390</v>
      </c>
      <c r="B718" s="126" t="s">
        <v>50</v>
      </c>
      <c r="C718" s="53" t="s">
        <v>2272</v>
      </c>
      <c r="D718" s="53" t="s">
        <v>2273</v>
      </c>
      <c r="E718" s="131">
        <v>45869</v>
      </c>
      <c r="F718" s="127" t="s">
        <v>2274</v>
      </c>
      <c r="G718" s="127" t="s">
        <v>2275</v>
      </c>
      <c r="H718" s="54">
        <v>5088</v>
      </c>
      <c r="I718" s="138">
        <v>0.32600000000000001</v>
      </c>
      <c r="J718" s="44" t="s">
        <v>831</v>
      </c>
      <c r="K718" s="44" t="s">
        <v>1542</v>
      </c>
    </row>
    <row r="719" spans="1:11" x14ac:dyDescent="0.3">
      <c r="A719" s="126" t="s">
        <v>392</v>
      </c>
      <c r="B719" s="126" t="s">
        <v>50</v>
      </c>
      <c r="C719" s="53" t="s">
        <v>2276</v>
      </c>
      <c r="D719" s="53" t="s">
        <v>2277</v>
      </c>
      <c r="E719" s="131">
        <v>45848</v>
      </c>
      <c r="F719" s="127" t="s">
        <v>2278</v>
      </c>
      <c r="G719" s="127" t="s">
        <v>846</v>
      </c>
      <c r="H719" s="54">
        <v>111439.8</v>
      </c>
      <c r="I719" s="138">
        <v>0.17899999999999999</v>
      </c>
      <c r="J719" s="44" t="s">
        <v>1977</v>
      </c>
      <c r="K719" s="44" t="s">
        <v>1540</v>
      </c>
    </row>
    <row r="720" spans="1:11" x14ac:dyDescent="0.3">
      <c r="A720" s="126" t="s">
        <v>390</v>
      </c>
      <c r="B720" s="126" t="s">
        <v>50</v>
      </c>
      <c r="C720" s="53" t="s">
        <v>2279</v>
      </c>
      <c r="D720" s="53" t="s">
        <v>2280</v>
      </c>
      <c r="E720" s="131">
        <v>45854</v>
      </c>
      <c r="F720" s="127" t="s">
        <v>2281</v>
      </c>
      <c r="G720" s="127" t="s">
        <v>2282</v>
      </c>
      <c r="H720" s="54">
        <v>3956.337</v>
      </c>
      <c r="I720" s="138">
        <v>1</v>
      </c>
      <c r="J720" s="44" t="s">
        <v>831</v>
      </c>
      <c r="K720" s="44" t="s">
        <v>1542</v>
      </c>
    </row>
    <row r="721" spans="1:11" x14ac:dyDescent="0.3">
      <c r="A721" s="126" t="s">
        <v>390</v>
      </c>
      <c r="B721" s="126" t="s">
        <v>50</v>
      </c>
      <c r="C721" s="53" t="s">
        <v>2283</v>
      </c>
      <c r="D721" s="53" t="s">
        <v>2284</v>
      </c>
      <c r="E721" s="131">
        <v>45855</v>
      </c>
      <c r="F721" s="127" t="s">
        <v>2281</v>
      </c>
      <c r="G721" s="127" t="s">
        <v>2282</v>
      </c>
      <c r="H721" s="54">
        <v>3930.7380000000003</v>
      </c>
      <c r="I721" s="138">
        <v>1</v>
      </c>
      <c r="J721" s="44" t="s">
        <v>831</v>
      </c>
      <c r="K721" s="44" t="s">
        <v>1542</v>
      </c>
    </row>
    <row r="722" spans="1:11" x14ac:dyDescent="0.3">
      <c r="A722" s="126" t="s">
        <v>390</v>
      </c>
      <c r="B722" s="126" t="s">
        <v>50</v>
      </c>
      <c r="C722" s="53" t="s">
        <v>2285</v>
      </c>
      <c r="D722" s="53" t="s">
        <v>2286</v>
      </c>
      <c r="E722" s="131">
        <v>45855</v>
      </c>
      <c r="F722" s="127" t="s">
        <v>2281</v>
      </c>
      <c r="G722" s="127" t="s">
        <v>2282</v>
      </c>
      <c r="H722" s="54">
        <v>3930.7380000000003</v>
      </c>
      <c r="I722" s="138">
        <v>1</v>
      </c>
      <c r="J722" s="44" t="s">
        <v>831</v>
      </c>
      <c r="K722" s="44" t="s">
        <v>1542</v>
      </c>
    </row>
    <row r="723" spans="1:11" x14ac:dyDescent="0.3">
      <c r="A723" s="126" t="s">
        <v>390</v>
      </c>
      <c r="B723" s="126" t="s">
        <v>50</v>
      </c>
      <c r="C723" s="53" t="s">
        <v>2287</v>
      </c>
      <c r="D723" s="53" t="s">
        <v>2273</v>
      </c>
      <c r="E723" s="131">
        <v>45859</v>
      </c>
      <c r="F723" s="127" t="s">
        <v>2274</v>
      </c>
      <c r="G723" s="127" t="s">
        <v>2275</v>
      </c>
      <c r="H723" s="54">
        <v>128269.43999999999</v>
      </c>
      <c r="I723" s="138">
        <v>0.32600000000000001</v>
      </c>
      <c r="J723" s="44" t="s">
        <v>831</v>
      </c>
      <c r="K723" s="44" t="s">
        <v>1542</v>
      </c>
    </row>
    <row r="724" spans="1:11" x14ac:dyDescent="0.3">
      <c r="A724" s="126" t="s">
        <v>390</v>
      </c>
      <c r="B724" s="126" t="s">
        <v>50</v>
      </c>
      <c r="C724" s="53" t="s">
        <v>2288</v>
      </c>
      <c r="D724" s="53" t="s">
        <v>2273</v>
      </c>
      <c r="E724" s="131">
        <v>45859</v>
      </c>
      <c r="F724" s="127" t="s">
        <v>2274</v>
      </c>
      <c r="G724" s="127" t="s">
        <v>2275</v>
      </c>
      <c r="H724" s="54">
        <v>6552</v>
      </c>
      <c r="I724" s="138">
        <v>0.32600000000000001</v>
      </c>
      <c r="J724" s="44" t="s">
        <v>831</v>
      </c>
      <c r="K724" s="44" t="s">
        <v>1542</v>
      </c>
    </row>
    <row r="725" spans="1:11" x14ac:dyDescent="0.3">
      <c r="A725" s="126" t="s">
        <v>390</v>
      </c>
      <c r="B725" s="126" t="s">
        <v>50</v>
      </c>
      <c r="C725" s="53" t="s">
        <v>2289</v>
      </c>
      <c r="D725" s="53" t="s">
        <v>2290</v>
      </c>
      <c r="E725" s="131">
        <v>45861</v>
      </c>
      <c r="F725" s="127" t="s">
        <v>372</v>
      </c>
      <c r="G725" s="127" t="s">
        <v>10</v>
      </c>
      <c r="H725" s="54">
        <v>80797.386800000007</v>
      </c>
      <c r="I725" s="138">
        <v>0.26700000000000002</v>
      </c>
      <c r="J725" s="44" t="s">
        <v>831</v>
      </c>
      <c r="K725" s="44" t="s">
        <v>1542</v>
      </c>
    </row>
    <row r="726" spans="1:11" x14ac:dyDescent="0.3">
      <c r="A726" s="126" t="s">
        <v>390</v>
      </c>
      <c r="B726" s="126" t="s">
        <v>50</v>
      </c>
      <c r="C726" s="53" t="s">
        <v>2291</v>
      </c>
      <c r="D726" s="53" t="s">
        <v>2224</v>
      </c>
      <c r="E726" s="131">
        <v>45862</v>
      </c>
      <c r="F726" s="127" t="s">
        <v>2292</v>
      </c>
      <c r="G726" s="127" t="s">
        <v>2293</v>
      </c>
      <c r="H726" s="54">
        <v>71322.239999999991</v>
      </c>
      <c r="I726" s="138">
        <v>0.245</v>
      </c>
      <c r="J726" s="44" t="s">
        <v>831</v>
      </c>
      <c r="K726" s="44" t="s">
        <v>1542</v>
      </c>
    </row>
    <row r="727" spans="1:11" x14ac:dyDescent="0.3">
      <c r="A727" s="126" t="s">
        <v>390</v>
      </c>
      <c r="B727" s="126" t="s">
        <v>50</v>
      </c>
      <c r="C727" s="53" t="s">
        <v>2294</v>
      </c>
      <c r="D727" s="53" t="s">
        <v>2295</v>
      </c>
      <c r="E727" s="131">
        <v>45866</v>
      </c>
      <c r="F727" s="127" t="s">
        <v>372</v>
      </c>
      <c r="G727" s="127" t="s">
        <v>10</v>
      </c>
      <c r="H727" s="54">
        <v>80537.37999999999</v>
      </c>
      <c r="I727" s="138">
        <v>0.29399999999999998</v>
      </c>
      <c r="J727" s="44" t="s">
        <v>831</v>
      </c>
      <c r="K727" s="44" t="s">
        <v>1542</v>
      </c>
    </row>
    <row r="728" spans="1:11" x14ac:dyDescent="0.3">
      <c r="A728" s="126" t="s">
        <v>390</v>
      </c>
      <c r="B728" s="126" t="s">
        <v>50</v>
      </c>
      <c r="C728" s="53" t="s">
        <v>2296</v>
      </c>
      <c r="D728" s="53" t="s">
        <v>2297</v>
      </c>
      <c r="E728" s="131">
        <v>45866</v>
      </c>
      <c r="F728" s="127" t="s">
        <v>2281</v>
      </c>
      <c r="G728" s="127" t="s">
        <v>2282</v>
      </c>
      <c r="H728" s="54">
        <v>3896.97</v>
      </c>
      <c r="I728" s="138">
        <v>1</v>
      </c>
      <c r="J728" s="44" t="s">
        <v>831</v>
      </c>
      <c r="K728" s="44" t="s">
        <v>1542</v>
      </c>
    </row>
    <row r="729" spans="1:11" x14ac:dyDescent="0.3">
      <c r="A729" s="126" t="s">
        <v>390</v>
      </c>
      <c r="B729" s="126" t="s">
        <v>50</v>
      </c>
      <c r="C729" s="53" t="s">
        <v>2298</v>
      </c>
      <c r="D729" s="53" t="s">
        <v>2299</v>
      </c>
      <c r="E729" s="131">
        <v>45867</v>
      </c>
      <c r="F729" s="127" t="s">
        <v>2281</v>
      </c>
      <c r="G729" s="127" t="s">
        <v>2282</v>
      </c>
      <c r="H729" s="54">
        <v>3932.6070000000004</v>
      </c>
      <c r="I729" s="138">
        <v>1</v>
      </c>
      <c r="J729" s="44" t="s">
        <v>831</v>
      </c>
      <c r="K729" s="44" t="s">
        <v>1542</v>
      </c>
    </row>
    <row r="730" spans="1:11" x14ac:dyDescent="0.3">
      <c r="A730" s="126" t="s">
        <v>390</v>
      </c>
      <c r="B730" s="126" t="s">
        <v>50</v>
      </c>
      <c r="C730" s="53" t="s">
        <v>2300</v>
      </c>
      <c r="D730" s="53" t="s">
        <v>2301</v>
      </c>
      <c r="E730" s="131">
        <v>45869</v>
      </c>
      <c r="F730" s="127" t="s">
        <v>854</v>
      </c>
      <c r="G730" s="127" t="s">
        <v>2302</v>
      </c>
      <c r="H730" s="54">
        <v>169164</v>
      </c>
      <c r="I730" s="138">
        <v>0.24299999999999999</v>
      </c>
      <c r="J730" s="44" t="s">
        <v>831</v>
      </c>
      <c r="K730" s="44" t="s">
        <v>1542</v>
      </c>
    </row>
    <row r="731" spans="1:11" x14ac:dyDescent="0.3">
      <c r="A731" s="126" t="s">
        <v>390</v>
      </c>
      <c r="B731" s="126" t="s">
        <v>54</v>
      </c>
      <c r="C731" s="53" t="s">
        <v>2307</v>
      </c>
      <c r="D731" s="53" t="s">
        <v>2308</v>
      </c>
      <c r="E731" s="131">
        <v>45874</v>
      </c>
      <c r="F731" s="127" t="s">
        <v>372</v>
      </c>
      <c r="G731" s="127" t="s">
        <v>10</v>
      </c>
      <c r="H731" s="54">
        <v>73380.55</v>
      </c>
      <c r="I731" s="138">
        <v>0.23300000000000001</v>
      </c>
      <c r="J731" s="44" t="s">
        <v>831</v>
      </c>
      <c r="K731" s="44" t="s">
        <v>1542</v>
      </c>
    </row>
    <row r="732" spans="1:11" x14ac:dyDescent="0.3">
      <c r="A732" s="126" t="s">
        <v>392</v>
      </c>
      <c r="B732" s="126" t="s">
        <v>54</v>
      </c>
      <c r="C732" s="53" t="s">
        <v>2309</v>
      </c>
      <c r="D732" s="53" t="s">
        <v>2310</v>
      </c>
      <c r="E732" s="131">
        <v>45874</v>
      </c>
      <c r="F732" s="127" t="s">
        <v>842</v>
      </c>
      <c r="G732" s="127" t="s">
        <v>843</v>
      </c>
      <c r="H732" s="54">
        <v>22000</v>
      </c>
      <c r="I732" s="138">
        <v>0.44500000000000001</v>
      </c>
      <c r="J732" s="44" t="s">
        <v>1977</v>
      </c>
      <c r="K732" s="44" t="s">
        <v>1540</v>
      </c>
    </row>
    <row r="733" spans="1:11" x14ac:dyDescent="0.3">
      <c r="A733" s="126" t="s">
        <v>390</v>
      </c>
      <c r="B733" s="126" t="s">
        <v>54</v>
      </c>
      <c r="C733" s="53" t="s">
        <v>2311</v>
      </c>
      <c r="D733" s="53" t="s">
        <v>2312</v>
      </c>
      <c r="E733" s="131">
        <v>45874</v>
      </c>
      <c r="F733" s="127" t="s">
        <v>371</v>
      </c>
      <c r="G733" s="127" t="s">
        <v>864</v>
      </c>
      <c r="H733" s="54">
        <v>13774.05</v>
      </c>
      <c r="I733" s="138">
        <v>0.47399999999999998</v>
      </c>
      <c r="J733" s="44" t="s">
        <v>832</v>
      </c>
      <c r="K733" s="44" t="s">
        <v>1541</v>
      </c>
    </row>
    <row r="734" spans="1:11" x14ac:dyDescent="0.3">
      <c r="A734" s="126" t="s">
        <v>390</v>
      </c>
      <c r="B734" s="126" t="s">
        <v>54</v>
      </c>
      <c r="C734" s="53" t="s">
        <v>2313</v>
      </c>
      <c r="D734" s="53" t="s">
        <v>2314</v>
      </c>
      <c r="E734" s="131">
        <v>45874</v>
      </c>
      <c r="F734" s="127" t="s">
        <v>370</v>
      </c>
      <c r="G734" s="127" t="s">
        <v>63</v>
      </c>
      <c r="H734" s="54">
        <v>8850</v>
      </c>
      <c r="I734" s="138">
        <v>0.52100000000000002</v>
      </c>
      <c r="J734" s="44" t="s">
        <v>1835</v>
      </c>
      <c r="K734" s="44" t="s">
        <v>1541</v>
      </c>
    </row>
    <row r="735" spans="1:11" x14ac:dyDescent="0.3">
      <c r="A735" s="126" t="s">
        <v>392</v>
      </c>
      <c r="B735" s="126" t="s">
        <v>54</v>
      </c>
      <c r="C735" s="53" t="s">
        <v>2315</v>
      </c>
      <c r="D735" s="53" t="s">
        <v>2316</v>
      </c>
      <c r="E735" s="131">
        <v>45874</v>
      </c>
      <c r="F735" s="127" t="s">
        <v>370</v>
      </c>
      <c r="G735" s="127" t="s">
        <v>63</v>
      </c>
      <c r="H735" s="54">
        <v>5200</v>
      </c>
      <c r="I735" s="138">
        <v>0.65400000000000003</v>
      </c>
      <c r="J735" s="44" t="s">
        <v>848</v>
      </c>
      <c r="K735" s="44" t="s">
        <v>1540</v>
      </c>
    </row>
    <row r="736" spans="1:11" x14ac:dyDescent="0.3">
      <c r="A736" s="126" t="s">
        <v>390</v>
      </c>
      <c r="B736" s="126" t="s">
        <v>54</v>
      </c>
      <c r="C736" s="53" t="s">
        <v>2317</v>
      </c>
      <c r="D736" s="53" t="s">
        <v>2318</v>
      </c>
      <c r="E736" s="131">
        <v>45874</v>
      </c>
      <c r="F736" s="127" t="s">
        <v>371</v>
      </c>
      <c r="G736" s="127" t="s">
        <v>864</v>
      </c>
      <c r="H736" s="54">
        <v>92748.73</v>
      </c>
      <c r="I736" s="138">
        <v>0.219</v>
      </c>
      <c r="J736" s="44" t="s">
        <v>833</v>
      </c>
      <c r="K736" s="44" t="s">
        <v>1542</v>
      </c>
    </row>
    <row r="737" spans="1:11" x14ac:dyDescent="0.3">
      <c r="A737" s="126" t="s">
        <v>392</v>
      </c>
      <c r="B737" s="126" t="s">
        <v>54</v>
      </c>
      <c r="C737" s="53" t="s">
        <v>2319</v>
      </c>
      <c r="D737" s="53" t="s">
        <v>2320</v>
      </c>
      <c r="E737" s="131">
        <v>45874</v>
      </c>
      <c r="F737" s="127" t="s">
        <v>370</v>
      </c>
      <c r="G737" s="127" t="s">
        <v>63</v>
      </c>
      <c r="H737" s="54">
        <v>10800</v>
      </c>
      <c r="I737" s="138">
        <v>0.59</v>
      </c>
      <c r="J737" s="44" t="s">
        <v>848</v>
      </c>
      <c r="K737" s="44" t="s">
        <v>1540</v>
      </c>
    </row>
    <row r="738" spans="1:11" x14ac:dyDescent="0.3">
      <c r="A738" s="126" t="s">
        <v>392</v>
      </c>
      <c r="B738" s="126" t="s">
        <v>54</v>
      </c>
      <c r="C738" s="53" t="s">
        <v>2321</v>
      </c>
      <c r="D738" s="53" t="s">
        <v>2322</v>
      </c>
      <c r="E738" s="131">
        <v>45874</v>
      </c>
      <c r="F738" s="127" t="s">
        <v>370</v>
      </c>
      <c r="G738" s="127" t="s">
        <v>63</v>
      </c>
      <c r="H738" s="54">
        <v>7200</v>
      </c>
      <c r="I738" s="138">
        <v>0.75</v>
      </c>
      <c r="J738" s="44" t="s">
        <v>848</v>
      </c>
      <c r="K738" s="44" t="s">
        <v>1540</v>
      </c>
    </row>
    <row r="739" spans="1:11" x14ac:dyDescent="0.3">
      <c r="A739" s="126" t="s">
        <v>392</v>
      </c>
      <c r="B739" s="126" t="s">
        <v>54</v>
      </c>
      <c r="C739" s="53" t="s">
        <v>2323</v>
      </c>
      <c r="D739" s="53" t="s">
        <v>2324</v>
      </c>
      <c r="E739" s="131">
        <v>45874</v>
      </c>
      <c r="F739" s="127" t="s">
        <v>370</v>
      </c>
      <c r="G739" s="127" t="s">
        <v>63</v>
      </c>
      <c r="H739" s="54">
        <v>4800</v>
      </c>
      <c r="I739" s="138">
        <v>0.625</v>
      </c>
      <c r="J739" s="44" t="s">
        <v>848</v>
      </c>
      <c r="K739" s="44" t="s">
        <v>1540</v>
      </c>
    </row>
    <row r="740" spans="1:11" x14ac:dyDescent="0.3">
      <c r="A740" s="126" t="s">
        <v>392</v>
      </c>
      <c r="B740" s="126" t="s">
        <v>54</v>
      </c>
      <c r="C740" s="53" t="s">
        <v>2325</v>
      </c>
      <c r="D740" s="53" t="s">
        <v>2326</v>
      </c>
      <c r="E740" s="131">
        <v>45874</v>
      </c>
      <c r="F740" s="127" t="s">
        <v>370</v>
      </c>
      <c r="G740" s="127" t="s">
        <v>63</v>
      </c>
      <c r="H740" s="54">
        <v>17900</v>
      </c>
      <c r="I740" s="138">
        <v>0.64800000000000002</v>
      </c>
      <c r="J740" s="44" t="s">
        <v>848</v>
      </c>
      <c r="K740" s="44" t="s">
        <v>1540</v>
      </c>
    </row>
    <row r="741" spans="1:11" x14ac:dyDescent="0.3">
      <c r="A741" s="126" t="s">
        <v>392</v>
      </c>
      <c r="B741" s="126" t="s">
        <v>54</v>
      </c>
      <c r="C741" s="53" t="s">
        <v>2327</v>
      </c>
      <c r="D741" s="53" t="s">
        <v>2328</v>
      </c>
      <c r="E741" s="131">
        <v>45875</v>
      </c>
      <c r="F741" s="127" t="s">
        <v>371</v>
      </c>
      <c r="G741" s="127" t="s">
        <v>864</v>
      </c>
      <c r="H741" s="54">
        <v>14800</v>
      </c>
      <c r="I741" s="138">
        <v>0.58199999999999996</v>
      </c>
      <c r="J741" s="44" t="s">
        <v>1977</v>
      </c>
      <c r="K741" s="44" t="s">
        <v>1540</v>
      </c>
    </row>
    <row r="742" spans="1:11" x14ac:dyDescent="0.3">
      <c r="A742" s="126" t="s">
        <v>392</v>
      </c>
      <c r="B742" s="126" t="s">
        <v>54</v>
      </c>
      <c r="C742" s="53" t="s">
        <v>2329</v>
      </c>
      <c r="D742" s="53" t="s">
        <v>2330</v>
      </c>
      <c r="E742" s="131">
        <v>45875</v>
      </c>
      <c r="F742" s="127" t="s">
        <v>371</v>
      </c>
      <c r="G742" s="127" t="s">
        <v>864</v>
      </c>
      <c r="H742" s="54">
        <v>22200</v>
      </c>
      <c r="I742" s="138">
        <v>0.52600000000000002</v>
      </c>
      <c r="J742" s="44" t="s">
        <v>1977</v>
      </c>
      <c r="K742" s="44" t="s">
        <v>1540</v>
      </c>
    </row>
    <row r="743" spans="1:11" x14ac:dyDescent="0.3">
      <c r="A743" s="126" t="s">
        <v>392</v>
      </c>
      <c r="B743" s="126" t="s">
        <v>54</v>
      </c>
      <c r="C743" s="53" t="s">
        <v>2331</v>
      </c>
      <c r="D743" s="53" t="s">
        <v>2332</v>
      </c>
      <c r="E743" s="131">
        <v>45875</v>
      </c>
      <c r="F743" s="127" t="s">
        <v>371</v>
      </c>
      <c r="G743" s="127" t="s">
        <v>864</v>
      </c>
      <c r="H743" s="54">
        <v>29600</v>
      </c>
      <c r="I743" s="138">
        <v>0.58199999999999996</v>
      </c>
      <c r="J743" s="44" t="s">
        <v>1977</v>
      </c>
      <c r="K743" s="44" t="s">
        <v>1540</v>
      </c>
    </row>
    <row r="744" spans="1:11" x14ac:dyDescent="0.3">
      <c r="A744" s="126" t="s">
        <v>392</v>
      </c>
      <c r="B744" s="126" t="s">
        <v>54</v>
      </c>
      <c r="C744" s="53" t="s">
        <v>2333</v>
      </c>
      <c r="D744" s="53" t="s">
        <v>2334</v>
      </c>
      <c r="E744" s="131">
        <v>45875</v>
      </c>
      <c r="F744" s="127" t="s">
        <v>371</v>
      </c>
      <c r="G744" s="127" t="s">
        <v>864</v>
      </c>
      <c r="H744" s="54">
        <v>14800</v>
      </c>
      <c r="I744" s="138">
        <v>0.86499999999999999</v>
      </c>
      <c r="J744" s="44" t="s">
        <v>1977</v>
      </c>
      <c r="K744" s="44" t="s">
        <v>1540</v>
      </c>
    </row>
    <row r="745" spans="1:11" x14ac:dyDescent="0.3">
      <c r="A745" s="126" t="s">
        <v>390</v>
      </c>
      <c r="B745" s="126" t="s">
        <v>54</v>
      </c>
      <c r="C745" s="53" t="s">
        <v>2335</v>
      </c>
      <c r="D745" s="53" t="s">
        <v>2336</v>
      </c>
      <c r="E745" s="131">
        <v>45875</v>
      </c>
      <c r="F745" s="127" t="s">
        <v>371</v>
      </c>
      <c r="G745" s="127" t="s">
        <v>864</v>
      </c>
      <c r="H745" s="54">
        <v>17086.91</v>
      </c>
      <c r="I745" s="138">
        <v>0.436</v>
      </c>
      <c r="J745" s="44" t="s">
        <v>832</v>
      </c>
      <c r="K745" s="44" t="s">
        <v>1541</v>
      </c>
    </row>
    <row r="746" spans="1:11" x14ac:dyDescent="0.3">
      <c r="A746" s="126" t="s">
        <v>390</v>
      </c>
      <c r="B746" s="126" t="s">
        <v>54</v>
      </c>
      <c r="C746" s="53" t="s">
        <v>2337</v>
      </c>
      <c r="D746" s="53" t="s">
        <v>2338</v>
      </c>
      <c r="E746" s="131">
        <v>45875</v>
      </c>
      <c r="F746" s="127" t="s">
        <v>371</v>
      </c>
      <c r="G746" s="127" t="s">
        <v>864</v>
      </c>
      <c r="H746" s="54">
        <v>13312.09</v>
      </c>
      <c r="I746" s="138">
        <v>0.48699999999999999</v>
      </c>
      <c r="J746" s="44" t="s">
        <v>832</v>
      </c>
      <c r="K746" s="44" t="s">
        <v>1541</v>
      </c>
    </row>
    <row r="747" spans="1:11" x14ac:dyDescent="0.3">
      <c r="A747" s="126" t="s">
        <v>392</v>
      </c>
      <c r="B747" s="126" t="s">
        <v>54</v>
      </c>
      <c r="C747" s="53" t="s">
        <v>2339</v>
      </c>
      <c r="D747" s="53" t="s">
        <v>2340</v>
      </c>
      <c r="E747" s="131">
        <v>45877</v>
      </c>
      <c r="F747" s="127" t="s">
        <v>370</v>
      </c>
      <c r="G747" s="127" t="s">
        <v>63</v>
      </c>
      <c r="H747" s="54">
        <v>6200</v>
      </c>
      <c r="I747" s="138">
        <v>0.52</v>
      </c>
      <c r="J747" s="44" t="s">
        <v>848</v>
      </c>
      <c r="K747" s="44" t="s">
        <v>1540</v>
      </c>
    </row>
    <row r="748" spans="1:11" x14ac:dyDescent="0.3">
      <c r="A748" s="126" t="s">
        <v>392</v>
      </c>
      <c r="B748" s="126" t="s">
        <v>54</v>
      </c>
      <c r="C748" s="53" t="s">
        <v>2341</v>
      </c>
      <c r="D748" s="53" t="s">
        <v>2342</v>
      </c>
      <c r="E748" s="131">
        <v>45877</v>
      </c>
      <c r="F748" s="127" t="s">
        <v>370</v>
      </c>
      <c r="G748" s="127" t="s">
        <v>63</v>
      </c>
      <c r="H748" s="54">
        <v>11100</v>
      </c>
      <c r="I748" s="138">
        <v>0.60399999999999998</v>
      </c>
      <c r="J748" s="44" t="s">
        <v>848</v>
      </c>
      <c r="K748" s="44" t="s">
        <v>1540</v>
      </c>
    </row>
    <row r="749" spans="1:11" x14ac:dyDescent="0.3">
      <c r="A749" s="126" t="s">
        <v>392</v>
      </c>
      <c r="B749" s="126" t="s">
        <v>54</v>
      </c>
      <c r="C749" s="53" t="s">
        <v>2343</v>
      </c>
      <c r="D749" s="53" t="s">
        <v>2344</v>
      </c>
      <c r="E749" s="131">
        <v>45877</v>
      </c>
      <c r="F749" s="127" t="s">
        <v>374</v>
      </c>
      <c r="G749" s="127" t="s">
        <v>17</v>
      </c>
      <c r="H749" s="54">
        <v>5775</v>
      </c>
      <c r="I749" s="138">
        <v>0.60199999999999998</v>
      </c>
      <c r="J749" s="44" t="s">
        <v>848</v>
      </c>
      <c r="K749" s="44" t="s">
        <v>1540</v>
      </c>
    </row>
    <row r="750" spans="1:11" x14ac:dyDescent="0.3">
      <c r="A750" s="126" t="s">
        <v>390</v>
      </c>
      <c r="B750" s="126" t="s">
        <v>54</v>
      </c>
      <c r="C750" s="53" t="s">
        <v>2345</v>
      </c>
      <c r="D750" s="53" t="s">
        <v>2346</v>
      </c>
      <c r="E750" s="131">
        <v>45877</v>
      </c>
      <c r="F750" s="127" t="s">
        <v>619</v>
      </c>
      <c r="G750" s="127" t="s">
        <v>16</v>
      </c>
      <c r="H750" s="54">
        <v>19500</v>
      </c>
      <c r="I750" s="138">
        <v>0.45900000000000002</v>
      </c>
      <c r="J750" s="44" t="s">
        <v>833</v>
      </c>
      <c r="K750" s="44" t="s">
        <v>1541</v>
      </c>
    </row>
    <row r="751" spans="1:11" x14ac:dyDescent="0.3">
      <c r="A751" s="126" t="s">
        <v>392</v>
      </c>
      <c r="B751" s="126" t="s">
        <v>54</v>
      </c>
      <c r="C751" s="53" t="s">
        <v>2347</v>
      </c>
      <c r="D751" s="53" t="s">
        <v>2348</v>
      </c>
      <c r="E751" s="131">
        <v>45877</v>
      </c>
      <c r="F751" s="127" t="s">
        <v>372</v>
      </c>
      <c r="G751" s="127" t="s">
        <v>10</v>
      </c>
      <c r="H751" s="54">
        <v>41900</v>
      </c>
      <c r="I751" s="138">
        <v>0.432</v>
      </c>
      <c r="J751" s="44" t="s">
        <v>848</v>
      </c>
      <c r="K751" s="44" t="s">
        <v>1540</v>
      </c>
    </row>
    <row r="752" spans="1:11" x14ac:dyDescent="0.3">
      <c r="A752" s="126" t="s">
        <v>392</v>
      </c>
      <c r="B752" s="126" t="s">
        <v>54</v>
      </c>
      <c r="C752" s="53" t="s">
        <v>2349</v>
      </c>
      <c r="D752" s="53" t="s">
        <v>2350</v>
      </c>
      <c r="E752" s="131">
        <v>45877</v>
      </c>
      <c r="F752" s="127" t="s">
        <v>370</v>
      </c>
      <c r="G752" s="127" t="s">
        <v>63</v>
      </c>
      <c r="H752" s="54">
        <v>9700</v>
      </c>
      <c r="I752" s="138">
        <v>0.75800000000000001</v>
      </c>
      <c r="J752" s="44" t="s">
        <v>848</v>
      </c>
      <c r="K752" s="44" t="s">
        <v>1540</v>
      </c>
    </row>
    <row r="753" spans="1:11" x14ac:dyDescent="0.3">
      <c r="A753" s="126" t="s">
        <v>392</v>
      </c>
      <c r="B753" s="126" t="s">
        <v>54</v>
      </c>
      <c r="C753" s="53" t="s">
        <v>2351</v>
      </c>
      <c r="D753" s="53" t="s">
        <v>2352</v>
      </c>
      <c r="E753" s="131">
        <v>45877</v>
      </c>
      <c r="F753" s="127" t="s">
        <v>370</v>
      </c>
      <c r="G753" s="127" t="s">
        <v>63</v>
      </c>
      <c r="H753" s="54">
        <v>7200</v>
      </c>
      <c r="I753" s="138">
        <v>0.70799999999999996</v>
      </c>
      <c r="J753" s="44" t="s">
        <v>848</v>
      </c>
      <c r="K753" s="44" t="s">
        <v>1540</v>
      </c>
    </row>
    <row r="754" spans="1:11" x14ac:dyDescent="0.3">
      <c r="A754" s="126" t="s">
        <v>392</v>
      </c>
      <c r="B754" s="126" t="s">
        <v>54</v>
      </c>
      <c r="C754" s="53" t="s">
        <v>2353</v>
      </c>
      <c r="D754" s="53" t="s">
        <v>2354</v>
      </c>
      <c r="E754" s="131">
        <v>45877</v>
      </c>
      <c r="F754" s="127" t="s">
        <v>371</v>
      </c>
      <c r="G754" s="127" t="s">
        <v>864</v>
      </c>
      <c r="H754" s="54">
        <v>14800</v>
      </c>
      <c r="I754" s="138">
        <v>0.51800000000000002</v>
      </c>
      <c r="J754" s="44" t="s">
        <v>1977</v>
      </c>
      <c r="K754" s="44" t="s">
        <v>1540</v>
      </c>
    </row>
    <row r="755" spans="1:11" x14ac:dyDescent="0.3">
      <c r="A755" s="126" t="s">
        <v>392</v>
      </c>
      <c r="B755" s="126" t="s">
        <v>54</v>
      </c>
      <c r="C755" s="53" t="s">
        <v>2355</v>
      </c>
      <c r="D755" s="53" t="s">
        <v>2356</v>
      </c>
      <c r="E755" s="131">
        <v>45877</v>
      </c>
      <c r="F755" s="127" t="s">
        <v>371</v>
      </c>
      <c r="G755" s="127" t="s">
        <v>864</v>
      </c>
      <c r="H755" s="54">
        <v>7400</v>
      </c>
      <c r="I755" s="138">
        <v>0.51800000000000002</v>
      </c>
      <c r="J755" s="44" t="s">
        <v>1977</v>
      </c>
      <c r="K755" s="44" t="s">
        <v>1540</v>
      </c>
    </row>
    <row r="756" spans="1:11" x14ac:dyDescent="0.3">
      <c r="A756" s="126" t="s">
        <v>390</v>
      </c>
      <c r="B756" s="126" t="s">
        <v>54</v>
      </c>
      <c r="C756" s="53" t="s">
        <v>2357</v>
      </c>
      <c r="D756" s="53" t="s">
        <v>2358</v>
      </c>
      <c r="E756" s="131">
        <v>45877</v>
      </c>
      <c r="F756" s="127" t="s">
        <v>371</v>
      </c>
      <c r="G756" s="127" t="s">
        <v>864</v>
      </c>
      <c r="H756" s="54">
        <v>13276.75</v>
      </c>
      <c r="I756" s="138">
        <v>0.48499999999999999</v>
      </c>
      <c r="J756" s="44" t="s">
        <v>832</v>
      </c>
      <c r="K756" s="44" t="s">
        <v>1541</v>
      </c>
    </row>
    <row r="757" spans="1:11" x14ac:dyDescent="0.3">
      <c r="A757" s="126" t="s">
        <v>390</v>
      </c>
      <c r="B757" s="126" t="s">
        <v>54</v>
      </c>
      <c r="C757" s="53" t="s">
        <v>2359</v>
      </c>
      <c r="D757" s="53" t="s">
        <v>2360</v>
      </c>
      <c r="E757" s="131">
        <v>45880</v>
      </c>
      <c r="F757" s="127" t="s">
        <v>371</v>
      </c>
      <c r="G757" s="127" t="s">
        <v>864</v>
      </c>
      <c r="H757" s="54">
        <v>15859.62</v>
      </c>
      <c r="I757" s="138">
        <v>0.42699999999999999</v>
      </c>
      <c r="J757" s="44" t="s">
        <v>832</v>
      </c>
      <c r="K757" s="44" t="s">
        <v>1541</v>
      </c>
    </row>
    <row r="758" spans="1:11" x14ac:dyDescent="0.3">
      <c r="A758" s="126" t="s">
        <v>392</v>
      </c>
      <c r="B758" s="126" t="s">
        <v>54</v>
      </c>
      <c r="C758" s="53" t="s">
        <v>2361</v>
      </c>
      <c r="D758" s="53" t="s">
        <v>2362</v>
      </c>
      <c r="E758" s="131">
        <v>45880</v>
      </c>
      <c r="F758" s="127" t="s">
        <v>842</v>
      </c>
      <c r="G758" s="127" t="s">
        <v>843</v>
      </c>
      <c r="H758" s="54">
        <v>22000</v>
      </c>
      <c r="I758" s="138">
        <v>0.44700000000000001</v>
      </c>
      <c r="J758" s="44" t="s">
        <v>1977</v>
      </c>
      <c r="K758" s="44" t="s">
        <v>1540</v>
      </c>
    </row>
    <row r="759" spans="1:11" x14ac:dyDescent="0.3">
      <c r="A759" s="126" t="s">
        <v>392</v>
      </c>
      <c r="B759" s="126" t="s">
        <v>54</v>
      </c>
      <c r="C759" s="53" t="s">
        <v>2363</v>
      </c>
      <c r="D759" s="53" t="s">
        <v>2364</v>
      </c>
      <c r="E759" s="131">
        <v>45880</v>
      </c>
      <c r="F759" s="127" t="s">
        <v>370</v>
      </c>
      <c r="G759" s="127" t="s">
        <v>63</v>
      </c>
      <c r="H759" s="54">
        <v>8600</v>
      </c>
      <c r="I759" s="138">
        <v>0.56100000000000005</v>
      </c>
      <c r="J759" s="44" t="s">
        <v>848</v>
      </c>
      <c r="K759" s="44" t="s">
        <v>1540</v>
      </c>
    </row>
    <row r="760" spans="1:11" x14ac:dyDescent="0.3">
      <c r="A760" s="126" t="s">
        <v>392</v>
      </c>
      <c r="B760" s="126" t="s">
        <v>54</v>
      </c>
      <c r="C760" s="53" t="s">
        <v>2365</v>
      </c>
      <c r="D760" s="53" t="s">
        <v>2366</v>
      </c>
      <c r="E760" s="131">
        <v>45881</v>
      </c>
      <c r="F760" s="127" t="s">
        <v>370</v>
      </c>
      <c r="G760" s="127" t="s">
        <v>63</v>
      </c>
      <c r="H760" s="54">
        <v>7300</v>
      </c>
      <c r="I760" s="138">
        <v>0.64400000000000002</v>
      </c>
      <c r="J760" s="44" t="s">
        <v>848</v>
      </c>
      <c r="K760" s="44" t="s">
        <v>1540</v>
      </c>
    </row>
    <row r="761" spans="1:11" x14ac:dyDescent="0.3">
      <c r="A761" s="126" t="s">
        <v>392</v>
      </c>
      <c r="B761" s="126" t="s">
        <v>54</v>
      </c>
      <c r="C761" s="53" t="s">
        <v>2367</v>
      </c>
      <c r="D761" s="53" t="s">
        <v>2368</v>
      </c>
      <c r="E761" s="131">
        <v>45881</v>
      </c>
      <c r="F761" s="127" t="s">
        <v>370</v>
      </c>
      <c r="G761" s="127" t="s">
        <v>63</v>
      </c>
      <c r="H761" s="54">
        <v>12400</v>
      </c>
      <c r="I761" s="138">
        <v>0.629</v>
      </c>
      <c r="J761" s="44" t="s">
        <v>848</v>
      </c>
      <c r="K761" s="44" t="s">
        <v>1540</v>
      </c>
    </row>
    <row r="762" spans="1:11" x14ac:dyDescent="0.3">
      <c r="A762" s="126" t="s">
        <v>392</v>
      </c>
      <c r="B762" s="126" t="s">
        <v>54</v>
      </c>
      <c r="C762" s="53" t="s">
        <v>2369</v>
      </c>
      <c r="D762" s="53" t="s">
        <v>2370</v>
      </c>
      <c r="E762" s="131">
        <v>45881</v>
      </c>
      <c r="F762" s="127" t="s">
        <v>842</v>
      </c>
      <c r="G762" s="127" t="s">
        <v>843</v>
      </c>
      <c r="H762" s="54">
        <v>22000</v>
      </c>
      <c r="I762" s="138">
        <v>0.45200000000000001</v>
      </c>
      <c r="J762" s="44" t="s">
        <v>1977</v>
      </c>
      <c r="K762" s="44" t="s">
        <v>1540</v>
      </c>
    </row>
    <row r="763" spans="1:11" x14ac:dyDescent="0.3">
      <c r="A763" s="126" t="s">
        <v>392</v>
      </c>
      <c r="B763" s="126" t="s">
        <v>54</v>
      </c>
      <c r="C763" s="53" t="s">
        <v>2371</v>
      </c>
      <c r="D763" s="53" t="s">
        <v>2372</v>
      </c>
      <c r="E763" s="131">
        <v>45881</v>
      </c>
      <c r="F763" s="127" t="s">
        <v>372</v>
      </c>
      <c r="G763" s="127" t="s">
        <v>10</v>
      </c>
      <c r="H763" s="54">
        <v>10000</v>
      </c>
      <c r="I763" s="138">
        <v>0.56799999999999995</v>
      </c>
      <c r="J763" s="44" t="s">
        <v>848</v>
      </c>
      <c r="K763" s="44" t="s">
        <v>1540</v>
      </c>
    </row>
    <row r="764" spans="1:11" x14ac:dyDescent="0.3">
      <c r="A764" s="126" t="s">
        <v>390</v>
      </c>
      <c r="B764" s="126" t="s">
        <v>54</v>
      </c>
      <c r="C764" s="53" t="s">
        <v>2373</v>
      </c>
      <c r="D764" s="53" t="s">
        <v>2374</v>
      </c>
      <c r="E764" s="131">
        <v>45881</v>
      </c>
      <c r="F764" s="127" t="s">
        <v>372</v>
      </c>
      <c r="G764" s="127" t="s">
        <v>10</v>
      </c>
      <c r="H764" s="54">
        <v>10361.34</v>
      </c>
      <c r="I764" s="138">
        <v>0.20899999999999999</v>
      </c>
      <c r="J764" s="44" t="s">
        <v>831</v>
      </c>
      <c r="K764" s="44" t="s">
        <v>1541</v>
      </c>
    </row>
    <row r="765" spans="1:11" x14ac:dyDescent="0.3">
      <c r="A765" s="126" t="s">
        <v>390</v>
      </c>
      <c r="B765" s="126" t="s">
        <v>54</v>
      </c>
      <c r="C765" s="53" t="s">
        <v>2375</v>
      </c>
      <c r="D765" s="53" t="s">
        <v>2376</v>
      </c>
      <c r="E765" s="131">
        <v>45881</v>
      </c>
      <c r="F765" s="127" t="s">
        <v>372</v>
      </c>
      <c r="G765" s="127" t="s">
        <v>10</v>
      </c>
      <c r="H765" s="54">
        <v>8822.67</v>
      </c>
      <c r="I765" s="138">
        <v>0.224</v>
      </c>
      <c r="J765" s="44" t="s">
        <v>831</v>
      </c>
      <c r="K765" s="44" t="s">
        <v>1541</v>
      </c>
    </row>
    <row r="766" spans="1:11" x14ac:dyDescent="0.3">
      <c r="A766" s="126" t="s">
        <v>392</v>
      </c>
      <c r="B766" s="126" t="s">
        <v>54</v>
      </c>
      <c r="C766" s="53" t="s">
        <v>2377</v>
      </c>
      <c r="D766" s="53" t="s">
        <v>2378</v>
      </c>
      <c r="E766" s="131">
        <v>45881</v>
      </c>
      <c r="F766" s="127" t="s">
        <v>844</v>
      </c>
      <c r="G766" s="127" t="s">
        <v>863</v>
      </c>
      <c r="H766" s="54">
        <v>10456</v>
      </c>
      <c r="I766" s="138">
        <v>0.22800000000000001</v>
      </c>
      <c r="J766" s="44" t="s">
        <v>1977</v>
      </c>
      <c r="K766" s="44" t="s">
        <v>1540</v>
      </c>
    </row>
    <row r="767" spans="1:11" x14ac:dyDescent="0.3">
      <c r="A767" s="126" t="s">
        <v>392</v>
      </c>
      <c r="B767" s="126" t="s">
        <v>54</v>
      </c>
      <c r="C767" s="53" t="s">
        <v>2379</v>
      </c>
      <c r="D767" s="53" t="s">
        <v>2380</v>
      </c>
      <c r="E767" s="131">
        <v>45881</v>
      </c>
      <c r="F767" s="127" t="s">
        <v>842</v>
      </c>
      <c r="G767" s="127" t="s">
        <v>843</v>
      </c>
      <c r="H767" s="54">
        <v>22000</v>
      </c>
      <c r="I767" s="138">
        <v>0.44800000000000001</v>
      </c>
      <c r="J767" s="44" t="s">
        <v>1977</v>
      </c>
      <c r="K767" s="44" t="s">
        <v>1540</v>
      </c>
    </row>
    <row r="768" spans="1:11" x14ac:dyDescent="0.3">
      <c r="A768" s="126" t="s">
        <v>392</v>
      </c>
      <c r="B768" s="126" t="s">
        <v>54</v>
      </c>
      <c r="C768" s="53" t="s">
        <v>2381</v>
      </c>
      <c r="D768" s="53" t="s">
        <v>2382</v>
      </c>
      <c r="E768" s="131">
        <v>45882</v>
      </c>
      <c r="F768" s="127" t="s">
        <v>844</v>
      </c>
      <c r="G768" s="127" t="s">
        <v>863</v>
      </c>
      <c r="H768" s="54">
        <v>12368</v>
      </c>
      <c r="I768" s="138">
        <v>0.23100000000000001</v>
      </c>
      <c r="J768" s="44" t="s">
        <v>1977</v>
      </c>
      <c r="K768" s="44" t="s">
        <v>1540</v>
      </c>
    </row>
    <row r="769" spans="1:11" x14ac:dyDescent="0.3">
      <c r="A769" s="126" t="s">
        <v>392</v>
      </c>
      <c r="B769" s="126" t="s">
        <v>54</v>
      </c>
      <c r="C769" s="53" t="s">
        <v>2383</v>
      </c>
      <c r="D769" s="53" t="s">
        <v>2384</v>
      </c>
      <c r="E769" s="131">
        <v>45883</v>
      </c>
      <c r="F769" s="127" t="s">
        <v>842</v>
      </c>
      <c r="G769" s="127" t="s">
        <v>843</v>
      </c>
      <c r="H769" s="54">
        <v>22000</v>
      </c>
      <c r="I769" s="138">
        <v>0.45200000000000001</v>
      </c>
      <c r="J769" s="44" t="s">
        <v>1977</v>
      </c>
      <c r="K769" s="44" t="s">
        <v>1540</v>
      </c>
    </row>
    <row r="770" spans="1:11" x14ac:dyDescent="0.3">
      <c r="A770" s="126" t="s">
        <v>390</v>
      </c>
      <c r="B770" s="126" t="s">
        <v>54</v>
      </c>
      <c r="C770" s="53" t="s">
        <v>2385</v>
      </c>
      <c r="D770" s="53" t="s">
        <v>2386</v>
      </c>
      <c r="E770" s="131">
        <v>45880</v>
      </c>
      <c r="F770" s="127" t="s">
        <v>371</v>
      </c>
      <c r="G770" s="127" t="s">
        <v>864</v>
      </c>
      <c r="H770" s="54">
        <v>241029.14</v>
      </c>
      <c r="I770" s="138">
        <v>0.161</v>
      </c>
      <c r="J770" s="44" t="s">
        <v>833</v>
      </c>
      <c r="K770" s="44" t="s">
        <v>1542</v>
      </c>
    </row>
    <row r="771" spans="1:11" x14ac:dyDescent="0.3">
      <c r="A771" s="126" t="s">
        <v>392</v>
      </c>
      <c r="B771" s="126" t="s">
        <v>54</v>
      </c>
      <c r="C771" s="53" t="s">
        <v>2387</v>
      </c>
      <c r="D771" s="53" t="s">
        <v>2388</v>
      </c>
      <c r="E771" s="131">
        <v>45884</v>
      </c>
      <c r="F771" s="127" t="s">
        <v>370</v>
      </c>
      <c r="G771" s="127" t="s">
        <v>63</v>
      </c>
      <c r="H771" s="54">
        <v>9300</v>
      </c>
      <c r="I771" s="138">
        <v>0.71</v>
      </c>
      <c r="J771" s="44" t="s">
        <v>848</v>
      </c>
      <c r="K771" s="44" t="s">
        <v>1540</v>
      </c>
    </row>
    <row r="772" spans="1:11" x14ac:dyDescent="0.3">
      <c r="A772" s="126" t="s">
        <v>390</v>
      </c>
      <c r="B772" s="126" t="s">
        <v>54</v>
      </c>
      <c r="C772" s="53" t="s">
        <v>2389</v>
      </c>
      <c r="D772" s="53" t="s">
        <v>2390</v>
      </c>
      <c r="E772" s="131">
        <v>45884</v>
      </c>
      <c r="F772" s="127" t="s">
        <v>371</v>
      </c>
      <c r="G772" s="127" t="s">
        <v>864</v>
      </c>
      <c r="H772" s="54">
        <v>23117.499999999996</v>
      </c>
      <c r="I772" s="138">
        <v>0.24199999999999999</v>
      </c>
      <c r="J772" s="44" t="s">
        <v>832</v>
      </c>
      <c r="K772" s="44" t="s">
        <v>1541</v>
      </c>
    </row>
    <row r="773" spans="1:11" x14ac:dyDescent="0.3">
      <c r="A773" s="126" t="s">
        <v>392</v>
      </c>
      <c r="B773" s="126" t="s">
        <v>54</v>
      </c>
      <c r="C773" s="53" t="s">
        <v>2391</v>
      </c>
      <c r="D773" s="53" t="s">
        <v>2392</v>
      </c>
      <c r="E773" s="131">
        <v>45884</v>
      </c>
      <c r="F773" s="127" t="s">
        <v>842</v>
      </c>
      <c r="G773" s="127" t="s">
        <v>843</v>
      </c>
      <c r="H773" s="54">
        <v>22000</v>
      </c>
      <c r="I773" s="138">
        <v>0.44800000000000001</v>
      </c>
      <c r="J773" s="44" t="s">
        <v>1977</v>
      </c>
      <c r="K773" s="44" t="s">
        <v>1540</v>
      </c>
    </row>
    <row r="774" spans="1:11" x14ac:dyDescent="0.3">
      <c r="A774" s="126" t="s">
        <v>392</v>
      </c>
      <c r="B774" s="126" t="s">
        <v>54</v>
      </c>
      <c r="C774" s="53" t="s">
        <v>2393</v>
      </c>
      <c r="D774" s="53" t="s">
        <v>2394</v>
      </c>
      <c r="E774" s="131">
        <v>45884</v>
      </c>
      <c r="F774" s="127" t="s">
        <v>370</v>
      </c>
      <c r="G774" s="127" t="s">
        <v>63</v>
      </c>
      <c r="H774" s="54">
        <v>15400</v>
      </c>
      <c r="I774" s="138">
        <v>0.64900000000000002</v>
      </c>
      <c r="J774" s="44" t="s">
        <v>848</v>
      </c>
      <c r="K774" s="44" t="s">
        <v>1540</v>
      </c>
    </row>
    <row r="775" spans="1:11" x14ac:dyDescent="0.3">
      <c r="A775" s="126" t="s">
        <v>390</v>
      </c>
      <c r="B775" s="126" t="s">
        <v>54</v>
      </c>
      <c r="C775" s="53" t="s">
        <v>2395</v>
      </c>
      <c r="D775" s="53" t="s">
        <v>2396</v>
      </c>
      <c r="E775" s="131">
        <v>45887</v>
      </c>
      <c r="F775" s="127" t="s">
        <v>371</v>
      </c>
      <c r="G775" s="127" t="s">
        <v>864</v>
      </c>
      <c r="H775" s="54">
        <v>52767.49</v>
      </c>
      <c r="I775" s="138">
        <v>0.151</v>
      </c>
      <c r="J775" s="44" t="s">
        <v>833</v>
      </c>
      <c r="K775" s="44" t="s">
        <v>1542</v>
      </c>
    </row>
    <row r="776" spans="1:11" x14ac:dyDescent="0.3">
      <c r="A776" s="126" t="s">
        <v>392</v>
      </c>
      <c r="B776" s="126" t="s">
        <v>54</v>
      </c>
      <c r="C776" s="53" t="s">
        <v>2397</v>
      </c>
      <c r="D776" s="53" t="s">
        <v>2398</v>
      </c>
      <c r="E776" s="131">
        <v>45887</v>
      </c>
      <c r="F776" s="127" t="s">
        <v>370</v>
      </c>
      <c r="G776" s="127" t="s">
        <v>63</v>
      </c>
      <c r="H776" s="54">
        <v>9300</v>
      </c>
      <c r="I776" s="138">
        <v>0.71</v>
      </c>
      <c r="J776" s="44" t="s">
        <v>848</v>
      </c>
      <c r="K776" s="44" t="s">
        <v>1540</v>
      </c>
    </row>
    <row r="777" spans="1:11" x14ac:dyDescent="0.3">
      <c r="A777" s="126" t="s">
        <v>390</v>
      </c>
      <c r="B777" s="126" t="s">
        <v>54</v>
      </c>
      <c r="C777" s="53" t="s">
        <v>2399</v>
      </c>
      <c r="D777" s="53" t="s">
        <v>2400</v>
      </c>
      <c r="E777" s="131">
        <v>45887</v>
      </c>
      <c r="F777" s="127" t="s">
        <v>370</v>
      </c>
      <c r="G777" s="127" t="s">
        <v>63</v>
      </c>
      <c r="H777" s="54">
        <v>19400</v>
      </c>
      <c r="I777" s="138">
        <v>0.65800000000000003</v>
      </c>
      <c r="J777" s="44" t="s">
        <v>1835</v>
      </c>
      <c r="K777" s="44" t="s">
        <v>1541</v>
      </c>
    </row>
    <row r="778" spans="1:11" x14ac:dyDescent="0.3">
      <c r="A778" s="126" t="s">
        <v>390</v>
      </c>
      <c r="B778" s="126" t="s">
        <v>54</v>
      </c>
      <c r="C778" s="53" t="s">
        <v>2401</v>
      </c>
      <c r="D778" s="53" t="s">
        <v>2402</v>
      </c>
      <c r="E778" s="131">
        <v>45887</v>
      </c>
      <c r="F778" s="127" t="s">
        <v>372</v>
      </c>
      <c r="G778" s="127" t="s">
        <v>10</v>
      </c>
      <c r="H778" s="54">
        <v>73316.14</v>
      </c>
      <c r="I778" s="138">
        <v>0.21199999999999999</v>
      </c>
      <c r="J778" s="44" t="s">
        <v>831</v>
      </c>
      <c r="K778" s="44" t="s">
        <v>1542</v>
      </c>
    </row>
    <row r="779" spans="1:11" x14ac:dyDescent="0.3">
      <c r="A779" s="126" t="s">
        <v>390</v>
      </c>
      <c r="B779" s="126" t="s">
        <v>54</v>
      </c>
      <c r="C779" s="53" t="s">
        <v>2403</v>
      </c>
      <c r="D779" s="53" t="s">
        <v>2271</v>
      </c>
      <c r="E779" s="131">
        <v>45888</v>
      </c>
      <c r="F779" s="127" t="s">
        <v>2404</v>
      </c>
      <c r="G779" s="127" t="s">
        <v>2306</v>
      </c>
      <c r="H779" s="54">
        <v>6233.25</v>
      </c>
      <c r="I779" s="138">
        <v>0.17399999999999999</v>
      </c>
      <c r="J779" s="44" t="s">
        <v>833</v>
      </c>
      <c r="K779" s="44" t="s">
        <v>1542</v>
      </c>
    </row>
    <row r="780" spans="1:11" x14ac:dyDescent="0.3">
      <c r="A780" s="126" t="s">
        <v>390</v>
      </c>
      <c r="B780" s="126" t="s">
        <v>54</v>
      </c>
      <c r="C780" s="53" t="s">
        <v>2405</v>
      </c>
      <c r="D780" s="53" t="s">
        <v>2406</v>
      </c>
      <c r="E780" s="131">
        <v>45889</v>
      </c>
      <c r="F780" s="127" t="s">
        <v>371</v>
      </c>
      <c r="G780" s="127" t="s">
        <v>864</v>
      </c>
      <c r="H780" s="54">
        <v>18340.23</v>
      </c>
      <c r="I780" s="138">
        <v>0.32300000000000001</v>
      </c>
      <c r="J780" s="44" t="s">
        <v>833</v>
      </c>
      <c r="K780" s="44" t="s">
        <v>1541</v>
      </c>
    </row>
    <row r="781" spans="1:11" x14ac:dyDescent="0.3">
      <c r="A781" s="126" t="s">
        <v>390</v>
      </c>
      <c r="B781" s="126" t="s">
        <v>54</v>
      </c>
      <c r="C781" s="53" t="s">
        <v>2407</v>
      </c>
      <c r="D781" s="53" t="s">
        <v>2408</v>
      </c>
      <c r="E781" s="131">
        <v>45889</v>
      </c>
      <c r="F781" s="127" t="s">
        <v>371</v>
      </c>
      <c r="G781" s="127" t="s">
        <v>864</v>
      </c>
      <c r="H781" s="54">
        <v>23638.5</v>
      </c>
      <c r="I781" s="138">
        <v>0.28000000000000003</v>
      </c>
      <c r="J781" s="44" t="s">
        <v>833</v>
      </c>
      <c r="K781" s="44" t="s">
        <v>1541</v>
      </c>
    </row>
    <row r="782" spans="1:11" x14ac:dyDescent="0.3">
      <c r="A782" s="126" t="s">
        <v>390</v>
      </c>
      <c r="B782" s="126" t="s">
        <v>54</v>
      </c>
      <c r="C782" s="53" t="s">
        <v>2409</v>
      </c>
      <c r="D782" s="53" t="s">
        <v>2410</v>
      </c>
      <c r="E782" s="131">
        <v>45889</v>
      </c>
      <c r="F782" s="127" t="s">
        <v>371</v>
      </c>
      <c r="G782" s="127" t="s">
        <v>864</v>
      </c>
      <c r="H782" s="54">
        <v>18340.23</v>
      </c>
      <c r="I782" s="138">
        <v>0.32300000000000001</v>
      </c>
      <c r="J782" s="44" t="s">
        <v>833</v>
      </c>
      <c r="K782" s="44" t="s">
        <v>1541</v>
      </c>
    </row>
    <row r="783" spans="1:11" x14ac:dyDescent="0.3">
      <c r="A783" s="126" t="s">
        <v>390</v>
      </c>
      <c r="B783" s="126" t="s">
        <v>54</v>
      </c>
      <c r="C783" s="53" t="s">
        <v>2411</v>
      </c>
      <c r="D783" s="53" t="s">
        <v>2412</v>
      </c>
      <c r="E783" s="131">
        <v>45889</v>
      </c>
      <c r="F783" s="127" t="s">
        <v>371</v>
      </c>
      <c r="G783" s="127" t="s">
        <v>864</v>
      </c>
      <c r="H783" s="54">
        <v>18340.23</v>
      </c>
      <c r="I783" s="138">
        <v>0.31900000000000001</v>
      </c>
      <c r="J783" s="44" t="s">
        <v>833</v>
      </c>
      <c r="K783" s="44" t="s">
        <v>1541</v>
      </c>
    </row>
    <row r="784" spans="1:11" x14ac:dyDescent="0.3">
      <c r="A784" s="126" t="s">
        <v>392</v>
      </c>
      <c r="B784" s="126" t="s">
        <v>54</v>
      </c>
      <c r="C784" s="53" t="s">
        <v>2413</v>
      </c>
      <c r="D784" s="53" t="s">
        <v>2414</v>
      </c>
      <c r="E784" s="131">
        <v>45889</v>
      </c>
      <c r="F784" s="127" t="s">
        <v>370</v>
      </c>
      <c r="G784" s="127" t="s">
        <v>63</v>
      </c>
      <c r="H784" s="54">
        <v>3710.36</v>
      </c>
      <c r="I784" s="138">
        <v>0.51500000000000001</v>
      </c>
      <c r="J784" s="44" t="s">
        <v>848</v>
      </c>
      <c r="K784" s="44" t="s">
        <v>1540</v>
      </c>
    </row>
    <row r="785" spans="1:11" x14ac:dyDescent="0.3">
      <c r="A785" s="126" t="s">
        <v>392</v>
      </c>
      <c r="B785" s="126" t="s">
        <v>54</v>
      </c>
      <c r="C785" s="53" t="s">
        <v>2415</v>
      </c>
      <c r="D785" s="53" t="s">
        <v>2416</v>
      </c>
      <c r="E785" s="131">
        <v>45889</v>
      </c>
      <c r="F785" s="127" t="s">
        <v>371</v>
      </c>
      <c r="G785" s="127" t="s">
        <v>864</v>
      </c>
      <c r="H785" s="54">
        <v>7400</v>
      </c>
      <c r="I785" s="138">
        <v>0.86399999999999999</v>
      </c>
      <c r="J785" s="44" t="s">
        <v>1977</v>
      </c>
      <c r="K785" s="44" t="s">
        <v>1540</v>
      </c>
    </row>
    <row r="786" spans="1:11" x14ac:dyDescent="0.3">
      <c r="A786" s="126" t="s">
        <v>392</v>
      </c>
      <c r="B786" s="126" t="s">
        <v>54</v>
      </c>
      <c r="C786" s="53" t="s">
        <v>2417</v>
      </c>
      <c r="D786" s="53" t="s">
        <v>2418</v>
      </c>
      <c r="E786" s="131">
        <v>45889</v>
      </c>
      <c r="F786" s="127" t="s">
        <v>371</v>
      </c>
      <c r="G786" s="127" t="s">
        <v>864</v>
      </c>
      <c r="H786" s="54">
        <v>7400</v>
      </c>
      <c r="I786" s="138">
        <v>0.86399999999999999</v>
      </c>
      <c r="J786" s="44" t="s">
        <v>1977</v>
      </c>
      <c r="K786" s="44" t="s">
        <v>1540</v>
      </c>
    </row>
    <row r="787" spans="1:11" x14ac:dyDescent="0.3">
      <c r="A787" s="126" t="s">
        <v>392</v>
      </c>
      <c r="B787" s="126" t="s">
        <v>54</v>
      </c>
      <c r="C787" s="53" t="s">
        <v>2419</v>
      </c>
      <c r="D787" s="53" t="s">
        <v>2420</v>
      </c>
      <c r="E787" s="131">
        <v>45889</v>
      </c>
      <c r="F787" s="127" t="s">
        <v>370</v>
      </c>
      <c r="G787" s="127" t="s">
        <v>63</v>
      </c>
      <c r="H787" s="54">
        <v>12200</v>
      </c>
      <c r="I787" s="138">
        <v>0.70499999999999996</v>
      </c>
      <c r="J787" s="44" t="s">
        <v>848</v>
      </c>
      <c r="K787" s="44" t="s">
        <v>1540</v>
      </c>
    </row>
    <row r="788" spans="1:11" x14ac:dyDescent="0.3">
      <c r="A788" s="126" t="s">
        <v>392</v>
      </c>
      <c r="B788" s="126" t="s">
        <v>54</v>
      </c>
      <c r="C788" s="53" t="s">
        <v>2421</v>
      </c>
      <c r="D788" s="53" t="s">
        <v>2422</v>
      </c>
      <c r="E788" s="131">
        <v>45889</v>
      </c>
      <c r="F788" s="127" t="s">
        <v>844</v>
      </c>
      <c r="G788" s="127" t="s">
        <v>863</v>
      </c>
      <c r="H788" s="54">
        <v>21000</v>
      </c>
      <c r="I788" s="138">
        <v>0.315</v>
      </c>
      <c r="J788" s="44" t="s">
        <v>1977</v>
      </c>
      <c r="K788" s="44" t="s">
        <v>1540</v>
      </c>
    </row>
    <row r="789" spans="1:11" x14ac:dyDescent="0.3">
      <c r="A789" s="126" t="s">
        <v>392</v>
      </c>
      <c r="B789" s="126" t="s">
        <v>54</v>
      </c>
      <c r="C789" s="53" t="s">
        <v>2423</v>
      </c>
      <c r="D789" s="53" t="s">
        <v>2424</v>
      </c>
      <c r="E789" s="131">
        <v>45889</v>
      </c>
      <c r="F789" s="127" t="s">
        <v>844</v>
      </c>
      <c r="G789" s="127" t="s">
        <v>863</v>
      </c>
      <c r="H789" s="54">
        <v>10075</v>
      </c>
      <c r="I789" s="138">
        <v>0.23100000000000001</v>
      </c>
      <c r="J789" s="44" t="s">
        <v>1977</v>
      </c>
      <c r="K789" s="44" t="s">
        <v>1540</v>
      </c>
    </row>
    <row r="790" spans="1:11" x14ac:dyDescent="0.3">
      <c r="A790" s="126" t="s">
        <v>392</v>
      </c>
      <c r="B790" s="126" t="s">
        <v>54</v>
      </c>
      <c r="C790" s="53" t="s">
        <v>2425</v>
      </c>
      <c r="D790" s="53" t="s">
        <v>2426</v>
      </c>
      <c r="E790" s="131">
        <v>45890</v>
      </c>
      <c r="F790" s="127" t="s">
        <v>372</v>
      </c>
      <c r="G790" s="127" t="s">
        <v>10</v>
      </c>
      <c r="H790" s="54">
        <v>12400</v>
      </c>
      <c r="I790" s="138">
        <v>0.63500000000000001</v>
      </c>
      <c r="J790" s="44" t="s">
        <v>848</v>
      </c>
      <c r="K790" s="44" t="s">
        <v>1540</v>
      </c>
    </row>
    <row r="791" spans="1:11" x14ac:dyDescent="0.3">
      <c r="A791" s="126" t="s">
        <v>392</v>
      </c>
      <c r="B791" s="126" t="s">
        <v>54</v>
      </c>
      <c r="C791" s="53" t="s">
        <v>2427</v>
      </c>
      <c r="D791" s="53" t="s">
        <v>2428</v>
      </c>
      <c r="E791" s="131">
        <v>45890</v>
      </c>
      <c r="F791" s="127" t="s">
        <v>371</v>
      </c>
      <c r="G791" s="127" t="s">
        <v>864</v>
      </c>
      <c r="H791" s="54">
        <v>7400</v>
      </c>
      <c r="I791" s="138">
        <v>0.86399999999999999</v>
      </c>
      <c r="J791" s="44" t="s">
        <v>1977</v>
      </c>
      <c r="K791" s="44" t="s">
        <v>1540</v>
      </c>
    </row>
    <row r="792" spans="1:11" x14ac:dyDescent="0.3">
      <c r="A792" s="126" t="s">
        <v>392</v>
      </c>
      <c r="B792" s="126" t="s">
        <v>54</v>
      </c>
      <c r="C792" s="53" t="s">
        <v>2429</v>
      </c>
      <c r="D792" s="53" t="s">
        <v>2430</v>
      </c>
      <c r="E792" s="131">
        <v>45890</v>
      </c>
      <c r="F792" s="127" t="s">
        <v>844</v>
      </c>
      <c r="G792" s="127" t="s">
        <v>863</v>
      </c>
      <c r="H792" s="54">
        <v>21000</v>
      </c>
      <c r="I792" s="138">
        <v>0.32600000000000001</v>
      </c>
      <c r="J792" s="44" t="s">
        <v>1977</v>
      </c>
      <c r="K792" s="44" t="s">
        <v>1540</v>
      </c>
    </row>
    <row r="793" spans="1:11" x14ac:dyDescent="0.3">
      <c r="A793" s="126" t="s">
        <v>390</v>
      </c>
      <c r="B793" s="126" t="s">
        <v>54</v>
      </c>
      <c r="C793" s="53" t="s">
        <v>2431</v>
      </c>
      <c r="D793" s="53" t="s">
        <v>2301</v>
      </c>
      <c r="E793" s="131">
        <v>45890</v>
      </c>
      <c r="F793" s="127" t="s">
        <v>854</v>
      </c>
      <c r="G793" s="127" t="s">
        <v>2302</v>
      </c>
      <c r="H793" s="54">
        <v>0.01</v>
      </c>
      <c r="I793" s="138">
        <v>0.33</v>
      </c>
      <c r="J793" s="44" t="s">
        <v>831</v>
      </c>
      <c r="K793" s="44" t="s">
        <v>1542</v>
      </c>
    </row>
    <row r="794" spans="1:11" x14ac:dyDescent="0.3">
      <c r="A794" s="126" t="s">
        <v>392</v>
      </c>
      <c r="B794" s="126" t="s">
        <v>54</v>
      </c>
      <c r="C794" s="53" t="s">
        <v>2432</v>
      </c>
      <c r="D794" s="53" t="s">
        <v>2433</v>
      </c>
      <c r="E794" s="131">
        <v>45891</v>
      </c>
      <c r="F794" s="127" t="s">
        <v>370</v>
      </c>
      <c r="G794" s="127" t="s">
        <v>63</v>
      </c>
      <c r="H794" s="54">
        <v>4600</v>
      </c>
      <c r="I794" s="138">
        <v>0.60899999999999999</v>
      </c>
      <c r="J794" s="44" t="s">
        <v>848</v>
      </c>
      <c r="K794" s="44" t="s">
        <v>1540</v>
      </c>
    </row>
    <row r="795" spans="1:11" x14ac:dyDescent="0.3">
      <c r="A795" s="126" t="s">
        <v>392</v>
      </c>
      <c r="B795" s="126" t="s">
        <v>54</v>
      </c>
      <c r="C795" s="53" t="s">
        <v>2434</v>
      </c>
      <c r="D795" s="53" t="s">
        <v>2435</v>
      </c>
      <c r="E795" s="131">
        <v>45891</v>
      </c>
      <c r="F795" s="127" t="s">
        <v>370</v>
      </c>
      <c r="G795" s="127" t="s">
        <v>63</v>
      </c>
      <c r="H795" s="54">
        <v>11000</v>
      </c>
      <c r="I795" s="138">
        <v>0.67300000000000004</v>
      </c>
      <c r="J795" s="44" t="s">
        <v>848</v>
      </c>
      <c r="K795" s="44" t="s">
        <v>1540</v>
      </c>
    </row>
    <row r="796" spans="1:11" x14ac:dyDescent="0.3">
      <c r="A796" s="126" t="s">
        <v>392</v>
      </c>
      <c r="B796" s="126" t="s">
        <v>54</v>
      </c>
      <c r="C796" s="53" t="s">
        <v>2436</v>
      </c>
      <c r="D796" s="53" t="s">
        <v>2437</v>
      </c>
      <c r="E796" s="131">
        <v>45894</v>
      </c>
      <c r="F796" s="127" t="s">
        <v>371</v>
      </c>
      <c r="G796" s="127" t="s">
        <v>864</v>
      </c>
      <c r="H796" s="54">
        <v>14800</v>
      </c>
      <c r="I796" s="138">
        <v>0.46300000000000002</v>
      </c>
      <c r="J796" s="44" t="s">
        <v>1977</v>
      </c>
      <c r="K796" s="44" t="s">
        <v>1540</v>
      </c>
    </row>
    <row r="797" spans="1:11" x14ac:dyDescent="0.3">
      <c r="A797" s="126" t="s">
        <v>392</v>
      </c>
      <c r="B797" s="126" t="s">
        <v>54</v>
      </c>
      <c r="C797" s="53" t="s">
        <v>2438</v>
      </c>
      <c r="D797" s="53" t="s">
        <v>2439</v>
      </c>
      <c r="E797" s="131">
        <v>45894</v>
      </c>
      <c r="F797" s="127" t="s">
        <v>371</v>
      </c>
      <c r="G797" s="127" t="s">
        <v>864</v>
      </c>
      <c r="H797" s="54">
        <v>14800</v>
      </c>
      <c r="I797" s="138">
        <v>0.57699999999999996</v>
      </c>
      <c r="J797" s="44" t="s">
        <v>1977</v>
      </c>
      <c r="K797" s="44" t="s">
        <v>1540</v>
      </c>
    </row>
    <row r="798" spans="1:11" x14ac:dyDescent="0.3">
      <c r="A798" s="126" t="s">
        <v>392</v>
      </c>
      <c r="B798" s="126" t="s">
        <v>54</v>
      </c>
      <c r="C798" s="53" t="s">
        <v>2440</v>
      </c>
      <c r="D798" s="53" t="s">
        <v>2441</v>
      </c>
      <c r="E798" s="131">
        <v>45894</v>
      </c>
      <c r="F798" s="127" t="s">
        <v>371</v>
      </c>
      <c r="G798" s="127" t="s">
        <v>864</v>
      </c>
      <c r="H798" s="54">
        <v>7400</v>
      </c>
      <c r="I798" s="138">
        <v>0.86299999999999999</v>
      </c>
      <c r="J798" s="44" t="s">
        <v>1977</v>
      </c>
      <c r="K798" s="44" t="s">
        <v>1540</v>
      </c>
    </row>
    <row r="799" spans="1:11" x14ac:dyDescent="0.3">
      <c r="A799" s="126" t="s">
        <v>392</v>
      </c>
      <c r="B799" s="126" t="s">
        <v>54</v>
      </c>
      <c r="C799" s="53" t="s">
        <v>2442</v>
      </c>
      <c r="D799" s="53" t="s">
        <v>2443</v>
      </c>
      <c r="E799" s="131">
        <v>45894</v>
      </c>
      <c r="F799" s="127" t="s">
        <v>371</v>
      </c>
      <c r="G799" s="127" t="s">
        <v>864</v>
      </c>
      <c r="H799" s="54">
        <v>31559.31</v>
      </c>
      <c r="I799" s="138">
        <v>0.501</v>
      </c>
      <c r="J799" s="44" t="s">
        <v>1977</v>
      </c>
      <c r="K799" s="44" t="s">
        <v>1540</v>
      </c>
    </row>
    <row r="800" spans="1:11" x14ac:dyDescent="0.3">
      <c r="A800" s="126" t="s">
        <v>392</v>
      </c>
      <c r="B800" s="126" t="s">
        <v>54</v>
      </c>
      <c r="C800" s="53" t="s">
        <v>2444</v>
      </c>
      <c r="D800" s="53" t="s">
        <v>2445</v>
      </c>
      <c r="E800" s="131">
        <v>45894</v>
      </c>
      <c r="F800" s="127" t="s">
        <v>371</v>
      </c>
      <c r="G800" s="127" t="s">
        <v>864</v>
      </c>
      <c r="H800" s="54">
        <v>7400</v>
      </c>
      <c r="I800" s="138">
        <v>0.86499999999999999</v>
      </c>
      <c r="J800" s="44" t="s">
        <v>1977</v>
      </c>
      <c r="K800" s="44" t="s">
        <v>1540</v>
      </c>
    </row>
    <row r="801" spans="1:11" x14ac:dyDescent="0.3">
      <c r="A801" s="126" t="s">
        <v>392</v>
      </c>
      <c r="B801" s="126" t="s">
        <v>54</v>
      </c>
      <c r="C801" s="53" t="s">
        <v>2446</v>
      </c>
      <c r="D801" s="53" t="s">
        <v>2447</v>
      </c>
      <c r="E801" s="131">
        <v>45894</v>
      </c>
      <c r="F801" s="127" t="s">
        <v>842</v>
      </c>
      <c r="G801" s="127" t="s">
        <v>843</v>
      </c>
      <c r="H801" s="54">
        <v>22000</v>
      </c>
      <c r="I801" s="138">
        <v>0.434</v>
      </c>
      <c r="J801" s="44" t="s">
        <v>1977</v>
      </c>
      <c r="K801" s="44" t="s">
        <v>1540</v>
      </c>
    </row>
    <row r="802" spans="1:11" x14ac:dyDescent="0.3">
      <c r="A802" s="126" t="s">
        <v>390</v>
      </c>
      <c r="B802" s="126" t="s">
        <v>54</v>
      </c>
      <c r="C802" s="53" t="s">
        <v>2448</v>
      </c>
      <c r="D802" s="53" t="s">
        <v>2240</v>
      </c>
      <c r="E802" s="131">
        <v>45894</v>
      </c>
      <c r="F802" s="127" t="s">
        <v>371</v>
      </c>
      <c r="G802" s="127" t="s">
        <v>864</v>
      </c>
      <c r="H802" s="54">
        <v>3000</v>
      </c>
      <c r="I802" s="138">
        <v>0.54500000000000004</v>
      </c>
      <c r="J802" s="44" t="s">
        <v>831</v>
      </c>
      <c r="K802" s="44" t="s">
        <v>1542</v>
      </c>
    </row>
    <row r="803" spans="1:11" x14ac:dyDescent="0.3">
      <c r="A803" s="126" t="s">
        <v>392</v>
      </c>
      <c r="B803" s="126" t="s">
        <v>54</v>
      </c>
      <c r="C803" s="53" t="s">
        <v>2449</v>
      </c>
      <c r="D803" s="53" t="s">
        <v>2450</v>
      </c>
      <c r="E803" s="131">
        <v>45894</v>
      </c>
      <c r="F803" s="127" t="s">
        <v>370</v>
      </c>
      <c r="G803" s="127" t="s">
        <v>63</v>
      </c>
      <c r="H803" s="54">
        <v>42900</v>
      </c>
      <c r="I803" s="138">
        <v>0.36499999999999999</v>
      </c>
      <c r="J803" s="44" t="s">
        <v>848</v>
      </c>
      <c r="K803" s="44" t="s">
        <v>1540</v>
      </c>
    </row>
    <row r="804" spans="1:11" x14ac:dyDescent="0.3">
      <c r="A804" s="126" t="s">
        <v>392</v>
      </c>
      <c r="B804" s="126" t="s">
        <v>54</v>
      </c>
      <c r="C804" s="53" t="s">
        <v>2451</v>
      </c>
      <c r="D804" s="53" t="s">
        <v>2452</v>
      </c>
      <c r="E804" s="131">
        <v>45894</v>
      </c>
      <c r="F804" s="127" t="s">
        <v>370</v>
      </c>
      <c r="G804" s="127" t="s">
        <v>63</v>
      </c>
      <c r="H804" s="54">
        <v>29700</v>
      </c>
      <c r="I804" s="138">
        <v>0.70399999999999996</v>
      </c>
      <c r="J804" s="44" t="s">
        <v>848</v>
      </c>
      <c r="K804" s="44" t="s">
        <v>1540</v>
      </c>
    </row>
    <row r="805" spans="1:11" x14ac:dyDescent="0.3">
      <c r="A805" s="126" t="s">
        <v>390</v>
      </c>
      <c r="B805" s="126" t="s">
        <v>54</v>
      </c>
      <c r="C805" s="53" t="s">
        <v>2453</v>
      </c>
      <c r="D805" s="53" t="s">
        <v>2454</v>
      </c>
      <c r="E805" s="131">
        <v>45894</v>
      </c>
      <c r="F805" s="127" t="s">
        <v>372</v>
      </c>
      <c r="G805" s="127" t="s">
        <v>10</v>
      </c>
      <c r="H805" s="54">
        <v>3540</v>
      </c>
      <c r="I805" s="138">
        <v>0.25900000000000001</v>
      </c>
      <c r="J805" s="44" t="s">
        <v>833</v>
      </c>
      <c r="K805" s="44" t="s">
        <v>1542</v>
      </c>
    </row>
    <row r="806" spans="1:11" x14ac:dyDescent="0.3">
      <c r="A806" s="126" t="s">
        <v>392</v>
      </c>
      <c r="B806" s="126" t="s">
        <v>54</v>
      </c>
      <c r="C806" s="53" t="s">
        <v>2455</v>
      </c>
      <c r="D806" s="53" t="s">
        <v>2456</v>
      </c>
      <c r="E806" s="131">
        <v>45894</v>
      </c>
      <c r="F806" s="127" t="s">
        <v>370</v>
      </c>
      <c r="G806" s="127" t="s">
        <v>63</v>
      </c>
      <c r="H806" s="54">
        <v>780</v>
      </c>
      <c r="I806" s="138">
        <v>0.47799999999999998</v>
      </c>
      <c r="J806" s="44" t="s">
        <v>848</v>
      </c>
      <c r="K806" s="44" t="s">
        <v>1540</v>
      </c>
    </row>
    <row r="807" spans="1:11" x14ac:dyDescent="0.3">
      <c r="A807" s="126" t="s">
        <v>392</v>
      </c>
      <c r="B807" s="126" t="s">
        <v>54</v>
      </c>
      <c r="C807" s="53" t="s">
        <v>2457</v>
      </c>
      <c r="D807" s="53" t="s">
        <v>2458</v>
      </c>
      <c r="E807" s="131">
        <v>45894</v>
      </c>
      <c r="F807" s="127" t="s">
        <v>370</v>
      </c>
      <c r="G807" s="127" t="s">
        <v>63</v>
      </c>
      <c r="H807" s="54">
        <v>4800</v>
      </c>
      <c r="I807" s="138">
        <v>0.625</v>
      </c>
      <c r="J807" s="44" t="s">
        <v>848</v>
      </c>
      <c r="K807" s="44" t="s">
        <v>1540</v>
      </c>
    </row>
    <row r="808" spans="1:11" x14ac:dyDescent="0.3">
      <c r="A808" s="126" t="s">
        <v>392</v>
      </c>
      <c r="B808" s="126" t="s">
        <v>54</v>
      </c>
      <c r="C808" s="53" t="s">
        <v>2459</v>
      </c>
      <c r="D808" s="53" t="s">
        <v>2460</v>
      </c>
      <c r="E808" s="131">
        <v>45894</v>
      </c>
      <c r="F808" s="127" t="s">
        <v>371</v>
      </c>
      <c r="G808" s="127" t="s">
        <v>864</v>
      </c>
      <c r="H808" s="54">
        <v>7400</v>
      </c>
      <c r="I808" s="138">
        <v>0.86299999999999999</v>
      </c>
      <c r="J808" s="44" t="s">
        <v>1977</v>
      </c>
      <c r="K808" s="44" t="s">
        <v>1540</v>
      </c>
    </row>
    <row r="809" spans="1:11" x14ac:dyDescent="0.3">
      <c r="A809" s="126" t="s">
        <v>392</v>
      </c>
      <c r="B809" s="126" t="s">
        <v>54</v>
      </c>
      <c r="C809" s="53" t="s">
        <v>2461</v>
      </c>
      <c r="D809" s="53" t="s">
        <v>2462</v>
      </c>
      <c r="E809" s="131">
        <v>45895</v>
      </c>
      <c r="F809" s="127" t="s">
        <v>370</v>
      </c>
      <c r="G809" s="127" t="s">
        <v>63</v>
      </c>
      <c r="H809" s="54">
        <v>4000</v>
      </c>
      <c r="I809" s="138">
        <v>0.55000000000000004</v>
      </c>
      <c r="J809" s="44" t="s">
        <v>848</v>
      </c>
      <c r="K809" s="44" t="s">
        <v>1540</v>
      </c>
    </row>
    <row r="810" spans="1:11" x14ac:dyDescent="0.3">
      <c r="A810" s="126" t="s">
        <v>392</v>
      </c>
      <c r="B810" s="126" t="s">
        <v>54</v>
      </c>
      <c r="C810" s="53" t="s">
        <v>2463</v>
      </c>
      <c r="D810" s="53" t="s">
        <v>2464</v>
      </c>
      <c r="E810" s="131">
        <v>45895</v>
      </c>
      <c r="F810" s="127" t="s">
        <v>370</v>
      </c>
      <c r="G810" s="127" t="s">
        <v>63</v>
      </c>
      <c r="H810" s="54">
        <v>4200</v>
      </c>
      <c r="I810" s="138">
        <v>0.57099999999999995</v>
      </c>
      <c r="J810" s="44" t="s">
        <v>848</v>
      </c>
      <c r="K810" s="44" t="s">
        <v>1540</v>
      </c>
    </row>
    <row r="811" spans="1:11" x14ac:dyDescent="0.3">
      <c r="A811" s="126" t="s">
        <v>392</v>
      </c>
      <c r="B811" s="126" t="s">
        <v>54</v>
      </c>
      <c r="C811" s="53" t="s">
        <v>2465</v>
      </c>
      <c r="D811" s="53" t="s">
        <v>2466</v>
      </c>
      <c r="E811" s="131">
        <v>45895</v>
      </c>
      <c r="F811" s="127" t="s">
        <v>842</v>
      </c>
      <c r="G811" s="127" t="s">
        <v>843</v>
      </c>
      <c r="H811" s="54">
        <v>22000</v>
      </c>
      <c r="I811" s="138">
        <v>0.45100000000000001</v>
      </c>
      <c r="J811" s="44" t="s">
        <v>1977</v>
      </c>
      <c r="K811" s="44" t="s">
        <v>1540</v>
      </c>
    </row>
    <row r="812" spans="1:11" x14ac:dyDescent="0.3">
      <c r="A812" s="126" t="s">
        <v>392</v>
      </c>
      <c r="B812" s="126" t="s">
        <v>54</v>
      </c>
      <c r="C812" s="53" t="s">
        <v>2467</v>
      </c>
      <c r="D812" s="53" t="s">
        <v>2468</v>
      </c>
      <c r="E812" s="131">
        <v>45895</v>
      </c>
      <c r="F812" s="127" t="s">
        <v>372</v>
      </c>
      <c r="G812" s="127" t="s">
        <v>10</v>
      </c>
      <c r="H812" s="54">
        <v>11700</v>
      </c>
      <c r="I812" s="138">
        <v>0.5</v>
      </c>
      <c r="J812" s="44" t="s">
        <v>848</v>
      </c>
      <c r="K812" s="44" t="s">
        <v>1540</v>
      </c>
    </row>
    <row r="813" spans="1:11" x14ac:dyDescent="0.3">
      <c r="A813" s="126" t="s">
        <v>390</v>
      </c>
      <c r="B813" s="126" t="s">
        <v>54</v>
      </c>
      <c r="C813" s="53" t="s">
        <v>2469</v>
      </c>
      <c r="D813" s="53" t="s">
        <v>2470</v>
      </c>
      <c r="E813" s="131">
        <v>45896</v>
      </c>
      <c r="F813" s="127" t="s">
        <v>372</v>
      </c>
      <c r="G813" s="127" t="s">
        <v>10</v>
      </c>
      <c r="H813" s="54">
        <v>3540</v>
      </c>
      <c r="I813" s="138">
        <v>0.25900000000000001</v>
      </c>
      <c r="J813" s="44" t="s">
        <v>831</v>
      </c>
      <c r="K813" s="44" t="s">
        <v>1542</v>
      </c>
    </row>
    <row r="814" spans="1:11" x14ac:dyDescent="0.3">
      <c r="A814" s="126" t="s">
        <v>390</v>
      </c>
      <c r="B814" s="126" t="s">
        <v>54</v>
      </c>
      <c r="C814" s="53" t="s">
        <v>2471</v>
      </c>
      <c r="D814" s="53" t="s">
        <v>2290</v>
      </c>
      <c r="E814" s="131">
        <v>45896</v>
      </c>
      <c r="F814" s="127" t="s">
        <v>372</v>
      </c>
      <c r="G814" s="127" t="s">
        <v>10</v>
      </c>
      <c r="H814" s="54">
        <v>101989.99</v>
      </c>
      <c r="I814" s="138">
        <v>0.29099999999999998</v>
      </c>
      <c r="J814" s="44" t="s">
        <v>831</v>
      </c>
      <c r="K814" s="44" t="s">
        <v>1542</v>
      </c>
    </row>
    <row r="815" spans="1:11" x14ac:dyDescent="0.3">
      <c r="A815" s="126" t="s">
        <v>390</v>
      </c>
      <c r="B815" s="126" t="s">
        <v>54</v>
      </c>
      <c r="C815" s="53" t="s">
        <v>2472</v>
      </c>
      <c r="D815" s="53" t="s">
        <v>2473</v>
      </c>
      <c r="E815" s="131">
        <v>45896</v>
      </c>
      <c r="F815" s="127" t="s">
        <v>372</v>
      </c>
      <c r="G815" s="127" t="s">
        <v>10</v>
      </c>
      <c r="H815" s="54">
        <v>20658.98</v>
      </c>
      <c r="I815" s="138">
        <v>0.34599999999999997</v>
      </c>
      <c r="J815" s="44" t="s">
        <v>831</v>
      </c>
      <c r="K815" s="44" t="s">
        <v>1541</v>
      </c>
    </row>
    <row r="816" spans="1:11" x14ac:dyDescent="0.3">
      <c r="A816" s="126" t="s">
        <v>390</v>
      </c>
      <c r="B816" s="126" t="s">
        <v>54</v>
      </c>
      <c r="C816" s="53" t="s">
        <v>2474</v>
      </c>
      <c r="D816" s="53" t="s">
        <v>2475</v>
      </c>
      <c r="E816" s="131">
        <v>45896</v>
      </c>
      <c r="F816" s="127" t="s">
        <v>372</v>
      </c>
      <c r="G816" s="127" t="s">
        <v>10</v>
      </c>
      <c r="H816" s="54">
        <v>101132.04</v>
      </c>
      <c r="I816" s="138">
        <v>0.33900000000000002</v>
      </c>
      <c r="J816" s="44" t="s">
        <v>831</v>
      </c>
      <c r="K816" s="44" t="s">
        <v>1542</v>
      </c>
    </row>
    <row r="817" spans="1:11" x14ac:dyDescent="0.3">
      <c r="A817" s="126" t="s">
        <v>390</v>
      </c>
      <c r="B817" s="126" t="s">
        <v>54</v>
      </c>
      <c r="C817" s="53" t="s">
        <v>2476</v>
      </c>
      <c r="D817" s="53" t="s">
        <v>2273</v>
      </c>
      <c r="E817" s="131">
        <v>45896</v>
      </c>
      <c r="F817" s="127" t="s">
        <v>2274</v>
      </c>
      <c r="G817" s="127" t="s">
        <v>2275</v>
      </c>
      <c r="H817" s="54">
        <v>186283.56999999995</v>
      </c>
      <c r="I817" s="138">
        <v>0.27400000000000002</v>
      </c>
      <c r="J817" s="44" t="s">
        <v>831</v>
      </c>
      <c r="K817" s="44" t="s">
        <v>1542</v>
      </c>
    </row>
    <row r="818" spans="1:11" x14ac:dyDescent="0.3">
      <c r="A818" s="126" t="s">
        <v>392</v>
      </c>
      <c r="B818" s="126" t="s">
        <v>54</v>
      </c>
      <c r="C818" s="53" t="s">
        <v>2477</v>
      </c>
      <c r="D818" s="53" t="s">
        <v>2478</v>
      </c>
      <c r="E818" s="131">
        <v>45896</v>
      </c>
      <c r="F818" s="127" t="s">
        <v>371</v>
      </c>
      <c r="G818" s="127" t="s">
        <v>864</v>
      </c>
      <c r="H818" s="54">
        <v>7400</v>
      </c>
      <c r="I818" s="138">
        <v>0.61199999999999999</v>
      </c>
      <c r="J818" s="44" t="s">
        <v>1977</v>
      </c>
      <c r="K818" s="44" t="s">
        <v>1540</v>
      </c>
    </row>
    <row r="819" spans="1:11" x14ac:dyDescent="0.3">
      <c r="A819" s="126" t="s">
        <v>390</v>
      </c>
      <c r="B819" s="126" t="s">
        <v>54</v>
      </c>
      <c r="C819" s="53" t="s">
        <v>2479</v>
      </c>
      <c r="D819" s="53" t="s">
        <v>2480</v>
      </c>
      <c r="E819" s="131">
        <v>45896</v>
      </c>
      <c r="F819" s="127" t="s">
        <v>619</v>
      </c>
      <c r="G819" s="127" t="s">
        <v>2086</v>
      </c>
      <c r="H819" s="54">
        <v>19500</v>
      </c>
      <c r="I819" s="138">
        <v>0.55600000000000005</v>
      </c>
      <c r="J819" s="44" t="s">
        <v>833</v>
      </c>
      <c r="K819" s="44" t="s">
        <v>1541</v>
      </c>
    </row>
    <row r="820" spans="1:11" x14ac:dyDescent="0.3">
      <c r="A820" s="126" t="s">
        <v>390</v>
      </c>
      <c r="B820" s="126" t="s">
        <v>54</v>
      </c>
      <c r="C820" s="53" t="s">
        <v>2481</v>
      </c>
      <c r="D820" s="53" t="s">
        <v>2482</v>
      </c>
      <c r="E820" s="131">
        <v>45896</v>
      </c>
      <c r="F820" s="127" t="s">
        <v>375</v>
      </c>
      <c r="G820" s="127" t="s">
        <v>2303</v>
      </c>
      <c r="H820" s="54">
        <v>10921.41</v>
      </c>
      <c r="I820" s="138">
        <v>0.33600000000000002</v>
      </c>
      <c r="J820" s="44" t="s">
        <v>831</v>
      </c>
      <c r="K820" s="44" t="s">
        <v>1541</v>
      </c>
    </row>
    <row r="821" spans="1:11" x14ac:dyDescent="0.3">
      <c r="A821" s="126" t="s">
        <v>390</v>
      </c>
      <c r="B821" s="126" t="s">
        <v>54</v>
      </c>
      <c r="C821" s="53" t="s">
        <v>2483</v>
      </c>
      <c r="D821" s="53" t="s">
        <v>2484</v>
      </c>
      <c r="E821" s="131">
        <v>45896</v>
      </c>
      <c r="F821" s="127" t="s">
        <v>2485</v>
      </c>
      <c r="G821" s="127" t="s">
        <v>2304</v>
      </c>
      <c r="H821" s="54">
        <v>21769.67</v>
      </c>
      <c r="I821" s="138">
        <v>0.40200000000000002</v>
      </c>
      <c r="J821" s="44" t="s">
        <v>1977</v>
      </c>
      <c r="K821" s="44" t="s">
        <v>1542</v>
      </c>
    </row>
    <row r="822" spans="1:11" x14ac:dyDescent="0.3">
      <c r="A822" s="126" t="s">
        <v>392</v>
      </c>
      <c r="B822" s="126" t="s">
        <v>54</v>
      </c>
      <c r="C822" s="53" t="s">
        <v>2486</v>
      </c>
      <c r="D822" s="53" t="s">
        <v>2487</v>
      </c>
      <c r="E822" s="131">
        <v>45896</v>
      </c>
      <c r="F822" s="127" t="s">
        <v>842</v>
      </c>
      <c r="G822" s="127" t="s">
        <v>843</v>
      </c>
      <c r="H822" s="54">
        <v>25000</v>
      </c>
      <c r="I822" s="138">
        <v>0.27700000000000002</v>
      </c>
      <c r="J822" s="44" t="s">
        <v>1977</v>
      </c>
      <c r="K822" s="44" t="s">
        <v>1540</v>
      </c>
    </row>
    <row r="823" spans="1:11" x14ac:dyDescent="0.3">
      <c r="A823" s="126" t="s">
        <v>390</v>
      </c>
      <c r="B823" s="126" t="s">
        <v>54</v>
      </c>
      <c r="C823" s="53" t="s">
        <v>2488</v>
      </c>
      <c r="D823" s="53" t="s">
        <v>2489</v>
      </c>
      <c r="E823" s="131">
        <v>45896</v>
      </c>
      <c r="F823" s="127" t="s">
        <v>371</v>
      </c>
      <c r="G823" s="127" t="s">
        <v>864</v>
      </c>
      <c r="H823" s="54">
        <v>13331.62</v>
      </c>
      <c r="I823" s="138">
        <v>0.48799999999999999</v>
      </c>
      <c r="J823" s="44" t="s">
        <v>832</v>
      </c>
      <c r="K823" s="44" t="s">
        <v>1541</v>
      </c>
    </row>
    <row r="824" spans="1:11" x14ac:dyDescent="0.3">
      <c r="A824" s="126" t="s">
        <v>392</v>
      </c>
      <c r="B824" s="126" t="s">
        <v>54</v>
      </c>
      <c r="C824" s="53" t="s">
        <v>2490</v>
      </c>
      <c r="D824" s="53" t="s">
        <v>2491</v>
      </c>
      <c r="E824" s="131">
        <v>45896</v>
      </c>
      <c r="F824" s="127" t="s">
        <v>371</v>
      </c>
      <c r="G824" s="127" t="s">
        <v>864</v>
      </c>
      <c r="H824" s="54">
        <v>7400</v>
      </c>
      <c r="I824" s="138">
        <v>0.86299999999999999</v>
      </c>
      <c r="J824" s="44" t="s">
        <v>1977</v>
      </c>
      <c r="K824" s="44" t="s">
        <v>1540</v>
      </c>
    </row>
    <row r="825" spans="1:11" x14ac:dyDescent="0.3">
      <c r="A825" s="126" t="s">
        <v>390</v>
      </c>
      <c r="B825" s="126" t="s">
        <v>54</v>
      </c>
      <c r="C825" s="53" t="s">
        <v>2492</v>
      </c>
      <c r="D825" s="53" t="s">
        <v>2493</v>
      </c>
      <c r="E825" s="131">
        <v>45896</v>
      </c>
      <c r="F825" s="127" t="s">
        <v>371</v>
      </c>
      <c r="G825" s="127" t="s">
        <v>864</v>
      </c>
      <c r="H825" s="54">
        <v>40762.800000000003</v>
      </c>
      <c r="I825" s="138">
        <v>0.16400000000000001</v>
      </c>
      <c r="J825" s="44" t="s">
        <v>832</v>
      </c>
      <c r="K825" s="44" t="s">
        <v>1541</v>
      </c>
    </row>
    <row r="826" spans="1:11" x14ac:dyDescent="0.3">
      <c r="A826" s="126" t="s">
        <v>390</v>
      </c>
      <c r="B826" s="126" t="s">
        <v>54</v>
      </c>
      <c r="C826" s="53" t="s">
        <v>2494</v>
      </c>
      <c r="D826" s="53" t="s">
        <v>2495</v>
      </c>
      <c r="E826" s="131">
        <v>45896</v>
      </c>
      <c r="F826" s="127" t="s">
        <v>372</v>
      </c>
      <c r="G826" s="127" t="s">
        <v>10</v>
      </c>
      <c r="H826" s="54">
        <v>73394.11</v>
      </c>
      <c r="I826" s="138">
        <v>0.13</v>
      </c>
      <c r="J826" s="44" t="s">
        <v>831</v>
      </c>
      <c r="K826" s="44" t="s">
        <v>1542</v>
      </c>
    </row>
    <row r="827" spans="1:11" x14ac:dyDescent="0.3">
      <c r="A827" s="126" t="s">
        <v>390</v>
      </c>
      <c r="B827" s="126" t="s">
        <v>54</v>
      </c>
      <c r="C827" s="53" t="s">
        <v>2496</v>
      </c>
      <c r="D827" s="53" t="s">
        <v>2497</v>
      </c>
      <c r="E827" s="131">
        <v>45896</v>
      </c>
      <c r="F827" s="127" t="s">
        <v>371</v>
      </c>
      <c r="G827" s="127" t="s">
        <v>864</v>
      </c>
      <c r="H827" s="54">
        <v>30828.14</v>
      </c>
      <c r="I827" s="138">
        <v>0.216</v>
      </c>
      <c r="J827" s="44" t="s">
        <v>832</v>
      </c>
      <c r="K827" s="44" t="s">
        <v>1541</v>
      </c>
    </row>
    <row r="828" spans="1:11" x14ac:dyDescent="0.3">
      <c r="A828" s="126" t="s">
        <v>390</v>
      </c>
      <c r="B828" s="126" t="s">
        <v>54</v>
      </c>
      <c r="C828" s="53" t="s">
        <v>2498</v>
      </c>
      <c r="D828" s="53" t="s">
        <v>2499</v>
      </c>
      <c r="E828" s="131">
        <v>45896</v>
      </c>
      <c r="F828" s="127" t="s">
        <v>371</v>
      </c>
      <c r="G828" s="127" t="s">
        <v>864</v>
      </c>
      <c r="H828" s="54">
        <v>24251.15</v>
      </c>
      <c r="I828" s="138">
        <v>0.187</v>
      </c>
      <c r="J828" s="44" t="s">
        <v>832</v>
      </c>
      <c r="K828" s="44" t="s">
        <v>1541</v>
      </c>
    </row>
    <row r="829" spans="1:11" x14ac:dyDescent="0.3">
      <c r="A829" s="126" t="s">
        <v>390</v>
      </c>
      <c r="B829" s="126" t="s">
        <v>54</v>
      </c>
      <c r="C829" s="53" t="s">
        <v>2500</v>
      </c>
      <c r="D829" s="53" t="s">
        <v>2501</v>
      </c>
      <c r="E829" s="131">
        <v>45896</v>
      </c>
      <c r="F829" s="127" t="s">
        <v>371</v>
      </c>
      <c r="G829" s="127" t="s">
        <v>864</v>
      </c>
      <c r="H829" s="54">
        <v>13540.23</v>
      </c>
      <c r="I829" s="138">
        <v>0.23100000000000001</v>
      </c>
      <c r="J829" s="44" t="s">
        <v>832</v>
      </c>
      <c r="K829" s="44" t="s">
        <v>1541</v>
      </c>
    </row>
    <row r="830" spans="1:11" x14ac:dyDescent="0.3">
      <c r="A830" s="126" t="s">
        <v>390</v>
      </c>
      <c r="B830" s="126" t="s">
        <v>54</v>
      </c>
      <c r="C830" s="53" t="s">
        <v>2502</v>
      </c>
      <c r="D830" s="53" t="s">
        <v>2503</v>
      </c>
      <c r="E830" s="131">
        <v>45896</v>
      </c>
      <c r="F830" s="127" t="s">
        <v>371</v>
      </c>
      <c r="G830" s="127" t="s">
        <v>864</v>
      </c>
      <c r="H830" s="54">
        <v>14277.57</v>
      </c>
      <c r="I830" s="138">
        <v>0.22600000000000001</v>
      </c>
      <c r="J830" s="44" t="s">
        <v>832</v>
      </c>
      <c r="K830" s="44" t="s">
        <v>1541</v>
      </c>
    </row>
    <row r="831" spans="1:11" x14ac:dyDescent="0.3">
      <c r="A831" s="126" t="s">
        <v>390</v>
      </c>
      <c r="B831" s="126" t="s">
        <v>54</v>
      </c>
      <c r="C831" s="53" t="s">
        <v>2504</v>
      </c>
      <c r="D831" s="53" t="s">
        <v>2505</v>
      </c>
      <c r="E831" s="131">
        <v>45896</v>
      </c>
      <c r="F831" s="127" t="s">
        <v>371</v>
      </c>
      <c r="G831" s="127" t="s">
        <v>864</v>
      </c>
      <c r="H831" s="54">
        <v>16040.23</v>
      </c>
      <c r="I831" s="138">
        <v>0.23899999999999999</v>
      </c>
      <c r="J831" s="44" t="s">
        <v>832</v>
      </c>
      <c r="K831" s="44" t="s">
        <v>1541</v>
      </c>
    </row>
    <row r="832" spans="1:11" x14ac:dyDescent="0.3">
      <c r="A832" s="126" t="s">
        <v>390</v>
      </c>
      <c r="B832" s="126" t="s">
        <v>54</v>
      </c>
      <c r="C832" s="53" t="s">
        <v>2506</v>
      </c>
      <c r="D832" s="53" t="s">
        <v>2507</v>
      </c>
      <c r="E832" s="131">
        <v>45896</v>
      </c>
      <c r="F832" s="127" t="s">
        <v>371</v>
      </c>
      <c r="G832" s="127" t="s">
        <v>864</v>
      </c>
      <c r="H832" s="54">
        <v>16938.759999999998</v>
      </c>
      <c r="I832" s="138">
        <v>0.23300000000000001</v>
      </c>
      <c r="J832" s="44" t="s">
        <v>832</v>
      </c>
      <c r="K832" s="44" t="s">
        <v>1541</v>
      </c>
    </row>
    <row r="833" spans="1:11" x14ac:dyDescent="0.3">
      <c r="A833" s="126" t="s">
        <v>390</v>
      </c>
      <c r="B833" s="126" t="s">
        <v>54</v>
      </c>
      <c r="C833" s="53" t="s">
        <v>2508</v>
      </c>
      <c r="D833" s="53" t="s">
        <v>2509</v>
      </c>
      <c r="E833" s="131">
        <v>45896</v>
      </c>
      <c r="F833" s="127" t="s">
        <v>371</v>
      </c>
      <c r="G833" s="127" t="s">
        <v>864</v>
      </c>
      <c r="H833" s="54">
        <v>16777.57</v>
      </c>
      <c r="I833" s="138">
        <v>0.23400000000000001</v>
      </c>
      <c r="J833" s="44" t="s">
        <v>832</v>
      </c>
      <c r="K833" s="44" t="s">
        <v>1541</v>
      </c>
    </row>
    <row r="834" spans="1:11" x14ac:dyDescent="0.3">
      <c r="A834" s="126" t="s">
        <v>392</v>
      </c>
      <c r="B834" s="126" t="s">
        <v>54</v>
      </c>
      <c r="C834" s="53" t="s">
        <v>2510</v>
      </c>
      <c r="D834" s="53" t="s">
        <v>2511</v>
      </c>
      <c r="E834" s="131">
        <v>45897</v>
      </c>
      <c r="F834" s="127" t="s">
        <v>842</v>
      </c>
      <c r="G834" s="127" t="s">
        <v>843</v>
      </c>
      <c r="H834" s="54">
        <v>22000</v>
      </c>
      <c r="I834" s="138">
        <v>0.44800000000000001</v>
      </c>
      <c r="J834" s="44" t="s">
        <v>1977</v>
      </c>
      <c r="K834" s="44" t="s">
        <v>1540</v>
      </c>
    </row>
    <row r="835" spans="1:11" x14ac:dyDescent="0.3">
      <c r="A835" s="126" t="s">
        <v>390</v>
      </c>
      <c r="B835" s="126" t="s">
        <v>54</v>
      </c>
      <c r="C835" s="53" t="s">
        <v>2512</v>
      </c>
      <c r="D835" s="53" t="s">
        <v>2513</v>
      </c>
      <c r="E835" s="131">
        <v>45897</v>
      </c>
      <c r="F835" s="127" t="s">
        <v>370</v>
      </c>
      <c r="G835" s="127" t="s">
        <v>63</v>
      </c>
      <c r="H835" s="54">
        <v>8862</v>
      </c>
      <c r="I835" s="138">
        <v>0.51700000000000002</v>
      </c>
      <c r="J835" s="44" t="s">
        <v>1835</v>
      </c>
      <c r="K835" s="44" t="s">
        <v>1541</v>
      </c>
    </row>
    <row r="836" spans="1:11" x14ac:dyDescent="0.3">
      <c r="A836" s="126" t="s">
        <v>392</v>
      </c>
      <c r="B836" s="126" t="s">
        <v>54</v>
      </c>
      <c r="C836" s="53" t="s">
        <v>2514</v>
      </c>
      <c r="D836" s="53" t="s">
        <v>2515</v>
      </c>
      <c r="E836" s="131">
        <v>45897</v>
      </c>
      <c r="F836" s="127" t="s">
        <v>370</v>
      </c>
      <c r="G836" s="127" t="s">
        <v>63</v>
      </c>
      <c r="H836" s="54">
        <v>8300</v>
      </c>
      <c r="I836" s="138">
        <v>0.56599999999999995</v>
      </c>
      <c r="J836" s="44" t="s">
        <v>848</v>
      </c>
      <c r="K836" s="44" t="s">
        <v>1540</v>
      </c>
    </row>
    <row r="837" spans="1:11" x14ac:dyDescent="0.3">
      <c r="A837" s="126" t="s">
        <v>392</v>
      </c>
      <c r="B837" s="126" t="s">
        <v>54</v>
      </c>
      <c r="C837" s="53" t="s">
        <v>2516</v>
      </c>
      <c r="D837" s="53" t="s">
        <v>2517</v>
      </c>
      <c r="E837" s="131">
        <v>45897</v>
      </c>
      <c r="F837" s="127" t="s">
        <v>370</v>
      </c>
      <c r="G837" s="127" t="s">
        <v>63</v>
      </c>
      <c r="H837" s="54">
        <v>4800</v>
      </c>
      <c r="I837" s="138">
        <v>0.625</v>
      </c>
      <c r="J837" s="44" t="s">
        <v>848</v>
      </c>
      <c r="K837" s="44" t="s">
        <v>1540</v>
      </c>
    </row>
    <row r="838" spans="1:11" x14ac:dyDescent="0.3">
      <c r="A838" s="126" t="s">
        <v>390</v>
      </c>
      <c r="B838" s="126" t="s">
        <v>54</v>
      </c>
      <c r="C838" s="53" t="s">
        <v>2518</v>
      </c>
      <c r="D838" s="53" t="s">
        <v>2519</v>
      </c>
      <c r="E838" s="131">
        <v>45897</v>
      </c>
      <c r="F838" s="127" t="s">
        <v>371</v>
      </c>
      <c r="G838" s="127" t="s">
        <v>864</v>
      </c>
      <c r="H838" s="54">
        <v>43103.54</v>
      </c>
      <c r="I838" s="138">
        <v>0.17799999999999999</v>
      </c>
      <c r="J838" s="44" t="s">
        <v>833</v>
      </c>
      <c r="K838" s="44" t="s">
        <v>1542</v>
      </c>
    </row>
    <row r="839" spans="1:11" x14ac:dyDescent="0.3">
      <c r="A839" s="126" t="s">
        <v>390</v>
      </c>
      <c r="B839" s="126" t="s">
        <v>54</v>
      </c>
      <c r="C839" s="53" t="s">
        <v>2520</v>
      </c>
      <c r="D839" s="53" t="s">
        <v>2521</v>
      </c>
      <c r="E839" s="131">
        <v>45897</v>
      </c>
      <c r="F839" s="127" t="s">
        <v>371</v>
      </c>
      <c r="G839" s="127" t="s">
        <v>864</v>
      </c>
      <c r="H839" s="54">
        <v>311528.71000000002</v>
      </c>
      <c r="I839" s="138">
        <v>0.19700000000000001</v>
      </c>
      <c r="J839" s="44" t="s">
        <v>833</v>
      </c>
      <c r="K839" s="44" t="s">
        <v>1542</v>
      </c>
    </row>
    <row r="840" spans="1:11" x14ac:dyDescent="0.3">
      <c r="A840" s="126" t="s">
        <v>392</v>
      </c>
      <c r="B840" s="126" t="s">
        <v>54</v>
      </c>
      <c r="C840" s="53" t="s">
        <v>2522</v>
      </c>
      <c r="D840" s="53" t="s">
        <v>2523</v>
      </c>
      <c r="E840" s="131">
        <v>45897</v>
      </c>
      <c r="F840" s="127" t="s">
        <v>842</v>
      </c>
      <c r="G840" s="127" t="s">
        <v>843</v>
      </c>
      <c r="H840" s="54">
        <v>22000</v>
      </c>
      <c r="I840" s="138">
        <v>0.44800000000000001</v>
      </c>
      <c r="J840" s="44" t="s">
        <v>1977</v>
      </c>
      <c r="K840" s="44" t="s">
        <v>1540</v>
      </c>
    </row>
    <row r="841" spans="1:11" x14ac:dyDescent="0.3">
      <c r="A841" s="126" t="s">
        <v>390</v>
      </c>
      <c r="B841" s="126" t="s">
        <v>54</v>
      </c>
      <c r="C841" s="53" t="s">
        <v>2524</v>
      </c>
      <c r="D841" s="53" t="s">
        <v>2525</v>
      </c>
      <c r="E841" s="131">
        <v>45897</v>
      </c>
      <c r="F841" s="127" t="s">
        <v>371</v>
      </c>
      <c r="G841" s="127" t="s">
        <v>864</v>
      </c>
      <c r="H841" s="54">
        <v>221060.26</v>
      </c>
      <c r="I841" s="138">
        <v>0.19400000000000001</v>
      </c>
      <c r="J841" s="44" t="s">
        <v>833</v>
      </c>
      <c r="K841" s="44" t="s">
        <v>1542</v>
      </c>
    </row>
    <row r="842" spans="1:11" x14ac:dyDescent="0.3">
      <c r="A842" s="126" t="s">
        <v>390</v>
      </c>
      <c r="B842" s="126" t="s">
        <v>54</v>
      </c>
      <c r="C842" s="53" t="s">
        <v>2526</v>
      </c>
      <c r="D842" s="53" t="s">
        <v>2527</v>
      </c>
      <c r="E842" s="131">
        <v>45898</v>
      </c>
      <c r="F842" s="127" t="s">
        <v>371</v>
      </c>
      <c r="G842" s="127" t="s">
        <v>864</v>
      </c>
      <c r="H842" s="54">
        <v>37383.15</v>
      </c>
      <c r="I842" s="138">
        <v>0.16500000000000001</v>
      </c>
      <c r="J842" s="44" t="s">
        <v>833</v>
      </c>
      <c r="K842" s="44" t="s">
        <v>1541</v>
      </c>
    </row>
    <row r="843" spans="1:11" x14ac:dyDescent="0.3">
      <c r="A843" s="126" t="s">
        <v>390</v>
      </c>
      <c r="B843" s="126" t="s">
        <v>54</v>
      </c>
      <c r="C843" s="53" t="s">
        <v>2528</v>
      </c>
      <c r="D843" s="53" t="s">
        <v>2529</v>
      </c>
      <c r="E843" s="131">
        <v>45898</v>
      </c>
      <c r="F843" s="127" t="s">
        <v>371</v>
      </c>
      <c r="G843" s="127" t="s">
        <v>864</v>
      </c>
      <c r="H843" s="54">
        <v>17973.509999999998</v>
      </c>
      <c r="I843" s="138">
        <v>0.29599999999999999</v>
      </c>
      <c r="J843" s="44" t="s">
        <v>833</v>
      </c>
      <c r="K843" s="44" t="s">
        <v>1541</v>
      </c>
    </row>
    <row r="844" spans="1:11" x14ac:dyDescent="0.3">
      <c r="A844" s="126" t="s">
        <v>390</v>
      </c>
      <c r="B844" s="126" t="s">
        <v>54</v>
      </c>
      <c r="C844" s="53" t="s">
        <v>2530</v>
      </c>
      <c r="D844" s="53" t="s">
        <v>2531</v>
      </c>
      <c r="E844" s="131">
        <v>45898</v>
      </c>
      <c r="F844" s="127" t="s">
        <v>371</v>
      </c>
      <c r="G844" s="127" t="s">
        <v>864</v>
      </c>
      <c r="H844" s="54">
        <v>194095.07</v>
      </c>
      <c r="I844" s="138">
        <v>0.191</v>
      </c>
      <c r="J844" s="44" t="s">
        <v>833</v>
      </c>
      <c r="K844" s="44" t="s">
        <v>1542</v>
      </c>
    </row>
    <row r="845" spans="1:11" x14ac:dyDescent="0.3">
      <c r="A845" s="126" t="s">
        <v>392</v>
      </c>
      <c r="B845" s="126" t="s">
        <v>54</v>
      </c>
      <c r="C845" s="53" t="s">
        <v>2532</v>
      </c>
      <c r="D845" s="53" t="s">
        <v>2533</v>
      </c>
      <c r="E845" s="131">
        <v>45898</v>
      </c>
      <c r="F845" s="127" t="s">
        <v>370</v>
      </c>
      <c r="G845" s="127" t="s">
        <v>63</v>
      </c>
      <c r="H845" s="54">
        <v>10400</v>
      </c>
      <c r="I845" s="138">
        <v>0.65400000000000003</v>
      </c>
      <c r="J845" s="44" t="s">
        <v>848</v>
      </c>
      <c r="K845" s="44" t="s">
        <v>1540</v>
      </c>
    </row>
    <row r="846" spans="1:11" x14ac:dyDescent="0.3">
      <c r="A846" s="126" t="s">
        <v>390</v>
      </c>
      <c r="B846" s="126" t="s">
        <v>54</v>
      </c>
      <c r="C846" s="53" t="s">
        <v>2534</v>
      </c>
      <c r="D846" s="53" t="s">
        <v>2535</v>
      </c>
      <c r="E846" s="131">
        <v>45898</v>
      </c>
      <c r="F846" s="127" t="s">
        <v>375</v>
      </c>
      <c r="G846" s="127" t="s">
        <v>2303</v>
      </c>
      <c r="H846" s="54">
        <v>12999.32</v>
      </c>
      <c r="I846" s="138">
        <v>0.39600000000000002</v>
      </c>
      <c r="J846" s="44" t="s">
        <v>831</v>
      </c>
      <c r="K846" s="44" t="s">
        <v>1541</v>
      </c>
    </row>
    <row r="847" spans="1:11" x14ac:dyDescent="0.3">
      <c r="A847" s="126" t="s">
        <v>390</v>
      </c>
      <c r="B847" s="126" t="s">
        <v>54</v>
      </c>
      <c r="C847" s="53" t="s">
        <v>2536</v>
      </c>
      <c r="D847" s="53" t="s">
        <v>2537</v>
      </c>
      <c r="E847" s="131">
        <v>45877</v>
      </c>
      <c r="F847" s="127" t="s">
        <v>2281</v>
      </c>
      <c r="G847" s="127" t="s">
        <v>2305</v>
      </c>
      <c r="H847" s="54">
        <v>3910.0319999999997</v>
      </c>
      <c r="I847" s="138">
        <v>1</v>
      </c>
      <c r="J847" s="44" t="s">
        <v>831</v>
      </c>
      <c r="K847" s="44" t="s">
        <v>1542</v>
      </c>
    </row>
    <row r="848" spans="1:11" x14ac:dyDescent="0.3">
      <c r="A848" s="126" t="s">
        <v>390</v>
      </c>
      <c r="B848" s="126" t="s">
        <v>54</v>
      </c>
      <c r="C848" s="53" t="s">
        <v>2538</v>
      </c>
      <c r="D848" s="53" t="s">
        <v>2539</v>
      </c>
      <c r="E848" s="131">
        <v>45877</v>
      </c>
      <c r="F848" s="127" t="s">
        <v>1007</v>
      </c>
      <c r="G848" s="127" t="s">
        <v>865</v>
      </c>
      <c r="H848" s="54">
        <v>6709.2425279999989</v>
      </c>
      <c r="I848" s="138">
        <v>0.48299999999999998</v>
      </c>
      <c r="J848" s="44" t="s">
        <v>831</v>
      </c>
      <c r="K848" s="44" t="s">
        <v>1542</v>
      </c>
    </row>
    <row r="849" spans="1:11" x14ac:dyDescent="0.3">
      <c r="A849" s="126" t="s">
        <v>390</v>
      </c>
      <c r="B849" s="126" t="s">
        <v>54</v>
      </c>
      <c r="C849" s="53" t="s">
        <v>2540</v>
      </c>
      <c r="D849" s="53" t="s">
        <v>2539</v>
      </c>
      <c r="E849" s="131">
        <v>45877</v>
      </c>
      <c r="F849" s="127" t="s">
        <v>1007</v>
      </c>
      <c r="G849" s="127" t="s">
        <v>865</v>
      </c>
      <c r="H849" s="54">
        <v>69822</v>
      </c>
      <c r="I849" s="138">
        <v>0.48299999999999998</v>
      </c>
      <c r="J849" s="44" t="s">
        <v>831</v>
      </c>
      <c r="K849" s="44" t="s">
        <v>1542</v>
      </c>
    </row>
    <row r="850" spans="1:11" x14ac:dyDescent="0.3">
      <c r="A850" s="126" t="s">
        <v>390</v>
      </c>
      <c r="B850" s="126" t="s">
        <v>54</v>
      </c>
      <c r="C850" s="53" t="s">
        <v>2541</v>
      </c>
      <c r="D850" s="53" t="s">
        <v>2301</v>
      </c>
      <c r="E850" s="131">
        <v>45890</v>
      </c>
      <c r="F850" s="127" t="s">
        <v>854</v>
      </c>
      <c r="G850" s="127" t="s">
        <v>855</v>
      </c>
      <c r="H850" s="54">
        <v>198076.03200000001</v>
      </c>
      <c r="I850" s="138">
        <v>0.33</v>
      </c>
      <c r="J850" s="44" t="s">
        <v>831</v>
      </c>
      <c r="K850" s="44" t="s">
        <v>1542</v>
      </c>
    </row>
    <row r="851" spans="1:11" x14ac:dyDescent="0.3">
      <c r="A851" s="126" t="s">
        <v>390</v>
      </c>
      <c r="B851" s="126" t="s">
        <v>54</v>
      </c>
      <c r="C851" s="53" t="s">
        <v>2542</v>
      </c>
      <c r="D851" s="53" t="s">
        <v>2273</v>
      </c>
      <c r="E851" s="131">
        <v>45890</v>
      </c>
      <c r="F851" s="127" t="s">
        <v>2274</v>
      </c>
      <c r="G851" s="127" t="s">
        <v>2275</v>
      </c>
      <c r="H851" s="54">
        <v>66981.961200000005</v>
      </c>
      <c r="I851" s="138">
        <v>0.27400000000000002</v>
      </c>
      <c r="J851" s="44" t="s">
        <v>831</v>
      </c>
      <c r="K851" s="44" t="s">
        <v>1542</v>
      </c>
    </row>
    <row r="852" spans="1:11" x14ac:dyDescent="0.3">
      <c r="A852" s="126" t="s">
        <v>392</v>
      </c>
      <c r="B852" s="126" t="s">
        <v>54</v>
      </c>
      <c r="C852" s="53" t="s">
        <v>2543</v>
      </c>
      <c r="D852" s="53" t="s">
        <v>2468</v>
      </c>
      <c r="E852" s="131">
        <v>45895</v>
      </c>
      <c r="F852" s="127" t="s">
        <v>372</v>
      </c>
      <c r="G852" s="127" t="s">
        <v>10</v>
      </c>
      <c r="H852" s="54">
        <v>4659.2</v>
      </c>
      <c r="I852" s="138">
        <v>0.5</v>
      </c>
      <c r="J852" s="44" t="s">
        <v>848</v>
      </c>
      <c r="K852" s="44" t="s">
        <v>1540</v>
      </c>
    </row>
    <row r="853" spans="1:11" x14ac:dyDescent="0.3">
      <c r="A853" s="126" t="s">
        <v>392</v>
      </c>
      <c r="B853" s="126" t="s">
        <v>54</v>
      </c>
      <c r="C853" s="53" t="s">
        <v>2544</v>
      </c>
      <c r="D853" s="53" t="s">
        <v>2545</v>
      </c>
      <c r="E853" s="131">
        <v>45897</v>
      </c>
      <c r="F853" s="127" t="s">
        <v>844</v>
      </c>
      <c r="G853" s="127" t="s">
        <v>863</v>
      </c>
      <c r="H853" s="54">
        <v>112147.2</v>
      </c>
      <c r="I853" s="138">
        <v>0.188</v>
      </c>
      <c r="J853" s="44" t="s">
        <v>1977</v>
      </c>
      <c r="K853" s="44" t="s">
        <v>1540</v>
      </c>
    </row>
    <row r="854" spans="1:11" x14ac:dyDescent="0.3">
      <c r="A854" s="126" t="s">
        <v>390</v>
      </c>
      <c r="B854" s="126" t="s">
        <v>54</v>
      </c>
      <c r="C854" s="53" t="s">
        <v>2546</v>
      </c>
      <c r="D854" s="53" t="s">
        <v>2547</v>
      </c>
      <c r="E854" s="131">
        <v>45897</v>
      </c>
      <c r="F854" s="127" t="s">
        <v>2281</v>
      </c>
      <c r="G854" s="127" t="s">
        <v>2305</v>
      </c>
      <c r="H854" s="54">
        <v>3925.1519999999996</v>
      </c>
      <c r="I854" s="138">
        <v>1</v>
      </c>
      <c r="J854" s="44" t="s">
        <v>831</v>
      </c>
      <c r="K854" s="44" t="s">
        <v>1542</v>
      </c>
    </row>
    <row r="855" spans="1:11" x14ac:dyDescent="0.3">
      <c r="A855" s="126" t="s">
        <v>390</v>
      </c>
      <c r="B855" s="126" t="s">
        <v>54</v>
      </c>
      <c r="C855" s="53" t="s">
        <v>2548</v>
      </c>
      <c r="D855" s="53" t="s">
        <v>2549</v>
      </c>
      <c r="E855" s="131">
        <v>45898</v>
      </c>
      <c r="F855" s="127" t="s">
        <v>1007</v>
      </c>
      <c r="G855" s="127" t="s">
        <v>865</v>
      </c>
      <c r="H855" s="54">
        <v>69945</v>
      </c>
      <c r="I855" s="138">
        <v>0.255</v>
      </c>
      <c r="J855" s="44" t="s">
        <v>831</v>
      </c>
      <c r="K855" s="44" t="s">
        <v>1542</v>
      </c>
    </row>
    <row r="856" spans="1:11" x14ac:dyDescent="0.3">
      <c r="A856" s="126" t="s">
        <v>390</v>
      </c>
      <c r="B856" s="126" t="s">
        <v>54</v>
      </c>
      <c r="C856" s="53" t="s">
        <v>2550</v>
      </c>
      <c r="D856" s="53" t="s">
        <v>2549</v>
      </c>
      <c r="E856" s="131">
        <v>45898</v>
      </c>
      <c r="F856" s="127" t="s">
        <v>1007</v>
      </c>
      <c r="G856" s="127" t="s">
        <v>865</v>
      </c>
      <c r="H856" s="54">
        <v>6714.72</v>
      </c>
      <c r="I856" s="138">
        <v>0.255</v>
      </c>
      <c r="J856" s="44" t="s">
        <v>831</v>
      </c>
      <c r="K856" s="44" t="s">
        <v>1542</v>
      </c>
    </row>
    <row r="857" spans="1:11" x14ac:dyDescent="0.3">
      <c r="A857" s="126" t="s">
        <v>390</v>
      </c>
      <c r="B857" s="126" t="s">
        <v>2551</v>
      </c>
      <c r="C857" s="53" t="s">
        <v>2552</v>
      </c>
      <c r="D857" s="53" t="s">
        <v>2638</v>
      </c>
      <c r="E857" s="131">
        <v>45902</v>
      </c>
      <c r="F857" s="127" t="s">
        <v>587</v>
      </c>
      <c r="G857" s="127" t="s">
        <v>11</v>
      </c>
      <c r="H857" s="54">
        <v>14106.23</v>
      </c>
      <c r="I857" s="138">
        <v>0.42299999999999999</v>
      </c>
      <c r="J857" s="44" t="s">
        <v>833</v>
      </c>
      <c r="K857" s="44" t="s">
        <v>1541</v>
      </c>
    </row>
    <row r="858" spans="1:11" x14ac:dyDescent="0.3">
      <c r="A858" s="126" t="s">
        <v>392</v>
      </c>
      <c r="B858" s="126" t="s">
        <v>2551</v>
      </c>
      <c r="C858" s="53" t="s">
        <v>2553</v>
      </c>
      <c r="D858" s="53" t="s">
        <v>2639</v>
      </c>
      <c r="E858" s="131">
        <v>45908</v>
      </c>
      <c r="F858" s="127" t="s">
        <v>372</v>
      </c>
      <c r="G858" s="127" t="s">
        <v>10</v>
      </c>
      <c r="H858" s="54">
        <v>43300</v>
      </c>
      <c r="I858" s="138">
        <v>0.39700000000000002</v>
      </c>
      <c r="J858" s="44" t="s">
        <v>848</v>
      </c>
      <c r="K858" s="44" t="s">
        <v>1540</v>
      </c>
    </row>
    <row r="859" spans="1:11" x14ac:dyDescent="0.3">
      <c r="A859" s="126" t="s">
        <v>390</v>
      </c>
      <c r="B859" s="126" t="s">
        <v>2551</v>
      </c>
      <c r="C859" s="53" t="s">
        <v>2554</v>
      </c>
      <c r="D859" s="53" t="s">
        <v>2640</v>
      </c>
      <c r="E859" s="131">
        <v>45908</v>
      </c>
      <c r="F859" s="127" t="s">
        <v>372</v>
      </c>
      <c r="G859" s="127" t="s">
        <v>10</v>
      </c>
      <c r="H859" s="54">
        <v>3540</v>
      </c>
      <c r="I859" s="138">
        <v>0.25900000000000001</v>
      </c>
      <c r="J859" s="44" t="s">
        <v>831</v>
      </c>
      <c r="K859" s="44" t="s">
        <v>1542</v>
      </c>
    </row>
    <row r="860" spans="1:11" x14ac:dyDescent="0.3">
      <c r="A860" s="126" t="s">
        <v>392</v>
      </c>
      <c r="B860" s="126" t="s">
        <v>2551</v>
      </c>
      <c r="C860" s="53" t="s">
        <v>2555</v>
      </c>
      <c r="D860" s="53" t="s">
        <v>2641</v>
      </c>
      <c r="E860" s="131">
        <v>45908</v>
      </c>
      <c r="F860" s="127" t="s">
        <v>370</v>
      </c>
      <c r="G860" s="127" t="s">
        <v>63</v>
      </c>
      <c r="H860" s="54">
        <v>7800</v>
      </c>
      <c r="I860" s="138">
        <v>0.45500000000000002</v>
      </c>
      <c r="J860" s="44" t="s">
        <v>1835</v>
      </c>
      <c r="K860" s="44" t="s">
        <v>1540</v>
      </c>
    </row>
    <row r="861" spans="1:11" x14ac:dyDescent="0.3">
      <c r="A861" s="126" t="s">
        <v>392</v>
      </c>
      <c r="B861" s="126" t="s">
        <v>2551</v>
      </c>
      <c r="C861" s="53" t="s">
        <v>2556</v>
      </c>
      <c r="D861" s="53" t="s">
        <v>2642</v>
      </c>
      <c r="E861" s="131">
        <v>45908</v>
      </c>
      <c r="F861" s="127" t="s">
        <v>370</v>
      </c>
      <c r="G861" s="127" t="s">
        <v>63</v>
      </c>
      <c r="H861" s="54">
        <v>9000</v>
      </c>
      <c r="I861" s="138">
        <v>0.52800000000000002</v>
      </c>
      <c r="J861" s="44" t="s">
        <v>1835</v>
      </c>
      <c r="K861" s="44" t="s">
        <v>1540</v>
      </c>
    </row>
    <row r="862" spans="1:11" x14ac:dyDescent="0.3">
      <c r="A862" s="126" t="s">
        <v>392</v>
      </c>
      <c r="B862" s="126" t="s">
        <v>2551</v>
      </c>
      <c r="C862" s="53" t="s">
        <v>2557</v>
      </c>
      <c r="D862" s="53" t="s">
        <v>2643</v>
      </c>
      <c r="E862" s="131">
        <v>45908</v>
      </c>
      <c r="F862" s="127" t="s">
        <v>370</v>
      </c>
      <c r="G862" s="127" t="s">
        <v>63</v>
      </c>
      <c r="H862" s="54">
        <v>4500</v>
      </c>
      <c r="I862" s="138">
        <v>0.6</v>
      </c>
      <c r="J862" s="44" t="s">
        <v>848</v>
      </c>
      <c r="K862" s="44" t="s">
        <v>1540</v>
      </c>
    </row>
    <row r="863" spans="1:11" x14ac:dyDescent="0.3">
      <c r="A863" s="126" t="s">
        <v>392</v>
      </c>
      <c r="B863" s="126" t="s">
        <v>2551</v>
      </c>
      <c r="C863" s="53" t="s">
        <v>2558</v>
      </c>
      <c r="D863" s="53" t="s">
        <v>2644</v>
      </c>
      <c r="E863" s="131">
        <v>45908</v>
      </c>
      <c r="F863" s="127" t="s">
        <v>370</v>
      </c>
      <c r="G863" s="127" t="s">
        <v>63</v>
      </c>
      <c r="H863" s="54">
        <v>4500</v>
      </c>
      <c r="I863" s="138">
        <v>0.6</v>
      </c>
      <c r="J863" s="44" t="s">
        <v>848</v>
      </c>
      <c r="K863" s="44" t="s">
        <v>1540</v>
      </c>
    </row>
    <row r="864" spans="1:11" x14ac:dyDescent="0.3">
      <c r="A864" s="126" t="s">
        <v>392</v>
      </c>
      <c r="B864" s="126" t="s">
        <v>2551</v>
      </c>
      <c r="C864" s="53" t="s">
        <v>2559</v>
      </c>
      <c r="D864" s="53" t="s">
        <v>2645</v>
      </c>
      <c r="E864" s="131">
        <v>45908</v>
      </c>
      <c r="F864" s="127" t="s">
        <v>370</v>
      </c>
      <c r="G864" s="127" t="s">
        <v>63</v>
      </c>
      <c r="H864" s="54">
        <v>4500</v>
      </c>
      <c r="I864" s="138">
        <v>0.6</v>
      </c>
      <c r="J864" s="44" t="s">
        <v>848</v>
      </c>
      <c r="K864" s="44" t="s">
        <v>1540</v>
      </c>
    </row>
    <row r="865" spans="1:11" x14ac:dyDescent="0.3">
      <c r="A865" s="126" t="s">
        <v>392</v>
      </c>
      <c r="B865" s="126" t="s">
        <v>2551</v>
      </c>
      <c r="C865" s="53" t="s">
        <v>2560</v>
      </c>
      <c r="D865" s="53" t="s">
        <v>2646</v>
      </c>
      <c r="E865" s="131">
        <v>45908</v>
      </c>
      <c r="F865" s="127" t="s">
        <v>370</v>
      </c>
      <c r="G865" s="127" t="s">
        <v>63</v>
      </c>
      <c r="H865" s="54">
        <v>4500</v>
      </c>
      <c r="I865" s="138">
        <v>0.6</v>
      </c>
      <c r="J865" s="44" t="s">
        <v>1835</v>
      </c>
      <c r="K865" s="44" t="s">
        <v>1540</v>
      </c>
    </row>
    <row r="866" spans="1:11" x14ac:dyDescent="0.3">
      <c r="A866" s="126" t="s">
        <v>390</v>
      </c>
      <c r="B866" s="126" t="s">
        <v>2551</v>
      </c>
      <c r="C866" s="53" t="s">
        <v>2561</v>
      </c>
      <c r="D866" s="53" t="s">
        <v>2295</v>
      </c>
      <c r="E866" s="131">
        <v>45909</v>
      </c>
      <c r="F866" s="127" t="s">
        <v>372</v>
      </c>
      <c r="G866" s="127" t="s">
        <v>10</v>
      </c>
      <c r="H866" s="54">
        <v>99753.1</v>
      </c>
      <c r="I866" s="138">
        <v>0.29199999999999998</v>
      </c>
      <c r="J866" s="44" t="s">
        <v>831</v>
      </c>
      <c r="K866" s="44" t="s">
        <v>1541</v>
      </c>
    </row>
    <row r="867" spans="1:11" x14ac:dyDescent="0.3">
      <c r="A867" s="126" t="s">
        <v>392</v>
      </c>
      <c r="B867" s="126" t="s">
        <v>2551</v>
      </c>
      <c r="C867" s="53" t="s">
        <v>2562</v>
      </c>
      <c r="D867" s="53" t="s">
        <v>2478</v>
      </c>
      <c r="E867" s="131">
        <v>45909</v>
      </c>
      <c r="F867" s="127" t="s">
        <v>371</v>
      </c>
      <c r="G867" s="127" t="s">
        <v>864</v>
      </c>
      <c r="H867" s="54">
        <v>7400</v>
      </c>
      <c r="I867" s="138">
        <v>0.80600000000000005</v>
      </c>
      <c r="J867" s="44" t="s">
        <v>1977</v>
      </c>
      <c r="K867" s="44" t="s">
        <v>1540</v>
      </c>
    </row>
    <row r="868" spans="1:11" x14ac:dyDescent="0.3">
      <c r="A868" s="126" t="s">
        <v>392</v>
      </c>
      <c r="B868" s="126" t="s">
        <v>2551</v>
      </c>
      <c r="C868" s="53" t="s">
        <v>2563</v>
      </c>
      <c r="D868" s="53" t="s">
        <v>2647</v>
      </c>
      <c r="E868" s="131">
        <v>45909</v>
      </c>
      <c r="F868" s="127" t="s">
        <v>370</v>
      </c>
      <c r="G868" s="127" t="s">
        <v>63</v>
      </c>
      <c r="H868" s="54">
        <v>10800</v>
      </c>
      <c r="I868" s="138">
        <v>0.63900000000000001</v>
      </c>
      <c r="J868" s="44" t="s">
        <v>1835</v>
      </c>
      <c r="K868" s="44" t="s">
        <v>1540</v>
      </c>
    </row>
    <row r="869" spans="1:11" x14ac:dyDescent="0.3">
      <c r="A869" s="126" t="s">
        <v>390</v>
      </c>
      <c r="B869" s="126" t="s">
        <v>2551</v>
      </c>
      <c r="C869" s="53" t="s">
        <v>2564</v>
      </c>
      <c r="D869" s="53" t="s">
        <v>2648</v>
      </c>
      <c r="E869" s="131">
        <v>45910</v>
      </c>
      <c r="F869" s="127" t="s">
        <v>371</v>
      </c>
      <c r="G869" s="127" t="s">
        <v>864</v>
      </c>
      <c r="H869" s="54">
        <v>23002.49</v>
      </c>
      <c r="I869" s="138">
        <v>0.25600000000000001</v>
      </c>
      <c r="J869" s="44" t="s">
        <v>832</v>
      </c>
      <c r="K869" s="44" t="s">
        <v>1541</v>
      </c>
    </row>
    <row r="870" spans="1:11" x14ac:dyDescent="0.3">
      <c r="A870" s="126" t="s">
        <v>390</v>
      </c>
      <c r="B870" s="126" t="s">
        <v>2551</v>
      </c>
      <c r="C870" s="53" t="s">
        <v>2565</v>
      </c>
      <c r="D870" s="53" t="s">
        <v>2649</v>
      </c>
      <c r="E870" s="131">
        <v>45910</v>
      </c>
      <c r="F870" s="127" t="s">
        <v>371</v>
      </c>
      <c r="G870" s="127" t="s">
        <v>864</v>
      </c>
      <c r="H870" s="54">
        <v>14122.65</v>
      </c>
      <c r="I870" s="138">
        <v>0.34100000000000003</v>
      </c>
      <c r="J870" s="44" t="s">
        <v>832</v>
      </c>
      <c r="K870" s="44" t="s">
        <v>1541</v>
      </c>
    </row>
    <row r="871" spans="1:11" x14ac:dyDescent="0.3">
      <c r="A871" s="126" t="s">
        <v>390</v>
      </c>
      <c r="B871" s="126" t="s">
        <v>2551</v>
      </c>
      <c r="C871" s="53" t="s">
        <v>2566</v>
      </c>
      <c r="D871" s="53" t="s">
        <v>2650</v>
      </c>
      <c r="E871" s="131">
        <v>45910</v>
      </c>
      <c r="F871" s="127" t="s">
        <v>371</v>
      </c>
      <c r="G871" s="127" t="s">
        <v>864</v>
      </c>
      <c r="H871" s="54">
        <v>63721.15</v>
      </c>
      <c r="I871" s="138">
        <v>0.152</v>
      </c>
      <c r="J871" s="44" t="s">
        <v>832</v>
      </c>
      <c r="K871" s="44" t="s">
        <v>1541</v>
      </c>
    </row>
    <row r="872" spans="1:11" x14ac:dyDescent="0.3">
      <c r="A872" s="126" t="s">
        <v>390</v>
      </c>
      <c r="B872" s="126" t="s">
        <v>2551</v>
      </c>
      <c r="C872" s="53" t="s">
        <v>2567</v>
      </c>
      <c r="D872" s="53" t="s">
        <v>2651</v>
      </c>
      <c r="E872" s="131">
        <v>45910</v>
      </c>
      <c r="F872" s="127" t="s">
        <v>371</v>
      </c>
      <c r="G872" s="127" t="s">
        <v>864</v>
      </c>
      <c r="H872" s="54">
        <v>35263.040000000001</v>
      </c>
      <c r="I872" s="138">
        <v>0.16900000000000001</v>
      </c>
      <c r="J872" s="44" t="s">
        <v>832</v>
      </c>
      <c r="K872" s="44" t="s">
        <v>1541</v>
      </c>
    </row>
    <row r="873" spans="1:11" x14ac:dyDescent="0.3">
      <c r="A873" s="126" t="s">
        <v>390</v>
      </c>
      <c r="B873" s="126" t="s">
        <v>2551</v>
      </c>
      <c r="C873" s="53" t="s">
        <v>2568</v>
      </c>
      <c r="D873" s="53" t="s">
        <v>2652</v>
      </c>
      <c r="E873" s="131">
        <v>45910</v>
      </c>
      <c r="F873" s="127" t="s">
        <v>371</v>
      </c>
      <c r="G873" s="127" t="s">
        <v>864</v>
      </c>
      <c r="H873" s="54">
        <v>33972.28</v>
      </c>
      <c r="I873" s="138">
        <v>0.17</v>
      </c>
      <c r="J873" s="44" t="s">
        <v>832</v>
      </c>
      <c r="K873" s="44" t="s">
        <v>1541</v>
      </c>
    </row>
    <row r="874" spans="1:11" x14ac:dyDescent="0.3">
      <c r="A874" s="126" t="s">
        <v>390</v>
      </c>
      <c r="B874" s="126" t="s">
        <v>2551</v>
      </c>
      <c r="C874" s="53" t="s">
        <v>2569</v>
      </c>
      <c r="D874" s="53" t="s">
        <v>2653</v>
      </c>
      <c r="E874" s="131">
        <v>45910</v>
      </c>
      <c r="F874" s="127" t="s">
        <v>371</v>
      </c>
      <c r="G874" s="127" t="s">
        <v>864</v>
      </c>
      <c r="H874" s="54">
        <v>21513.64</v>
      </c>
      <c r="I874" s="138">
        <v>0.19400000000000001</v>
      </c>
      <c r="J874" s="44" t="s">
        <v>832</v>
      </c>
      <c r="K874" s="44" t="s">
        <v>1541</v>
      </c>
    </row>
    <row r="875" spans="1:11" x14ac:dyDescent="0.3">
      <c r="A875" s="126" t="s">
        <v>392</v>
      </c>
      <c r="B875" s="126" t="s">
        <v>2551</v>
      </c>
      <c r="C875" s="53" t="s">
        <v>2570</v>
      </c>
      <c r="D875" s="53" t="s">
        <v>2654</v>
      </c>
      <c r="E875" s="131">
        <v>45910</v>
      </c>
      <c r="F875" s="127" t="s">
        <v>844</v>
      </c>
      <c r="G875" s="127" t="s">
        <v>863</v>
      </c>
      <c r="H875" s="54">
        <v>13777.33</v>
      </c>
      <c r="I875" s="138">
        <v>0.25</v>
      </c>
      <c r="J875" s="44" t="s">
        <v>1977</v>
      </c>
      <c r="K875" s="44" t="s">
        <v>1540</v>
      </c>
    </row>
    <row r="876" spans="1:11" x14ac:dyDescent="0.3">
      <c r="A876" s="126" t="s">
        <v>392</v>
      </c>
      <c r="B876" s="126" t="s">
        <v>2551</v>
      </c>
      <c r="C876" s="53" t="s">
        <v>2571</v>
      </c>
      <c r="D876" s="53" t="s">
        <v>2655</v>
      </c>
      <c r="E876" s="131">
        <v>45910</v>
      </c>
      <c r="F876" s="127" t="s">
        <v>370</v>
      </c>
      <c r="G876" s="127" t="s">
        <v>63</v>
      </c>
      <c r="H876" s="54">
        <v>4200</v>
      </c>
      <c r="I876" s="138">
        <v>0.61899999999999999</v>
      </c>
      <c r="J876" s="44" t="s">
        <v>1835</v>
      </c>
      <c r="K876" s="44" t="s">
        <v>1540</v>
      </c>
    </row>
    <row r="877" spans="1:11" x14ac:dyDescent="0.3">
      <c r="A877" s="126" t="s">
        <v>392</v>
      </c>
      <c r="B877" s="126" t="s">
        <v>2551</v>
      </c>
      <c r="C877" s="53" t="s">
        <v>2572</v>
      </c>
      <c r="D877" s="53" t="s">
        <v>2656</v>
      </c>
      <c r="E877" s="131">
        <v>45910</v>
      </c>
      <c r="F877" s="127" t="s">
        <v>370</v>
      </c>
      <c r="G877" s="127" t="s">
        <v>63</v>
      </c>
      <c r="H877" s="54">
        <v>4200</v>
      </c>
      <c r="I877" s="138">
        <v>0.61899999999999999</v>
      </c>
      <c r="J877" s="44" t="s">
        <v>848</v>
      </c>
      <c r="K877" s="44" t="s">
        <v>1540</v>
      </c>
    </row>
    <row r="878" spans="1:11" x14ac:dyDescent="0.3">
      <c r="A878" s="126" t="s">
        <v>392</v>
      </c>
      <c r="B878" s="126" t="s">
        <v>2551</v>
      </c>
      <c r="C878" s="53" t="s">
        <v>2573</v>
      </c>
      <c r="D878" s="53" t="s">
        <v>2657</v>
      </c>
      <c r="E878" s="131">
        <v>45910</v>
      </c>
      <c r="F878" s="127" t="s">
        <v>370</v>
      </c>
      <c r="G878" s="127" t="s">
        <v>63</v>
      </c>
      <c r="H878" s="54">
        <v>3000</v>
      </c>
      <c r="I878" s="138">
        <v>0.75</v>
      </c>
      <c r="J878" s="44" t="s">
        <v>1835</v>
      </c>
      <c r="K878" s="44" t="s">
        <v>1540</v>
      </c>
    </row>
    <row r="879" spans="1:11" x14ac:dyDescent="0.3">
      <c r="A879" s="126" t="s">
        <v>392</v>
      </c>
      <c r="B879" s="126" t="s">
        <v>2551</v>
      </c>
      <c r="C879" s="53" t="s">
        <v>2574</v>
      </c>
      <c r="D879" s="53" t="s">
        <v>2658</v>
      </c>
      <c r="E879" s="131">
        <v>45910</v>
      </c>
      <c r="F879" s="127" t="s">
        <v>370</v>
      </c>
      <c r="G879" s="127" t="s">
        <v>63</v>
      </c>
      <c r="H879" s="54">
        <v>4200</v>
      </c>
      <c r="I879" s="138">
        <v>0.61899999999999999</v>
      </c>
      <c r="J879" s="44" t="s">
        <v>1835</v>
      </c>
      <c r="K879" s="44" t="s">
        <v>1540</v>
      </c>
    </row>
    <row r="880" spans="1:11" x14ac:dyDescent="0.3">
      <c r="A880" s="126" t="s">
        <v>392</v>
      </c>
      <c r="B880" s="126" t="s">
        <v>2551</v>
      </c>
      <c r="C880" s="53" t="s">
        <v>2575</v>
      </c>
      <c r="D880" s="53" t="s">
        <v>2659</v>
      </c>
      <c r="E880" s="131">
        <v>45910</v>
      </c>
      <c r="F880" s="127" t="s">
        <v>370</v>
      </c>
      <c r="G880" s="127" t="s">
        <v>63</v>
      </c>
      <c r="H880" s="54">
        <v>4200</v>
      </c>
      <c r="I880" s="138">
        <v>0.61899999999999999</v>
      </c>
      <c r="J880" s="44" t="s">
        <v>1835</v>
      </c>
      <c r="K880" s="44" t="s">
        <v>1540</v>
      </c>
    </row>
    <row r="881" spans="1:11" x14ac:dyDescent="0.3">
      <c r="A881" s="126" t="s">
        <v>390</v>
      </c>
      <c r="B881" s="126" t="s">
        <v>2551</v>
      </c>
      <c r="C881" s="53" t="s">
        <v>2576</v>
      </c>
      <c r="D881" s="53" t="s">
        <v>2660</v>
      </c>
      <c r="E881" s="131">
        <v>45910</v>
      </c>
      <c r="F881" s="127" t="s">
        <v>2131</v>
      </c>
      <c r="G881" s="127" t="s">
        <v>2132</v>
      </c>
      <c r="H881" s="54">
        <v>14712.56</v>
      </c>
      <c r="I881" s="138">
        <v>0.66700000000000004</v>
      </c>
      <c r="J881" t="s">
        <v>1018</v>
      </c>
      <c r="K881" s="44" t="s">
        <v>1541</v>
      </c>
    </row>
    <row r="882" spans="1:11" x14ac:dyDescent="0.3">
      <c r="A882" s="126" t="s">
        <v>392</v>
      </c>
      <c r="B882" s="126" t="s">
        <v>2551</v>
      </c>
      <c r="C882" s="53" t="s">
        <v>2577</v>
      </c>
      <c r="D882" s="53" t="s">
        <v>2661</v>
      </c>
      <c r="E882" s="131">
        <v>45911</v>
      </c>
      <c r="F882" s="127" t="s">
        <v>372</v>
      </c>
      <c r="G882" s="127" t="s">
        <v>10</v>
      </c>
      <c r="H882" s="54">
        <v>9655</v>
      </c>
      <c r="I882" s="138">
        <v>0.61599999999999999</v>
      </c>
      <c r="J882" s="44" t="s">
        <v>848</v>
      </c>
      <c r="K882" s="44" t="s">
        <v>1540</v>
      </c>
    </row>
    <row r="883" spans="1:11" x14ac:dyDescent="0.3">
      <c r="A883" s="126" t="s">
        <v>390</v>
      </c>
      <c r="B883" s="126" t="s">
        <v>2551</v>
      </c>
      <c r="C883" s="53" t="s">
        <v>2578</v>
      </c>
      <c r="D883" s="53" t="s">
        <v>2662</v>
      </c>
      <c r="E883" s="131">
        <v>45911</v>
      </c>
      <c r="F883" s="127" t="s">
        <v>372</v>
      </c>
      <c r="G883" s="127" t="s">
        <v>10</v>
      </c>
      <c r="H883" s="54">
        <v>73382.11</v>
      </c>
      <c r="I883" s="138">
        <v>0.22600000000000001</v>
      </c>
      <c r="J883" s="44" t="s">
        <v>831</v>
      </c>
      <c r="K883" s="44" t="s">
        <v>1542</v>
      </c>
    </row>
    <row r="884" spans="1:11" x14ac:dyDescent="0.3">
      <c r="A884" s="126" t="s">
        <v>392</v>
      </c>
      <c r="B884" s="126" t="s">
        <v>2551</v>
      </c>
      <c r="C884" s="53" t="s">
        <v>2579</v>
      </c>
      <c r="D884" s="53" t="s">
        <v>2663</v>
      </c>
      <c r="E884" s="131">
        <v>45911</v>
      </c>
      <c r="F884" s="127" t="s">
        <v>842</v>
      </c>
      <c r="G884" s="127" t="s">
        <v>843</v>
      </c>
      <c r="H884" s="54">
        <v>22000</v>
      </c>
      <c r="I884" s="138">
        <v>0.44900000000000001</v>
      </c>
      <c r="J884" s="44" t="s">
        <v>1977</v>
      </c>
      <c r="K884" s="44" t="s">
        <v>1540</v>
      </c>
    </row>
    <row r="885" spans="1:11" x14ac:dyDescent="0.3">
      <c r="A885" s="126" t="s">
        <v>392</v>
      </c>
      <c r="B885" s="126" t="s">
        <v>2551</v>
      </c>
      <c r="C885" s="53" t="s">
        <v>2580</v>
      </c>
      <c r="D885" s="53" t="s">
        <v>2664</v>
      </c>
      <c r="E885" s="131">
        <v>45911</v>
      </c>
      <c r="F885" s="127" t="s">
        <v>370</v>
      </c>
      <c r="G885" s="127" t="s">
        <v>63</v>
      </c>
      <c r="H885" s="54">
        <v>19500</v>
      </c>
      <c r="I885" s="138">
        <v>0.65100000000000002</v>
      </c>
      <c r="J885" s="44" t="s">
        <v>848</v>
      </c>
      <c r="K885" s="44" t="s">
        <v>1540</v>
      </c>
    </row>
    <row r="886" spans="1:11" x14ac:dyDescent="0.3">
      <c r="A886" s="126" t="s">
        <v>392</v>
      </c>
      <c r="B886" s="126" t="s">
        <v>2551</v>
      </c>
      <c r="C886" s="53" t="s">
        <v>2581</v>
      </c>
      <c r="D886" s="53" t="s">
        <v>2665</v>
      </c>
      <c r="E886" s="131">
        <v>45912</v>
      </c>
      <c r="F886" s="127" t="s">
        <v>372</v>
      </c>
      <c r="G886" s="127" t="s">
        <v>10</v>
      </c>
      <c r="H886" s="54">
        <v>24450</v>
      </c>
      <c r="I886" s="138">
        <v>0.36599999999999999</v>
      </c>
      <c r="J886" s="44" t="s">
        <v>848</v>
      </c>
      <c r="K886" s="44" t="s">
        <v>1540</v>
      </c>
    </row>
    <row r="887" spans="1:11" x14ac:dyDescent="0.3">
      <c r="A887" s="126" t="s">
        <v>390</v>
      </c>
      <c r="B887" s="126" t="s">
        <v>2551</v>
      </c>
      <c r="C887" s="53" t="s">
        <v>2582</v>
      </c>
      <c r="D887" s="53" t="s">
        <v>2666</v>
      </c>
      <c r="E887" s="131">
        <v>45912</v>
      </c>
      <c r="F887" s="127" t="s">
        <v>371</v>
      </c>
      <c r="G887" s="127" t="s">
        <v>864</v>
      </c>
      <c r="H887" s="54">
        <v>11251.45</v>
      </c>
      <c r="I887" s="138">
        <v>0.54300000000000004</v>
      </c>
      <c r="J887" s="44" t="s">
        <v>832</v>
      </c>
      <c r="K887" s="44" t="s">
        <v>1541</v>
      </c>
    </row>
    <row r="888" spans="1:11" x14ac:dyDescent="0.3">
      <c r="A888" s="126" t="s">
        <v>390</v>
      </c>
      <c r="B888" s="126" t="s">
        <v>2551</v>
      </c>
      <c r="C888" s="53" t="s">
        <v>2583</v>
      </c>
      <c r="D888" s="53" t="s">
        <v>2667</v>
      </c>
      <c r="E888" s="131">
        <v>45912</v>
      </c>
      <c r="F888" s="127" t="s">
        <v>371</v>
      </c>
      <c r="G888" s="127" t="s">
        <v>864</v>
      </c>
      <c r="H888" s="54">
        <v>13333.07</v>
      </c>
      <c r="I888" s="138">
        <v>0.47699999999999998</v>
      </c>
      <c r="J888" s="44" t="s">
        <v>832</v>
      </c>
      <c r="K888" s="44" t="s">
        <v>1541</v>
      </c>
    </row>
    <row r="889" spans="1:11" x14ac:dyDescent="0.3">
      <c r="A889" s="126" t="s">
        <v>392</v>
      </c>
      <c r="B889" s="126" t="s">
        <v>2551</v>
      </c>
      <c r="C889" s="53" t="s">
        <v>2584</v>
      </c>
      <c r="D889" s="53" t="s">
        <v>2668</v>
      </c>
      <c r="E889" s="131">
        <v>45915</v>
      </c>
      <c r="F889" s="127" t="s">
        <v>372</v>
      </c>
      <c r="G889" s="127" t="s">
        <v>10</v>
      </c>
      <c r="H889" s="54">
        <v>24150</v>
      </c>
      <c r="I889" s="138">
        <v>0.35799999999999998</v>
      </c>
      <c r="J889" s="44" t="s">
        <v>848</v>
      </c>
      <c r="K889" s="44" t="s">
        <v>1540</v>
      </c>
    </row>
    <row r="890" spans="1:11" x14ac:dyDescent="0.3">
      <c r="A890" s="126" t="s">
        <v>390</v>
      </c>
      <c r="B890" s="126" t="s">
        <v>2551</v>
      </c>
      <c r="C890" s="53" t="s">
        <v>2585</v>
      </c>
      <c r="D890" s="53" t="s">
        <v>2669</v>
      </c>
      <c r="E890" s="131">
        <v>45915</v>
      </c>
      <c r="F890" s="127" t="s">
        <v>376</v>
      </c>
      <c r="G890" s="127" t="s">
        <v>2715</v>
      </c>
      <c r="H890" s="54">
        <v>12650</v>
      </c>
      <c r="I890" s="138">
        <v>0.36299999999999999</v>
      </c>
      <c r="J890" s="44" t="s">
        <v>832</v>
      </c>
      <c r="K890" s="44" t="s">
        <v>1541</v>
      </c>
    </row>
    <row r="891" spans="1:11" x14ac:dyDescent="0.3">
      <c r="A891" s="126" t="s">
        <v>390</v>
      </c>
      <c r="B891" s="126" t="s">
        <v>2551</v>
      </c>
      <c r="C891" s="53" t="s">
        <v>2586</v>
      </c>
      <c r="D891" s="53" t="s">
        <v>2670</v>
      </c>
      <c r="E891" s="131">
        <v>45915</v>
      </c>
      <c r="F891" s="127" t="s">
        <v>371</v>
      </c>
      <c r="G891" s="127" t="s">
        <v>864</v>
      </c>
      <c r="H891" s="54">
        <v>18171.669999999998</v>
      </c>
      <c r="I891" s="138">
        <v>0.28999999999999998</v>
      </c>
      <c r="J891" s="44" t="s">
        <v>832</v>
      </c>
      <c r="K891" s="44" t="s">
        <v>1541</v>
      </c>
    </row>
    <row r="892" spans="1:11" x14ac:dyDescent="0.3">
      <c r="A892" s="126" t="s">
        <v>392</v>
      </c>
      <c r="B892" s="126" t="s">
        <v>2551</v>
      </c>
      <c r="C892" s="53" t="s">
        <v>2587</v>
      </c>
      <c r="D892" s="53" t="s">
        <v>2671</v>
      </c>
      <c r="E892" s="131">
        <v>45915</v>
      </c>
      <c r="F892" s="127" t="s">
        <v>370</v>
      </c>
      <c r="G892" s="127" t="s">
        <v>63</v>
      </c>
      <c r="H892" s="54">
        <v>12000</v>
      </c>
      <c r="I892" s="138">
        <v>0.65</v>
      </c>
      <c r="J892" s="44" t="s">
        <v>1835</v>
      </c>
      <c r="K892" s="44" t="s">
        <v>1540</v>
      </c>
    </row>
    <row r="893" spans="1:11" x14ac:dyDescent="0.3">
      <c r="A893" s="126" t="s">
        <v>390</v>
      </c>
      <c r="B893" s="126" t="s">
        <v>2551</v>
      </c>
      <c r="C893" s="53" t="s">
        <v>2588</v>
      </c>
      <c r="D893" s="53" t="s">
        <v>2672</v>
      </c>
      <c r="E893" s="131">
        <v>45917</v>
      </c>
      <c r="F893" s="127" t="s">
        <v>371</v>
      </c>
      <c r="G893" s="127" t="s">
        <v>864</v>
      </c>
      <c r="H893" s="54">
        <v>14481.18</v>
      </c>
      <c r="I893" s="138">
        <v>0.44900000000000001</v>
      </c>
      <c r="J893" s="44" t="s">
        <v>832</v>
      </c>
      <c r="K893" s="44" t="s">
        <v>1541</v>
      </c>
    </row>
    <row r="894" spans="1:11" x14ac:dyDescent="0.3">
      <c r="A894" s="126" t="s">
        <v>392</v>
      </c>
      <c r="B894" s="126" t="s">
        <v>2551</v>
      </c>
      <c r="C894" s="53" t="s">
        <v>2589</v>
      </c>
      <c r="D894" s="53" t="s">
        <v>2673</v>
      </c>
      <c r="E894" s="131">
        <v>45917</v>
      </c>
      <c r="F894" s="127" t="s">
        <v>370</v>
      </c>
      <c r="G894" s="127" t="s">
        <v>63</v>
      </c>
      <c r="H894" s="54">
        <v>4200</v>
      </c>
      <c r="I894" s="138">
        <v>0.61899999999999999</v>
      </c>
      <c r="J894" s="44" t="s">
        <v>1835</v>
      </c>
      <c r="K894" s="44" t="s">
        <v>1540</v>
      </c>
    </row>
    <row r="895" spans="1:11" x14ac:dyDescent="0.3">
      <c r="A895" s="126" t="s">
        <v>390</v>
      </c>
      <c r="B895" s="126" t="s">
        <v>2551</v>
      </c>
      <c r="C895" s="53" t="s">
        <v>2590</v>
      </c>
      <c r="D895" s="53" t="s">
        <v>2674</v>
      </c>
      <c r="E895" s="131">
        <v>45918</v>
      </c>
      <c r="F895" s="127" t="s">
        <v>372</v>
      </c>
      <c r="G895" s="127" t="s">
        <v>10</v>
      </c>
      <c r="H895" s="54">
        <v>77345.66</v>
      </c>
      <c r="I895" s="138">
        <v>0.247</v>
      </c>
      <c r="J895" s="44" t="s">
        <v>831</v>
      </c>
      <c r="K895" s="44" t="s">
        <v>1542</v>
      </c>
    </row>
    <row r="896" spans="1:11" x14ac:dyDescent="0.3">
      <c r="A896" s="126" t="s">
        <v>392</v>
      </c>
      <c r="B896" s="126" t="s">
        <v>2551</v>
      </c>
      <c r="C896" s="53" t="s">
        <v>2591</v>
      </c>
      <c r="D896" s="53" t="s">
        <v>2675</v>
      </c>
      <c r="E896" s="131">
        <v>45919</v>
      </c>
      <c r="F896" s="127" t="s">
        <v>842</v>
      </c>
      <c r="G896" s="127" t="s">
        <v>843</v>
      </c>
      <c r="H896" s="54">
        <v>22000</v>
      </c>
      <c r="I896" s="138">
        <v>0.45400000000000001</v>
      </c>
      <c r="J896" s="44" t="s">
        <v>1977</v>
      </c>
      <c r="K896" s="44" t="s">
        <v>1540</v>
      </c>
    </row>
    <row r="897" spans="1:11" x14ac:dyDescent="0.3">
      <c r="A897" s="126" t="s">
        <v>392</v>
      </c>
      <c r="B897" s="126" t="s">
        <v>2551</v>
      </c>
      <c r="C897" s="53" t="s">
        <v>2592</v>
      </c>
      <c r="D897" s="53" t="s">
        <v>2676</v>
      </c>
      <c r="E897" s="131">
        <v>45919</v>
      </c>
      <c r="F897" s="127" t="s">
        <v>842</v>
      </c>
      <c r="G897" s="127" t="s">
        <v>843</v>
      </c>
      <c r="H897" s="54">
        <v>22000</v>
      </c>
      <c r="I897" s="138">
        <v>0.45400000000000001</v>
      </c>
      <c r="J897" s="44" t="s">
        <v>1977</v>
      </c>
      <c r="K897" s="44" t="s">
        <v>1540</v>
      </c>
    </row>
    <row r="898" spans="1:11" x14ac:dyDescent="0.3">
      <c r="A898" s="126" t="s">
        <v>390</v>
      </c>
      <c r="B898" s="126" t="s">
        <v>2551</v>
      </c>
      <c r="C898" s="53" t="s">
        <v>2593</v>
      </c>
      <c r="D898" s="53" t="s">
        <v>2677</v>
      </c>
      <c r="E898" s="131">
        <v>45919</v>
      </c>
      <c r="F898" s="127" t="s">
        <v>371</v>
      </c>
      <c r="G898" s="127" t="s">
        <v>864</v>
      </c>
      <c r="H898" s="54">
        <v>14951.85</v>
      </c>
      <c r="I898" s="138">
        <v>0.47499999999999998</v>
      </c>
      <c r="J898" s="44" t="s">
        <v>832</v>
      </c>
      <c r="K898" s="44" t="s">
        <v>1541</v>
      </c>
    </row>
    <row r="899" spans="1:11" x14ac:dyDescent="0.3">
      <c r="A899" s="126" t="s">
        <v>390</v>
      </c>
      <c r="B899" s="126" t="s">
        <v>2551</v>
      </c>
      <c r="C899" s="53" t="s">
        <v>2594</v>
      </c>
      <c r="D899" s="53" t="s">
        <v>2678</v>
      </c>
      <c r="E899" s="131">
        <v>45919</v>
      </c>
      <c r="F899" s="127" t="s">
        <v>371</v>
      </c>
      <c r="G899" s="127" t="s">
        <v>864</v>
      </c>
      <c r="H899" s="54">
        <v>17490.11</v>
      </c>
      <c r="I899" s="138">
        <v>0.20399999999999999</v>
      </c>
      <c r="J899" s="44" t="s">
        <v>832</v>
      </c>
      <c r="K899" s="44" t="s">
        <v>1541</v>
      </c>
    </row>
    <row r="900" spans="1:11" x14ac:dyDescent="0.3">
      <c r="A900" s="126" t="s">
        <v>390</v>
      </c>
      <c r="B900" s="126" t="s">
        <v>2551</v>
      </c>
      <c r="C900" s="53" t="s">
        <v>2595</v>
      </c>
      <c r="D900" s="53" t="s">
        <v>2679</v>
      </c>
      <c r="E900" s="131">
        <v>45919</v>
      </c>
      <c r="F900" s="127" t="s">
        <v>371</v>
      </c>
      <c r="G900" s="127" t="s">
        <v>864</v>
      </c>
      <c r="H900" s="54">
        <v>17287.900000000001</v>
      </c>
      <c r="I900" s="138">
        <v>0.20899999999999999</v>
      </c>
      <c r="J900" s="44" t="s">
        <v>832</v>
      </c>
      <c r="K900" s="44" t="s">
        <v>1541</v>
      </c>
    </row>
    <row r="901" spans="1:11" x14ac:dyDescent="0.3">
      <c r="A901" s="126" t="s">
        <v>392</v>
      </c>
      <c r="B901" s="126" t="s">
        <v>2551</v>
      </c>
      <c r="C901" s="53" t="s">
        <v>2596</v>
      </c>
      <c r="D901" s="53" t="s">
        <v>2680</v>
      </c>
      <c r="E901" s="131">
        <v>45919</v>
      </c>
      <c r="F901" s="127" t="s">
        <v>844</v>
      </c>
      <c r="G901" s="127" t="s">
        <v>863</v>
      </c>
      <c r="H901" s="54">
        <v>21000</v>
      </c>
      <c r="I901" s="138">
        <v>0.33100000000000002</v>
      </c>
      <c r="J901" s="44" t="s">
        <v>1977</v>
      </c>
      <c r="K901" s="44" t="s">
        <v>1540</v>
      </c>
    </row>
    <row r="902" spans="1:11" x14ac:dyDescent="0.3">
      <c r="A902" s="126" t="s">
        <v>392</v>
      </c>
      <c r="B902" s="126" t="s">
        <v>2551</v>
      </c>
      <c r="C902" s="53" t="s">
        <v>2597</v>
      </c>
      <c r="D902" s="53" t="s">
        <v>2681</v>
      </c>
      <c r="E902" s="131">
        <v>45919</v>
      </c>
      <c r="F902" s="127" t="s">
        <v>370</v>
      </c>
      <c r="G902" s="127" t="s">
        <v>63</v>
      </c>
      <c r="H902" s="54">
        <v>11745</v>
      </c>
      <c r="I902" s="138">
        <v>0.60799999999999998</v>
      </c>
      <c r="J902" s="44" t="s">
        <v>1835</v>
      </c>
      <c r="K902" s="44" t="s">
        <v>1540</v>
      </c>
    </row>
    <row r="903" spans="1:11" x14ac:dyDescent="0.3">
      <c r="A903" s="126" t="s">
        <v>392</v>
      </c>
      <c r="B903" s="126" t="s">
        <v>2551</v>
      </c>
      <c r="C903" s="53" t="s">
        <v>2598</v>
      </c>
      <c r="D903" s="53" t="s">
        <v>2682</v>
      </c>
      <c r="E903" s="131">
        <v>45919</v>
      </c>
      <c r="F903" s="127" t="s">
        <v>370</v>
      </c>
      <c r="G903" s="127" t="s">
        <v>63</v>
      </c>
      <c r="H903" s="54">
        <v>4200</v>
      </c>
      <c r="I903" s="138">
        <v>0.42899999999999999</v>
      </c>
      <c r="J903" s="44" t="s">
        <v>1835</v>
      </c>
      <c r="K903" s="44" t="s">
        <v>1540</v>
      </c>
    </row>
    <row r="904" spans="1:11" x14ac:dyDescent="0.3">
      <c r="A904" s="126" t="s">
        <v>392</v>
      </c>
      <c r="B904" s="126" t="s">
        <v>2551</v>
      </c>
      <c r="C904" s="53" t="s">
        <v>2599</v>
      </c>
      <c r="D904" s="53" t="s">
        <v>2683</v>
      </c>
      <c r="E904" s="131">
        <v>45922</v>
      </c>
      <c r="F904" s="127" t="s">
        <v>372</v>
      </c>
      <c r="G904" s="127" t="s">
        <v>10</v>
      </c>
      <c r="H904" s="54">
        <v>23250</v>
      </c>
      <c r="I904" s="138">
        <v>0.377</v>
      </c>
      <c r="J904" s="44" t="s">
        <v>848</v>
      </c>
      <c r="K904" s="44" t="s">
        <v>1540</v>
      </c>
    </row>
    <row r="905" spans="1:11" x14ac:dyDescent="0.3">
      <c r="A905" s="126" t="s">
        <v>392</v>
      </c>
      <c r="B905" s="126" t="s">
        <v>2551</v>
      </c>
      <c r="C905" s="53" t="s">
        <v>2600</v>
      </c>
      <c r="D905" s="53" t="s">
        <v>2684</v>
      </c>
      <c r="E905" s="131">
        <v>45922</v>
      </c>
      <c r="F905" s="127" t="s">
        <v>372</v>
      </c>
      <c r="G905" s="127" t="s">
        <v>10</v>
      </c>
      <c r="H905" s="54">
        <v>23250</v>
      </c>
      <c r="I905" s="138">
        <v>0.377</v>
      </c>
      <c r="J905" s="44" t="s">
        <v>848</v>
      </c>
      <c r="K905" s="44" t="s">
        <v>1540</v>
      </c>
    </row>
    <row r="906" spans="1:11" x14ac:dyDescent="0.3">
      <c r="A906" s="126" t="s">
        <v>390</v>
      </c>
      <c r="B906" s="126" t="s">
        <v>2551</v>
      </c>
      <c r="C906" s="53" t="s">
        <v>2601</v>
      </c>
      <c r="D906" s="53" t="s">
        <v>2685</v>
      </c>
      <c r="E906" s="131">
        <v>45922</v>
      </c>
      <c r="F906" s="127" t="s">
        <v>587</v>
      </c>
      <c r="G906" s="127" t="s">
        <v>11</v>
      </c>
      <c r="H906" s="54">
        <v>14199.89</v>
      </c>
      <c r="I906" s="138">
        <v>0.41399999999999998</v>
      </c>
      <c r="J906" s="44" t="s">
        <v>833</v>
      </c>
      <c r="K906" s="44" t="s">
        <v>1541</v>
      </c>
    </row>
    <row r="907" spans="1:11" x14ac:dyDescent="0.3">
      <c r="A907" s="126" t="s">
        <v>392</v>
      </c>
      <c r="B907" s="126" t="s">
        <v>2551</v>
      </c>
      <c r="C907" s="53" t="s">
        <v>2602</v>
      </c>
      <c r="D907" s="53" t="s">
        <v>2686</v>
      </c>
      <c r="E907" s="131">
        <v>45922</v>
      </c>
      <c r="F907" s="127" t="s">
        <v>370</v>
      </c>
      <c r="G907" s="127" t="s">
        <v>63</v>
      </c>
      <c r="H907" s="54">
        <v>4200</v>
      </c>
      <c r="I907" s="138">
        <v>0.61899999999999999</v>
      </c>
      <c r="J907" s="44" t="s">
        <v>848</v>
      </c>
      <c r="K907" s="44" t="s">
        <v>1540</v>
      </c>
    </row>
    <row r="908" spans="1:11" x14ac:dyDescent="0.3">
      <c r="A908" s="126" t="s">
        <v>392</v>
      </c>
      <c r="B908" s="126" t="s">
        <v>2551</v>
      </c>
      <c r="C908" s="53" t="s">
        <v>2603</v>
      </c>
      <c r="D908" s="53" t="s">
        <v>2687</v>
      </c>
      <c r="E908" s="131">
        <v>45922</v>
      </c>
      <c r="F908" s="127" t="s">
        <v>370</v>
      </c>
      <c r="G908" s="127" t="s">
        <v>63</v>
      </c>
      <c r="H908" s="54">
        <v>4200</v>
      </c>
      <c r="I908" s="138">
        <v>0.61899999999999999</v>
      </c>
      <c r="J908" s="44" t="s">
        <v>848</v>
      </c>
      <c r="K908" s="44" t="s">
        <v>1540</v>
      </c>
    </row>
    <row r="909" spans="1:11" x14ac:dyDescent="0.3">
      <c r="A909" s="126" t="s">
        <v>392</v>
      </c>
      <c r="B909" s="126" t="s">
        <v>2551</v>
      </c>
      <c r="C909" s="53" t="s">
        <v>2604</v>
      </c>
      <c r="D909" s="53" t="s">
        <v>2688</v>
      </c>
      <c r="E909" s="131">
        <v>45922</v>
      </c>
      <c r="F909" s="127" t="s">
        <v>374</v>
      </c>
      <c r="G909" s="127" t="s">
        <v>2716</v>
      </c>
      <c r="H909" s="54">
        <v>10800</v>
      </c>
      <c r="I909" s="138">
        <v>0.74099999999999999</v>
      </c>
      <c r="J909" s="44" t="s">
        <v>848</v>
      </c>
      <c r="K909" s="44" t="s">
        <v>1540</v>
      </c>
    </row>
    <row r="910" spans="1:11" x14ac:dyDescent="0.3">
      <c r="A910" s="126" t="s">
        <v>390</v>
      </c>
      <c r="B910" s="126" t="s">
        <v>2551</v>
      </c>
      <c r="C910" s="53" t="s">
        <v>2605</v>
      </c>
      <c r="D910" s="53" t="s">
        <v>2689</v>
      </c>
      <c r="E910" s="131">
        <v>45923</v>
      </c>
      <c r="F910" s="127" t="s">
        <v>371</v>
      </c>
      <c r="G910" s="127" t="s">
        <v>864</v>
      </c>
      <c r="H910" s="54">
        <v>22671.86</v>
      </c>
      <c r="I910" s="138">
        <v>0.28599999999999998</v>
      </c>
      <c r="J910" s="44" t="s">
        <v>832</v>
      </c>
      <c r="K910" s="44" t="s">
        <v>1541</v>
      </c>
    </row>
    <row r="911" spans="1:11" x14ac:dyDescent="0.3">
      <c r="A911" s="126" t="s">
        <v>390</v>
      </c>
      <c r="B911" s="126" t="s">
        <v>2551</v>
      </c>
      <c r="C911" s="53" t="s">
        <v>2606</v>
      </c>
      <c r="D911" s="53" t="s">
        <v>2690</v>
      </c>
      <c r="E911" s="131">
        <v>45923</v>
      </c>
      <c r="F911" s="127" t="s">
        <v>371</v>
      </c>
      <c r="G911" s="127" t="s">
        <v>864</v>
      </c>
      <c r="H911" s="54">
        <v>45418.78</v>
      </c>
      <c r="I911" s="138">
        <v>0.20799999999999999</v>
      </c>
      <c r="J911" s="44" t="s">
        <v>832</v>
      </c>
      <c r="K911" s="44" t="s">
        <v>1541</v>
      </c>
    </row>
    <row r="912" spans="1:11" x14ac:dyDescent="0.3">
      <c r="A912" s="126" t="s">
        <v>390</v>
      </c>
      <c r="B912" s="126" t="s">
        <v>2551</v>
      </c>
      <c r="C912" s="53" t="s">
        <v>2607</v>
      </c>
      <c r="D912" s="53" t="s">
        <v>2691</v>
      </c>
      <c r="E912" s="131">
        <v>45923</v>
      </c>
      <c r="F912" s="127" t="s">
        <v>371</v>
      </c>
      <c r="G912" s="127" t="s">
        <v>864</v>
      </c>
      <c r="H912" s="54">
        <v>17978.599999999999</v>
      </c>
      <c r="I912" s="138">
        <v>0.32300000000000001</v>
      </c>
      <c r="J912" s="44" t="s">
        <v>832</v>
      </c>
      <c r="K912" s="44" t="s">
        <v>1541</v>
      </c>
    </row>
    <row r="913" spans="1:11" x14ac:dyDescent="0.3">
      <c r="A913" s="126" t="s">
        <v>392</v>
      </c>
      <c r="B913" s="126" t="s">
        <v>2551</v>
      </c>
      <c r="C913" s="53" t="s">
        <v>2608</v>
      </c>
      <c r="D913" s="53" t="s">
        <v>2692</v>
      </c>
      <c r="E913" s="131">
        <v>45924</v>
      </c>
      <c r="F913" s="127" t="s">
        <v>372</v>
      </c>
      <c r="G913" s="127" t="s">
        <v>10</v>
      </c>
      <c r="H913" s="54">
        <v>8300</v>
      </c>
      <c r="I913" s="138">
        <v>0.435</v>
      </c>
      <c r="J913" s="44" t="s">
        <v>848</v>
      </c>
      <c r="K913" s="44" t="s">
        <v>1540</v>
      </c>
    </row>
    <row r="914" spans="1:11" x14ac:dyDescent="0.3">
      <c r="A914" s="126" t="s">
        <v>392</v>
      </c>
      <c r="B914" s="126" t="s">
        <v>2551</v>
      </c>
      <c r="C914" s="53" t="s">
        <v>2609</v>
      </c>
      <c r="D914" s="53" t="s">
        <v>2693</v>
      </c>
      <c r="E914" s="131">
        <v>45925</v>
      </c>
      <c r="F914" s="127" t="s">
        <v>372</v>
      </c>
      <c r="G914" s="127" t="s">
        <v>10</v>
      </c>
      <c r="H914" s="54">
        <v>14885</v>
      </c>
      <c r="I914" s="138">
        <v>0.434</v>
      </c>
      <c r="J914" s="44" t="s">
        <v>848</v>
      </c>
      <c r="K914" s="44" t="s">
        <v>1540</v>
      </c>
    </row>
    <row r="915" spans="1:11" x14ac:dyDescent="0.3">
      <c r="A915" s="126" t="s">
        <v>390</v>
      </c>
      <c r="B915" s="126" t="s">
        <v>2551</v>
      </c>
      <c r="C915" s="53" t="s">
        <v>2610</v>
      </c>
      <c r="D915" s="53" t="s">
        <v>2694</v>
      </c>
      <c r="E915" s="131">
        <v>45925</v>
      </c>
      <c r="F915" s="127" t="s">
        <v>372</v>
      </c>
      <c r="G915" s="127" t="s">
        <v>10</v>
      </c>
      <c r="H915" s="54">
        <v>101696.7</v>
      </c>
      <c r="I915" s="138">
        <v>0.28000000000000003</v>
      </c>
      <c r="J915" s="44" t="s">
        <v>831</v>
      </c>
      <c r="K915" s="44" t="s">
        <v>1542</v>
      </c>
    </row>
    <row r="916" spans="1:11" x14ac:dyDescent="0.3">
      <c r="A916" s="126" t="s">
        <v>390</v>
      </c>
      <c r="B916" s="126" t="s">
        <v>2551</v>
      </c>
      <c r="C916" s="53" t="s">
        <v>2611</v>
      </c>
      <c r="D916" s="53" t="s">
        <v>2695</v>
      </c>
      <c r="E916" s="131">
        <v>45925</v>
      </c>
      <c r="F916" s="127" t="s">
        <v>371</v>
      </c>
      <c r="G916" s="127" t="s">
        <v>864</v>
      </c>
      <c r="H916" s="54">
        <v>23205.68</v>
      </c>
      <c r="I916" s="138">
        <v>0.186</v>
      </c>
      <c r="J916" s="44" t="s">
        <v>832</v>
      </c>
      <c r="K916" s="44" t="s">
        <v>1541</v>
      </c>
    </row>
    <row r="917" spans="1:11" x14ac:dyDescent="0.3">
      <c r="A917" s="126" t="s">
        <v>390</v>
      </c>
      <c r="B917" s="126" t="s">
        <v>2551</v>
      </c>
      <c r="C917" s="53" t="s">
        <v>2612</v>
      </c>
      <c r="D917" s="53" t="s">
        <v>2696</v>
      </c>
      <c r="E917" s="131">
        <v>45925</v>
      </c>
      <c r="F917" s="127" t="s">
        <v>619</v>
      </c>
      <c r="G917" s="127" t="s">
        <v>2086</v>
      </c>
      <c r="H917" s="54">
        <v>20447.419999999998</v>
      </c>
      <c r="I917" s="138">
        <v>0.54900000000000004</v>
      </c>
      <c r="J917" s="44" t="s">
        <v>833</v>
      </c>
      <c r="K917" s="44" t="s">
        <v>1541</v>
      </c>
    </row>
    <row r="918" spans="1:11" x14ac:dyDescent="0.3">
      <c r="A918" s="126" t="s">
        <v>390</v>
      </c>
      <c r="B918" s="126" t="s">
        <v>2551</v>
      </c>
      <c r="C918" s="53" t="s">
        <v>2613</v>
      </c>
      <c r="D918" s="53" t="s">
        <v>2697</v>
      </c>
      <c r="E918" s="131">
        <v>45925</v>
      </c>
      <c r="F918" s="127" t="s">
        <v>2131</v>
      </c>
      <c r="G918" s="127" t="s">
        <v>2132</v>
      </c>
      <c r="H918" s="54">
        <v>27077.5</v>
      </c>
      <c r="I918" s="138">
        <v>0.433</v>
      </c>
      <c r="J918" s="44" t="s">
        <v>831</v>
      </c>
      <c r="K918" s="44" t="s">
        <v>1541</v>
      </c>
    </row>
    <row r="919" spans="1:11" x14ac:dyDescent="0.3">
      <c r="A919" s="126" t="s">
        <v>390</v>
      </c>
      <c r="B919" s="126" t="s">
        <v>2551</v>
      </c>
      <c r="C919" s="53" t="s">
        <v>2614</v>
      </c>
      <c r="D919" s="53" t="s">
        <v>2698</v>
      </c>
      <c r="E919" s="131">
        <v>45925</v>
      </c>
      <c r="F919" s="127" t="s">
        <v>2281</v>
      </c>
      <c r="G919" s="127" t="s">
        <v>2305</v>
      </c>
      <c r="H919" s="54">
        <v>7741.1040000000003</v>
      </c>
      <c r="I919" s="138">
        <v>1</v>
      </c>
      <c r="J919" s="44" t="s">
        <v>831</v>
      </c>
      <c r="K919" s="44" t="s">
        <v>1542</v>
      </c>
    </row>
    <row r="920" spans="1:11" x14ac:dyDescent="0.3">
      <c r="A920" s="126" t="s">
        <v>390</v>
      </c>
      <c r="B920" s="126" t="s">
        <v>2551</v>
      </c>
      <c r="C920" s="53" t="s">
        <v>2615</v>
      </c>
      <c r="D920" s="53" t="s">
        <v>2699</v>
      </c>
      <c r="E920" s="131">
        <v>45925</v>
      </c>
      <c r="F920" s="127" t="s">
        <v>2281</v>
      </c>
      <c r="G920" s="127" t="s">
        <v>2305</v>
      </c>
      <c r="H920" s="54">
        <v>46704.660799999998</v>
      </c>
      <c r="I920" s="138">
        <v>0.60099999999999998</v>
      </c>
      <c r="J920" s="44" t="s">
        <v>831</v>
      </c>
      <c r="K920" s="44" t="s">
        <v>1542</v>
      </c>
    </row>
    <row r="921" spans="1:11" x14ac:dyDescent="0.3">
      <c r="A921" s="126" t="s">
        <v>390</v>
      </c>
      <c r="B921" s="126" t="s">
        <v>2551</v>
      </c>
      <c r="C921" s="53" t="s">
        <v>2616</v>
      </c>
      <c r="D921" s="53" t="s">
        <v>2700</v>
      </c>
      <c r="E921" s="131">
        <v>45926</v>
      </c>
      <c r="F921" s="127" t="s">
        <v>371</v>
      </c>
      <c r="G921" s="127" t="s">
        <v>864</v>
      </c>
      <c r="H921" s="54">
        <v>16845.420000000002</v>
      </c>
      <c r="I921" s="138">
        <v>0.20699999999999999</v>
      </c>
      <c r="J921" s="44" t="s">
        <v>832</v>
      </c>
      <c r="K921" s="44" t="s">
        <v>1541</v>
      </c>
    </row>
    <row r="922" spans="1:11" x14ac:dyDescent="0.3">
      <c r="A922" s="126" t="s">
        <v>390</v>
      </c>
      <c r="B922" s="126" t="s">
        <v>2551</v>
      </c>
      <c r="C922" s="53" t="s">
        <v>2617</v>
      </c>
      <c r="D922" s="53" t="s">
        <v>2701</v>
      </c>
      <c r="E922" s="131">
        <v>45929</v>
      </c>
      <c r="F922" s="127" t="s">
        <v>371</v>
      </c>
      <c r="G922" s="127" t="s">
        <v>864</v>
      </c>
      <c r="H922" s="54">
        <v>14365.72</v>
      </c>
      <c r="I922" s="138">
        <v>0.48899999999999999</v>
      </c>
      <c r="J922" s="44" t="s">
        <v>832</v>
      </c>
      <c r="K922" s="44" t="s">
        <v>1541</v>
      </c>
    </row>
    <row r="923" spans="1:11" x14ac:dyDescent="0.3">
      <c r="A923" s="126" t="s">
        <v>390</v>
      </c>
      <c r="B923" s="126" t="s">
        <v>2551</v>
      </c>
      <c r="C923" s="53" t="s">
        <v>2618</v>
      </c>
      <c r="D923" s="53" t="s">
        <v>2702</v>
      </c>
      <c r="E923" s="131">
        <v>45929</v>
      </c>
      <c r="F923" s="127" t="s">
        <v>371</v>
      </c>
      <c r="G923" s="127" t="s">
        <v>864</v>
      </c>
      <c r="H923" s="54">
        <v>13941.99</v>
      </c>
      <c r="I923" s="138">
        <v>0.499</v>
      </c>
      <c r="J923" s="44" t="s">
        <v>832</v>
      </c>
      <c r="K923" s="44" t="s">
        <v>1541</v>
      </c>
    </row>
    <row r="924" spans="1:11" x14ac:dyDescent="0.3">
      <c r="A924" s="126" t="s">
        <v>390</v>
      </c>
      <c r="B924" s="126" t="s">
        <v>2551</v>
      </c>
      <c r="C924" s="53" t="s">
        <v>2619</v>
      </c>
      <c r="D924" s="53" t="s">
        <v>2703</v>
      </c>
      <c r="E924" s="131">
        <v>45929</v>
      </c>
      <c r="F924" s="127" t="s">
        <v>371</v>
      </c>
      <c r="G924" s="127" t="s">
        <v>864</v>
      </c>
      <c r="H924" s="54">
        <v>14254.57</v>
      </c>
      <c r="I924" s="138">
        <v>0.49099999999999999</v>
      </c>
      <c r="J924" s="44" t="s">
        <v>832</v>
      </c>
      <c r="K924" s="44" t="s">
        <v>1541</v>
      </c>
    </row>
    <row r="925" spans="1:11" x14ac:dyDescent="0.3">
      <c r="A925" s="126" t="s">
        <v>392</v>
      </c>
      <c r="B925" s="126" t="s">
        <v>2551</v>
      </c>
      <c r="C925" s="53" t="s">
        <v>2620</v>
      </c>
      <c r="D925" s="53" t="s">
        <v>2704</v>
      </c>
      <c r="E925" s="131">
        <v>45929</v>
      </c>
      <c r="F925" s="127" t="s">
        <v>370</v>
      </c>
      <c r="G925" s="127" t="s">
        <v>63</v>
      </c>
      <c r="H925" s="54">
        <v>4500</v>
      </c>
      <c r="I925" s="138">
        <v>0.6</v>
      </c>
      <c r="J925" s="44" t="s">
        <v>1835</v>
      </c>
      <c r="K925" s="44" t="s">
        <v>1540</v>
      </c>
    </row>
    <row r="926" spans="1:11" x14ac:dyDescent="0.3">
      <c r="A926" s="126" t="s">
        <v>392</v>
      </c>
      <c r="B926" s="126" t="s">
        <v>2551</v>
      </c>
      <c r="C926" s="53" t="s">
        <v>2621</v>
      </c>
      <c r="D926" s="53" t="s">
        <v>2705</v>
      </c>
      <c r="E926" s="131">
        <v>45929</v>
      </c>
      <c r="F926" s="127" t="s">
        <v>370</v>
      </c>
      <c r="G926" s="127" t="s">
        <v>63</v>
      </c>
      <c r="H926" s="54">
        <v>4500</v>
      </c>
      <c r="I926" s="138">
        <v>0.6</v>
      </c>
      <c r="J926" s="44" t="s">
        <v>848</v>
      </c>
      <c r="K926" s="44" t="s">
        <v>1540</v>
      </c>
    </row>
    <row r="927" spans="1:11" x14ac:dyDescent="0.3">
      <c r="A927" s="126" t="s">
        <v>392</v>
      </c>
      <c r="B927" s="126" t="s">
        <v>2551</v>
      </c>
      <c r="C927" s="53" t="s">
        <v>2622</v>
      </c>
      <c r="D927" s="53" t="s">
        <v>2706</v>
      </c>
      <c r="E927" s="131">
        <v>45929</v>
      </c>
      <c r="F927" s="127" t="s">
        <v>370</v>
      </c>
      <c r="G927" s="127" t="s">
        <v>63</v>
      </c>
      <c r="H927" s="54">
        <v>4500</v>
      </c>
      <c r="I927" s="138">
        <v>0.6</v>
      </c>
      <c r="J927" s="44" t="s">
        <v>848</v>
      </c>
      <c r="K927" s="44" t="s">
        <v>1540</v>
      </c>
    </row>
    <row r="928" spans="1:11" x14ac:dyDescent="0.3">
      <c r="A928" s="126" t="s">
        <v>390</v>
      </c>
      <c r="B928" s="126" t="s">
        <v>2551</v>
      </c>
      <c r="C928" s="53" t="s">
        <v>2623</v>
      </c>
      <c r="D928" s="53" t="s">
        <v>2320</v>
      </c>
      <c r="E928" s="131">
        <v>45930</v>
      </c>
      <c r="F928" s="127" t="s">
        <v>1007</v>
      </c>
      <c r="G928" s="127" t="s">
        <v>2250</v>
      </c>
      <c r="H928" s="54">
        <v>3549</v>
      </c>
      <c r="I928" s="138">
        <v>0.59</v>
      </c>
      <c r="J928" s="44" t="s">
        <v>1835</v>
      </c>
      <c r="K928" s="44" t="s">
        <v>1540</v>
      </c>
    </row>
    <row r="929" spans="1:11" x14ac:dyDescent="0.3">
      <c r="A929" s="126" t="s">
        <v>390</v>
      </c>
      <c r="B929" s="126" t="s">
        <v>2551</v>
      </c>
      <c r="C929" s="53" t="s">
        <v>2624</v>
      </c>
      <c r="D929" s="53" t="s">
        <v>2539</v>
      </c>
      <c r="E929" s="131">
        <v>45930</v>
      </c>
      <c r="F929" s="127" t="s">
        <v>1007</v>
      </c>
      <c r="G929" s="127" t="s">
        <v>2250</v>
      </c>
      <c r="H929" s="54">
        <v>33128.94</v>
      </c>
      <c r="I929" s="138">
        <v>0.27300000000000002</v>
      </c>
      <c r="J929" s="44" t="s">
        <v>831</v>
      </c>
      <c r="K929" s="44" t="s">
        <v>1542</v>
      </c>
    </row>
    <row r="930" spans="1:11" x14ac:dyDescent="0.3">
      <c r="A930" s="126" t="s">
        <v>390</v>
      </c>
      <c r="B930" s="126" t="s">
        <v>2551</v>
      </c>
      <c r="C930" s="53" t="s">
        <v>2625</v>
      </c>
      <c r="D930" s="53" t="s">
        <v>2707</v>
      </c>
      <c r="E930" s="131">
        <v>45930</v>
      </c>
      <c r="F930" s="127" t="s">
        <v>1007</v>
      </c>
      <c r="G930" s="127" t="s">
        <v>2250</v>
      </c>
      <c r="H930" s="54">
        <v>30645.668999999998</v>
      </c>
      <c r="I930" s="138">
        <v>0.27700000000000002</v>
      </c>
      <c r="J930" s="44" t="s">
        <v>831</v>
      </c>
      <c r="K930" s="44" t="s">
        <v>1541</v>
      </c>
    </row>
    <row r="931" spans="1:11" x14ac:dyDescent="0.3">
      <c r="A931" s="126" t="s">
        <v>390</v>
      </c>
      <c r="B931" s="126" t="s">
        <v>2551</v>
      </c>
      <c r="C931" s="53" t="s">
        <v>2626</v>
      </c>
      <c r="D931" s="53" t="s">
        <v>2539</v>
      </c>
      <c r="E931" s="131">
        <v>45930</v>
      </c>
      <c r="F931" s="127" t="s">
        <v>1007</v>
      </c>
      <c r="G931" s="127" t="s">
        <v>2250</v>
      </c>
      <c r="H931" s="54">
        <v>83752.594800000006</v>
      </c>
      <c r="I931" s="138">
        <v>0.27300000000000002</v>
      </c>
      <c r="J931" s="44" t="s">
        <v>831</v>
      </c>
      <c r="K931" s="44" t="s">
        <v>1542</v>
      </c>
    </row>
    <row r="932" spans="1:11" x14ac:dyDescent="0.3">
      <c r="A932" s="126" t="s">
        <v>392</v>
      </c>
      <c r="B932" s="126" t="s">
        <v>2551</v>
      </c>
      <c r="C932" s="53" t="s">
        <v>2627</v>
      </c>
      <c r="D932" s="53" t="s">
        <v>2708</v>
      </c>
      <c r="E932" s="131">
        <v>45930</v>
      </c>
      <c r="F932" s="127" t="s">
        <v>842</v>
      </c>
      <c r="G932" s="127" t="s">
        <v>843</v>
      </c>
      <c r="H932" s="54">
        <v>22000</v>
      </c>
      <c r="I932" s="138">
        <v>0.45500000000000002</v>
      </c>
      <c r="J932" s="44" t="s">
        <v>1977</v>
      </c>
      <c r="K932" s="44" t="s">
        <v>1540</v>
      </c>
    </row>
    <row r="933" spans="1:11" x14ac:dyDescent="0.3">
      <c r="A933" s="126" t="s">
        <v>390</v>
      </c>
      <c r="B933" s="126" t="s">
        <v>2551</v>
      </c>
      <c r="C933" s="53" t="s">
        <v>2628</v>
      </c>
      <c r="D933" s="53" t="s">
        <v>1790</v>
      </c>
      <c r="E933" s="131">
        <v>45930</v>
      </c>
      <c r="F933" s="127" t="s">
        <v>371</v>
      </c>
      <c r="G933" s="127" t="s">
        <v>864</v>
      </c>
      <c r="H933" s="54">
        <v>0.01</v>
      </c>
      <c r="I933" s="138">
        <v>0.21</v>
      </c>
      <c r="J933" s="44" t="s">
        <v>832</v>
      </c>
      <c r="K933" s="44" t="s">
        <v>1541</v>
      </c>
    </row>
    <row r="934" spans="1:11" x14ac:dyDescent="0.3">
      <c r="A934" s="126" t="s">
        <v>390</v>
      </c>
      <c r="B934" s="126" t="s">
        <v>2551</v>
      </c>
      <c r="C934" s="53" t="s">
        <v>2629</v>
      </c>
      <c r="D934" s="53" t="s">
        <v>1585</v>
      </c>
      <c r="E934" s="131">
        <v>45930</v>
      </c>
      <c r="F934" s="127" t="s">
        <v>371</v>
      </c>
      <c r="G934" s="127" t="s">
        <v>864</v>
      </c>
      <c r="H934" s="54">
        <v>0.01</v>
      </c>
      <c r="I934" s="138">
        <v>0.214</v>
      </c>
      <c r="J934" s="44" t="s">
        <v>832</v>
      </c>
      <c r="K934" s="44" t="s">
        <v>1541</v>
      </c>
    </row>
    <row r="935" spans="1:11" x14ac:dyDescent="0.3">
      <c r="A935" s="126" t="s">
        <v>390</v>
      </c>
      <c r="B935" s="126" t="s">
        <v>2551</v>
      </c>
      <c r="C935" s="53" t="s">
        <v>2630</v>
      </c>
      <c r="D935" s="53" t="s">
        <v>2709</v>
      </c>
      <c r="E935" s="131">
        <v>45930</v>
      </c>
      <c r="F935" s="127" t="s">
        <v>371</v>
      </c>
      <c r="G935" s="127" t="s">
        <v>864</v>
      </c>
      <c r="H935" s="54">
        <v>14467.33</v>
      </c>
      <c r="I935" s="138">
        <v>0.48599999999999999</v>
      </c>
      <c r="J935" s="44" t="s">
        <v>832</v>
      </c>
      <c r="K935" s="44" t="s">
        <v>1541</v>
      </c>
    </row>
    <row r="936" spans="1:11" x14ac:dyDescent="0.3">
      <c r="A936" s="126" t="s">
        <v>390</v>
      </c>
      <c r="B936" s="126" t="s">
        <v>2551</v>
      </c>
      <c r="C936" s="53" t="s">
        <v>2631</v>
      </c>
      <c r="D936" s="53" t="s">
        <v>2710</v>
      </c>
      <c r="E936" s="131">
        <v>45930</v>
      </c>
      <c r="F936" s="127" t="s">
        <v>375</v>
      </c>
      <c r="G936" s="127" t="s">
        <v>2303</v>
      </c>
      <c r="H936" s="54">
        <v>15008.419999999998</v>
      </c>
      <c r="I936" s="138">
        <v>0.36099999999999999</v>
      </c>
      <c r="J936" s="44" t="s">
        <v>831</v>
      </c>
      <c r="K936" s="44" t="s">
        <v>1541</v>
      </c>
    </row>
    <row r="937" spans="1:11" x14ac:dyDescent="0.3">
      <c r="A937" s="126" t="s">
        <v>390</v>
      </c>
      <c r="B937" s="126" t="s">
        <v>2551</v>
      </c>
      <c r="C937" s="53" t="s">
        <v>2632</v>
      </c>
      <c r="D937" s="53" t="s">
        <v>2711</v>
      </c>
      <c r="E937" s="131">
        <v>45930</v>
      </c>
      <c r="F937" s="127" t="s">
        <v>370</v>
      </c>
      <c r="G937" s="127" t="s">
        <v>63</v>
      </c>
      <c r="H937" s="54">
        <v>7387</v>
      </c>
      <c r="I937" s="138">
        <v>0.56100000000000005</v>
      </c>
      <c r="J937" s="44" t="s">
        <v>1835</v>
      </c>
      <c r="K937" s="44" t="s">
        <v>1541</v>
      </c>
    </row>
    <row r="938" spans="1:11" x14ac:dyDescent="0.3">
      <c r="A938" s="126" t="s">
        <v>390</v>
      </c>
      <c r="B938" s="126" t="s">
        <v>2551</v>
      </c>
      <c r="C938" s="53" t="s">
        <v>2633</v>
      </c>
      <c r="D938" s="53" t="s">
        <v>2712</v>
      </c>
      <c r="E938" s="131">
        <v>45930</v>
      </c>
      <c r="F938" s="127" t="s">
        <v>370</v>
      </c>
      <c r="G938" s="127" t="s">
        <v>63</v>
      </c>
      <c r="H938" s="54">
        <v>11160</v>
      </c>
      <c r="I938" s="138">
        <v>0.44900000000000001</v>
      </c>
      <c r="J938" s="44" t="s">
        <v>1835</v>
      </c>
      <c r="K938" s="44" t="s">
        <v>1541</v>
      </c>
    </row>
    <row r="939" spans="1:11" x14ac:dyDescent="0.3">
      <c r="A939" s="126" t="s">
        <v>392</v>
      </c>
      <c r="B939" s="126" t="s">
        <v>2551</v>
      </c>
      <c r="C939" s="53" t="s">
        <v>2634</v>
      </c>
      <c r="D939" s="53" t="s">
        <v>2713</v>
      </c>
      <c r="E939" s="131">
        <v>45930</v>
      </c>
      <c r="F939" s="127" t="s">
        <v>370</v>
      </c>
      <c r="G939" s="127" t="s">
        <v>63</v>
      </c>
      <c r="H939" s="54">
        <v>4200</v>
      </c>
      <c r="I939" s="138">
        <v>0.61899999999999999</v>
      </c>
      <c r="J939" s="44" t="s">
        <v>848</v>
      </c>
      <c r="K939" s="44" t="s">
        <v>1540</v>
      </c>
    </row>
    <row r="940" spans="1:11" x14ac:dyDescent="0.3">
      <c r="A940" s="126" t="s">
        <v>390</v>
      </c>
      <c r="B940" s="126" t="s">
        <v>2551</v>
      </c>
      <c r="C940" s="53" t="s">
        <v>2635</v>
      </c>
      <c r="D940" s="53" t="s">
        <v>2714</v>
      </c>
      <c r="E940" s="131">
        <v>45930</v>
      </c>
      <c r="F940" s="127" t="s">
        <v>370</v>
      </c>
      <c r="G940" s="127" t="s">
        <v>63</v>
      </c>
      <c r="H940" s="54">
        <v>108199.8</v>
      </c>
      <c r="I940" s="138">
        <v>0.156</v>
      </c>
      <c r="J940" s="44" t="s">
        <v>1835</v>
      </c>
      <c r="K940" s="44" t="s">
        <v>1542</v>
      </c>
    </row>
    <row r="941" spans="1:11" x14ac:dyDescent="0.3">
      <c r="A941" s="126" t="s">
        <v>390</v>
      </c>
      <c r="B941" s="126" t="s">
        <v>2551</v>
      </c>
      <c r="C941" s="53" t="s">
        <v>2636</v>
      </c>
      <c r="D941" s="53" t="s">
        <v>2714</v>
      </c>
      <c r="E941" s="131">
        <v>45930</v>
      </c>
      <c r="F941" s="127" t="s">
        <v>370</v>
      </c>
      <c r="G941" s="127" t="s">
        <v>63</v>
      </c>
      <c r="H941" s="54">
        <v>31345</v>
      </c>
      <c r="I941" s="138">
        <v>0.156</v>
      </c>
      <c r="J941" s="44" t="s">
        <v>1835</v>
      </c>
      <c r="K941" s="44" t="s">
        <v>1542</v>
      </c>
    </row>
    <row r="942" spans="1:11" x14ac:dyDescent="0.3">
      <c r="A942" s="126" t="s">
        <v>390</v>
      </c>
      <c r="B942" s="126" t="s">
        <v>2551</v>
      </c>
      <c r="C942" s="53" t="s">
        <v>2637</v>
      </c>
      <c r="D942" s="53" t="s">
        <v>2273</v>
      </c>
      <c r="E942" s="131">
        <v>45930</v>
      </c>
      <c r="F942" s="127" t="s">
        <v>2274</v>
      </c>
      <c r="G942" s="127" t="s">
        <v>2275</v>
      </c>
      <c r="H942" s="54">
        <v>2983.45</v>
      </c>
      <c r="I942" s="138">
        <v>0.27900000000000003</v>
      </c>
      <c r="J942" s="44" t="s">
        <v>831</v>
      </c>
      <c r="K942" s="44" t="s">
        <v>1542</v>
      </c>
    </row>
    <row r="943" spans="1:11" x14ac:dyDescent="0.3">
      <c r="A943" s="126" t="s">
        <v>392</v>
      </c>
      <c r="B943" s="126" t="s">
        <v>2895</v>
      </c>
      <c r="C943" s="53" t="s">
        <v>2718</v>
      </c>
      <c r="D943" s="53" t="s">
        <v>2719</v>
      </c>
      <c r="E943" s="131">
        <v>45931</v>
      </c>
      <c r="F943" s="127" t="s">
        <v>370</v>
      </c>
      <c r="G943" s="127" t="s">
        <v>63</v>
      </c>
      <c r="H943" s="54">
        <v>4200</v>
      </c>
      <c r="I943" s="138">
        <v>0.61899999999999999</v>
      </c>
      <c r="J943" s="44" t="s">
        <v>848</v>
      </c>
      <c r="K943" s="44" t="s">
        <v>1540</v>
      </c>
    </row>
    <row r="944" spans="1:11" x14ac:dyDescent="0.3">
      <c r="A944" s="126" t="s">
        <v>392</v>
      </c>
      <c r="B944" s="126" t="s">
        <v>2895</v>
      </c>
      <c r="C944" s="53" t="s">
        <v>2720</v>
      </c>
      <c r="D944" s="53" t="s">
        <v>2721</v>
      </c>
      <c r="E944" s="131">
        <v>45932</v>
      </c>
      <c r="F944" s="127" t="s">
        <v>372</v>
      </c>
      <c r="G944" s="127" t="s">
        <v>10</v>
      </c>
      <c r="H944" s="54">
        <v>37800</v>
      </c>
      <c r="I944" s="138">
        <v>0.31</v>
      </c>
      <c r="J944" s="44" t="s">
        <v>848</v>
      </c>
      <c r="K944" s="44" t="s">
        <v>1540</v>
      </c>
    </row>
    <row r="945" spans="1:11" x14ac:dyDescent="0.3">
      <c r="A945" s="126" t="s">
        <v>390</v>
      </c>
      <c r="B945" s="126" t="s">
        <v>2895</v>
      </c>
      <c r="C945" s="53" t="s">
        <v>2722</v>
      </c>
      <c r="D945" s="53" t="s">
        <v>2723</v>
      </c>
      <c r="E945" s="131">
        <v>45932</v>
      </c>
      <c r="F945" s="127" t="s">
        <v>370</v>
      </c>
      <c r="G945" s="127" t="s">
        <v>63</v>
      </c>
      <c r="H945" s="54">
        <v>7221</v>
      </c>
      <c r="I945" s="138">
        <v>0.55500000000000005</v>
      </c>
      <c r="J945" s="44" t="s">
        <v>2892</v>
      </c>
      <c r="K945" s="44" t="s">
        <v>2893</v>
      </c>
    </row>
    <row r="946" spans="1:11" x14ac:dyDescent="0.3">
      <c r="A946" s="126" t="s">
        <v>392</v>
      </c>
      <c r="B946" s="126" t="s">
        <v>2895</v>
      </c>
      <c r="C946" s="53" t="s">
        <v>2724</v>
      </c>
      <c r="D946" s="53" t="s">
        <v>2725</v>
      </c>
      <c r="E946" s="131">
        <v>45933</v>
      </c>
      <c r="F946" s="127" t="s">
        <v>370</v>
      </c>
      <c r="G946" s="127" t="s">
        <v>63</v>
      </c>
      <c r="H946" s="54">
        <v>19500</v>
      </c>
      <c r="I946" s="138">
        <v>0.52300000000000002</v>
      </c>
      <c r="J946" s="44" t="s">
        <v>2892</v>
      </c>
      <c r="K946" s="44" t="s">
        <v>1540</v>
      </c>
    </row>
    <row r="947" spans="1:11" x14ac:dyDescent="0.3">
      <c r="A947" s="126" t="s">
        <v>392</v>
      </c>
      <c r="B947" s="126" t="s">
        <v>2895</v>
      </c>
      <c r="C947" s="53" t="s">
        <v>2726</v>
      </c>
      <c r="D947" s="53" t="s">
        <v>2727</v>
      </c>
      <c r="E947" s="131">
        <v>45933</v>
      </c>
      <c r="F947" s="127" t="s">
        <v>370</v>
      </c>
      <c r="G947" s="127" t="s">
        <v>63</v>
      </c>
      <c r="H947" s="54">
        <v>4500</v>
      </c>
      <c r="I947" s="138">
        <v>0.6</v>
      </c>
      <c r="J947" s="44" t="s">
        <v>2892</v>
      </c>
      <c r="K947" s="44" t="s">
        <v>1540</v>
      </c>
    </row>
    <row r="948" spans="1:11" x14ac:dyDescent="0.3">
      <c r="A948" s="126" t="s">
        <v>392</v>
      </c>
      <c r="B948" s="126" t="s">
        <v>2895</v>
      </c>
      <c r="C948" s="53" t="s">
        <v>2728</v>
      </c>
      <c r="D948" s="53" t="s">
        <v>2729</v>
      </c>
      <c r="E948" s="131">
        <v>45936</v>
      </c>
      <c r="F948" s="127" t="s">
        <v>844</v>
      </c>
      <c r="G948" s="127" t="s">
        <v>863</v>
      </c>
      <c r="H948" s="54">
        <v>5000</v>
      </c>
      <c r="I948" s="138">
        <v>0.45900000000000002</v>
      </c>
      <c r="J948" s="44" t="s">
        <v>1977</v>
      </c>
      <c r="K948" s="44" t="s">
        <v>1540</v>
      </c>
    </row>
    <row r="949" spans="1:11" x14ac:dyDescent="0.3">
      <c r="A949" s="126" t="s">
        <v>392</v>
      </c>
      <c r="B949" s="126" t="s">
        <v>2895</v>
      </c>
      <c r="C949" s="53" t="s">
        <v>2730</v>
      </c>
      <c r="D949" s="53" t="s">
        <v>2731</v>
      </c>
      <c r="E949" s="131">
        <v>45936</v>
      </c>
      <c r="F949" s="127" t="s">
        <v>844</v>
      </c>
      <c r="G949" s="127" t="s">
        <v>863</v>
      </c>
      <c r="H949" s="54">
        <v>21000</v>
      </c>
      <c r="I949" s="138">
        <v>0.33500000000000002</v>
      </c>
      <c r="J949" s="44" t="s">
        <v>1977</v>
      </c>
      <c r="K949" s="44" t="s">
        <v>1540</v>
      </c>
    </row>
    <row r="950" spans="1:11" x14ac:dyDescent="0.3">
      <c r="A950" s="126" t="s">
        <v>392</v>
      </c>
      <c r="B950" s="126" t="s">
        <v>2895</v>
      </c>
      <c r="C950" s="53" t="s">
        <v>2732</v>
      </c>
      <c r="D950" s="53" t="s">
        <v>2733</v>
      </c>
      <c r="E950" s="131">
        <v>45936</v>
      </c>
      <c r="F950" s="127" t="s">
        <v>370</v>
      </c>
      <c r="G950" s="127" t="s">
        <v>63</v>
      </c>
      <c r="H950" s="54">
        <v>4200</v>
      </c>
      <c r="I950" s="138">
        <v>0.61899999999999999</v>
      </c>
      <c r="J950" s="44" t="s">
        <v>2892</v>
      </c>
      <c r="K950" s="44" t="s">
        <v>1540</v>
      </c>
    </row>
    <row r="951" spans="1:11" x14ac:dyDescent="0.3">
      <c r="A951" s="126" t="s">
        <v>392</v>
      </c>
      <c r="B951" s="126" t="s">
        <v>2895</v>
      </c>
      <c r="C951" s="53" t="s">
        <v>2734</v>
      </c>
      <c r="D951" s="53" t="s">
        <v>2735</v>
      </c>
      <c r="E951" s="131">
        <v>45936</v>
      </c>
      <c r="F951" s="127" t="s">
        <v>370</v>
      </c>
      <c r="G951" s="127" t="s">
        <v>63</v>
      </c>
      <c r="H951" s="54">
        <v>4200</v>
      </c>
      <c r="I951" s="138">
        <v>0.61899999999999999</v>
      </c>
      <c r="J951" s="44" t="s">
        <v>2892</v>
      </c>
      <c r="K951" s="44" t="s">
        <v>1540</v>
      </c>
    </row>
    <row r="952" spans="1:11" x14ac:dyDescent="0.3">
      <c r="A952" s="126" t="s">
        <v>390</v>
      </c>
      <c r="B952" s="126" t="s">
        <v>2895</v>
      </c>
      <c r="C952" s="53" t="s">
        <v>2736</v>
      </c>
      <c r="D952" s="53" t="s">
        <v>2737</v>
      </c>
      <c r="E952" s="131">
        <v>45937</v>
      </c>
      <c r="F952" s="127" t="s">
        <v>372</v>
      </c>
      <c r="G952" s="127" t="s">
        <v>10</v>
      </c>
      <c r="H952" s="54">
        <v>3540</v>
      </c>
      <c r="I952" s="138">
        <v>0.25900000000000001</v>
      </c>
      <c r="J952" s="44" t="s">
        <v>833</v>
      </c>
      <c r="K952" s="44" t="s">
        <v>1542</v>
      </c>
    </row>
    <row r="953" spans="1:11" x14ac:dyDescent="0.3">
      <c r="A953" s="126" t="s">
        <v>390</v>
      </c>
      <c r="B953" s="126" t="s">
        <v>2895</v>
      </c>
      <c r="C953" s="53" t="s">
        <v>2738</v>
      </c>
      <c r="D953" s="53" t="s">
        <v>2739</v>
      </c>
      <c r="E953" s="131">
        <v>45938</v>
      </c>
      <c r="F953" s="127" t="s">
        <v>372</v>
      </c>
      <c r="G953" s="127" t="s">
        <v>10</v>
      </c>
      <c r="H953" s="54">
        <v>12171.69</v>
      </c>
      <c r="I953" s="138">
        <v>0.29199999999999998</v>
      </c>
      <c r="J953" s="44" t="s">
        <v>831</v>
      </c>
      <c r="K953" s="44" t="s">
        <v>2893</v>
      </c>
    </row>
    <row r="954" spans="1:11" x14ac:dyDescent="0.3">
      <c r="A954" s="126" t="s">
        <v>390</v>
      </c>
      <c r="B954" s="126" t="s">
        <v>2895</v>
      </c>
      <c r="C954" s="53" t="s">
        <v>2740</v>
      </c>
      <c r="D954" s="53" t="s">
        <v>2741</v>
      </c>
      <c r="E954" s="131">
        <v>45938</v>
      </c>
      <c r="F954" s="127" t="s">
        <v>371</v>
      </c>
      <c r="G954" s="127" t="s">
        <v>864</v>
      </c>
      <c r="H954" s="54">
        <v>15090.1</v>
      </c>
      <c r="I954" s="138">
        <v>0.47099999999999997</v>
      </c>
      <c r="J954" s="44" t="s">
        <v>832</v>
      </c>
      <c r="K954" s="44" t="s">
        <v>2893</v>
      </c>
    </row>
    <row r="955" spans="1:11" x14ac:dyDescent="0.3">
      <c r="A955" s="126" t="s">
        <v>392</v>
      </c>
      <c r="B955" s="126" t="s">
        <v>2895</v>
      </c>
      <c r="C955" s="53" t="s">
        <v>2742</v>
      </c>
      <c r="D955" s="53" t="s">
        <v>2743</v>
      </c>
      <c r="E955" s="131">
        <v>45938</v>
      </c>
      <c r="F955" s="127" t="s">
        <v>844</v>
      </c>
      <c r="G955" s="127" t="s">
        <v>863</v>
      </c>
      <c r="H955" s="54">
        <v>21000</v>
      </c>
      <c r="I955" s="138">
        <v>0.3</v>
      </c>
      <c r="J955" s="44" t="s">
        <v>1977</v>
      </c>
      <c r="K955" s="44" t="s">
        <v>1540</v>
      </c>
    </row>
    <row r="956" spans="1:11" x14ac:dyDescent="0.3">
      <c r="A956" s="126" t="s">
        <v>392</v>
      </c>
      <c r="B956" s="126" t="s">
        <v>2895</v>
      </c>
      <c r="C956" s="53" t="s">
        <v>2744</v>
      </c>
      <c r="D956" s="53" t="s">
        <v>2745</v>
      </c>
      <c r="E956" s="131">
        <v>45938</v>
      </c>
      <c r="F956" s="127" t="s">
        <v>844</v>
      </c>
      <c r="G956" s="127" t="s">
        <v>863</v>
      </c>
      <c r="H956" s="54">
        <v>4950</v>
      </c>
      <c r="I956" s="138">
        <v>0.23200000000000001</v>
      </c>
      <c r="J956" s="44" t="s">
        <v>1977</v>
      </c>
      <c r="K956" s="44" t="s">
        <v>1540</v>
      </c>
    </row>
    <row r="957" spans="1:11" x14ac:dyDescent="0.3">
      <c r="A957" s="126" t="s">
        <v>392</v>
      </c>
      <c r="B957" s="126" t="s">
        <v>2895</v>
      </c>
      <c r="C957" s="53" t="s">
        <v>2746</v>
      </c>
      <c r="D957" s="53" t="s">
        <v>2747</v>
      </c>
      <c r="E957" s="131">
        <v>45938</v>
      </c>
      <c r="F957" s="127" t="s">
        <v>2889</v>
      </c>
      <c r="G957" s="127" t="s">
        <v>13</v>
      </c>
      <c r="H957" s="54">
        <v>4500</v>
      </c>
      <c r="I957" s="138">
        <v>0.6</v>
      </c>
      <c r="J957" s="44" t="s">
        <v>2894</v>
      </c>
      <c r="K957" s="44" t="s">
        <v>1540</v>
      </c>
    </row>
    <row r="958" spans="1:11" x14ac:dyDescent="0.3">
      <c r="A958" s="126" t="s">
        <v>390</v>
      </c>
      <c r="B958" s="126" t="s">
        <v>2895</v>
      </c>
      <c r="C958" s="53" t="s">
        <v>2748</v>
      </c>
      <c r="D958" s="53" t="s">
        <v>2749</v>
      </c>
      <c r="E958" s="131">
        <v>45940</v>
      </c>
      <c r="F958" s="127" t="s">
        <v>375</v>
      </c>
      <c r="G958" s="127" t="s">
        <v>2303</v>
      </c>
      <c r="H958" s="54">
        <v>11103.59</v>
      </c>
      <c r="I958" s="138">
        <v>0.33300000000000002</v>
      </c>
      <c r="J958" s="44" t="s">
        <v>831</v>
      </c>
      <c r="K958" s="44" t="s">
        <v>2893</v>
      </c>
    </row>
    <row r="959" spans="1:11" x14ac:dyDescent="0.3">
      <c r="A959" s="126" t="s">
        <v>390</v>
      </c>
      <c r="B959" s="126" t="s">
        <v>2895</v>
      </c>
      <c r="C959" s="53" t="s">
        <v>2750</v>
      </c>
      <c r="D959" s="53" t="s">
        <v>2751</v>
      </c>
      <c r="E959" s="131">
        <v>45940</v>
      </c>
      <c r="F959" s="127" t="s">
        <v>371</v>
      </c>
      <c r="G959" s="127" t="s">
        <v>864</v>
      </c>
      <c r="H959" s="54">
        <v>34238.26</v>
      </c>
      <c r="I959" s="138">
        <v>0.17199999999999999</v>
      </c>
      <c r="J959" s="44" t="s">
        <v>832</v>
      </c>
      <c r="K959" s="44" t="s">
        <v>2893</v>
      </c>
    </row>
    <row r="960" spans="1:11" x14ac:dyDescent="0.3">
      <c r="A960" s="126" t="s">
        <v>390</v>
      </c>
      <c r="B960" s="126" t="s">
        <v>2895</v>
      </c>
      <c r="C960" s="53" t="s">
        <v>2752</v>
      </c>
      <c r="D960" s="53" t="s">
        <v>2753</v>
      </c>
      <c r="E960" s="131">
        <v>45940</v>
      </c>
      <c r="F960" s="127" t="s">
        <v>371</v>
      </c>
      <c r="G960" s="127" t="s">
        <v>864</v>
      </c>
      <c r="H960" s="54">
        <v>27773.34</v>
      </c>
      <c r="I960" s="138">
        <v>0.182</v>
      </c>
      <c r="J960" s="44" t="s">
        <v>832</v>
      </c>
      <c r="K960" s="44" t="s">
        <v>2893</v>
      </c>
    </row>
    <row r="961" spans="1:11" x14ac:dyDescent="0.3">
      <c r="A961" s="126" t="s">
        <v>390</v>
      </c>
      <c r="B961" s="126" t="s">
        <v>2895</v>
      </c>
      <c r="C961" s="53" t="s">
        <v>2754</v>
      </c>
      <c r="D961" s="53" t="s">
        <v>2755</v>
      </c>
      <c r="E961" s="131">
        <v>45940</v>
      </c>
      <c r="F961" s="127" t="s">
        <v>372</v>
      </c>
      <c r="G961" s="127" t="s">
        <v>10</v>
      </c>
      <c r="H961" s="54">
        <v>21442.76</v>
      </c>
      <c r="I961" s="138">
        <v>0.184</v>
      </c>
      <c r="J961" s="44" t="s">
        <v>831</v>
      </c>
      <c r="K961" s="44" t="s">
        <v>2893</v>
      </c>
    </row>
    <row r="962" spans="1:11" x14ac:dyDescent="0.3">
      <c r="A962" s="126" t="s">
        <v>390</v>
      </c>
      <c r="B962" s="126" t="s">
        <v>2895</v>
      </c>
      <c r="C962" s="53" t="s">
        <v>2756</v>
      </c>
      <c r="D962" s="53" t="s">
        <v>2757</v>
      </c>
      <c r="E962" s="131">
        <v>45940</v>
      </c>
      <c r="F962" s="127" t="s">
        <v>372</v>
      </c>
      <c r="G962" s="127" t="s">
        <v>10</v>
      </c>
      <c r="H962" s="54">
        <v>80058.61</v>
      </c>
      <c r="I962" s="138">
        <v>0.20799999999999999</v>
      </c>
      <c r="J962" s="44" t="s">
        <v>831</v>
      </c>
      <c r="K962" s="44" t="s">
        <v>1542</v>
      </c>
    </row>
    <row r="963" spans="1:11" x14ac:dyDescent="0.3">
      <c r="A963" s="126" t="s">
        <v>390</v>
      </c>
      <c r="B963" s="126" t="s">
        <v>2895</v>
      </c>
      <c r="C963" s="53" t="s">
        <v>2758</v>
      </c>
      <c r="D963" s="53" t="s">
        <v>2759</v>
      </c>
      <c r="E963" s="131">
        <v>45943</v>
      </c>
      <c r="F963" s="127" t="s">
        <v>371</v>
      </c>
      <c r="G963" s="127" t="s">
        <v>864</v>
      </c>
      <c r="H963" s="54">
        <v>30370.73</v>
      </c>
      <c r="I963" s="138">
        <v>0.17699999999999999</v>
      </c>
      <c r="J963" s="44" t="s">
        <v>832</v>
      </c>
      <c r="K963" s="44" t="s">
        <v>2893</v>
      </c>
    </row>
    <row r="964" spans="1:11" x14ac:dyDescent="0.3">
      <c r="A964" s="126" t="s">
        <v>390</v>
      </c>
      <c r="B964" s="126" t="s">
        <v>2895</v>
      </c>
      <c r="C964" s="53" t="s">
        <v>2760</v>
      </c>
      <c r="D964" s="53" t="s">
        <v>2484</v>
      </c>
      <c r="E964" s="131">
        <v>45944</v>
      </c>
      <c r="F964" s="127" t="s">
        <v>2485</v>
      </c>
      <c r="G964" s="127" t="s">
        <v>2890</v>
      </c>
      <c r="H964" s="54">
        <v>20470</v>
      </c>
      <c r="I964" s="138">
        <v>0.27</v>
      </c>
      <c r="J964" s="44" t="s">
        <v>1977</v>
      </c>
      <c r="K964" s="44" t="s">
        <v>1542</v>
      </c>
    </row>
    <row r="965" spans="1:11" x14ac:dyDescent="0.3">
      <c r="A965" s="126" t="s">
        <v>390</v>
      </c>
      <c r="B965" s="126" t="s">
        <v>2895</v>
      </c>
      <c r="C965" s="53" t="s">
        <v>2761</v>
      </c>
      <c r="D965" s="53" t="s">
        <v>2762</v>
      </c>
      <c r="E965" s="131">
        <v>45944</v>
      </c>
      <c r="F965" s="127" t="s">
        <v>371</v>
      </c>
      <c r="G965" s="127" t="s">
        <v>864</v>
      </c>
      <c r="H965" s="54">
        <v>29234.27</v>
      </c>
      <c r="I965" s="138">
        <v>0.19600000000000001</v>
      </c>
      <c r="J965" s="44" t="s">
        <v>832</v>
      </c>
      <c r="K965" s="44" t="s">
        <v>1541</v>
      </c>
    </row>
    <row r="966" spans="1:11" x14ac:dyDescent="0.3">
      <c r="A966" s="126" t="s">
        <v>390</v>
      </c>
      <c r="B966" s="126" t="s">
        <v>2895</v>
      </c>
      <c r="C966" s="53" t="s">
        <v>2763</v>
      </c>
      <c r="D966" s="53" t="s">
        <v>2764</v>
      </c>
      <c r="E966" s="131">
        <v>45944</v>
      </c>
      <c r="F966" s="127" t="s">
        <v>371</v>
      </c>
      <c r="G966" s="127" t="s">
        <v>864</v>
      </c>
      <c r="H966" s="54">
        <v>46346.69</v>
      </c>
      <c r="I966" s="138">
        <v>0.19</v>
      </c>
      <c r="J966" s="44" t="s">
        <v>833</v>
      </c>
      <c r="K966" s="44" t="s">
        <v>1542</v>
      </c>
    </row>
    <row r="967" spans="1:11" x14ac:dyDescent="0.3">
      <c r="A967" s="126" t="s">
        <v>390</v>
      </c>
      <c r="B967" s="126" t="s">
        <v>2895</v>
      </c>
      <c r="C967" s="53" t="s">
        <v>2765</v>
      </c>
      <c r="D967" s="53" t="s">
        <v>2764</v>
      </c>
      <c r="E967" s="131">
        <v>45944</v>
      </c>
      <c r="F967" s="127" t="s">
        <v>371</v>
      </c>
      <c r="G967" s="127" t="s">
        <v>864</v>
      </c>
      <c r="H967" s="54">
        <v>2100</v>
      </c>
      <c r="I967" s="138">
        <v>0.19</v>
      </c>
      <c r="J967" s="44" t="s">
        <v>833</v>
      </c>
      <c r="K967" s="44" t="s">
        <v>1542</v>
      </c>
    </row>
    <row r="968" spans="1:11" x14ac:dyDescent="0.3">
      <c r="A968" s="126" t="s">
        <v>390</v>
      </c>
      <c r="B968" s="126" t="s">
        <v>2895</v>
      </c>
      <c r="C968" s="53" t="s">
        <v>2766</v>
      </c>
      <c r="D968" s="53" t="s">
        <v>1804</v>
      </c>
      <c r="E968" s="131">
        <v>45945</v>
      </c>
      <c r="F968" s="127" t="s">
        <v>371</v>
      </c>
      <c r="G968" s="127" t="s">
        <v>864</v>
      </c>
      <c r="H968" s="54">
        <v>3500</v>
      </c>
      <c r="I968" s="138">
        <v>0.16500000000000001</v>
      </c>
      <c r="J968" s="44" t="s">
        <v>832</v>
      </c>
      <c r="K968" s="44" t="s">
        <v>1541</v>
      </c>
    </row>
    <row r="969" spans="1:11" x14ac:dyDescent="0.3">
      <c r="A969" s="126" t="s">
        <v>392</v>
      </c>
      <c r="B969" s="126" t="s">
        <v>2895</v>
      </c>
      <c r="C969" s="53" t="s">
        <v>2767</v>
      </c>
      <c r="D969" s="53" t="s">
        <v>2768</v>
      </c>
      <c r="E969" s="131">
        <v>45945</v>
      </c>
      <c r="F969" s="127" t="s">
        <v>374</v>
      </c>
      <c r="G969" s="127" t="s">
        <v>17</v>
      </c>
      <c r="H969" s="54">
        <v>9445</v>
      </c>
      <c r="I969" s="138">
        <v>0.629</v>
      </c>
      <c r="J969" s="44" t="s">
        <v>848</v>
      </c>
      <c r="K969" s="44" t="s">
        <v>1540</v>
      </c>
    </row>
    <row r="970" spans="1:11" x14ac:dyDescent="0.3">
      <c r="A970" s="126" t="s">
        <v>390</v>
      </c>
      <c r="B970" s="126" t="s">
        <v>2895</v>
      </c>
      <c r="C970" s="53" t="s">
        <v>2769</v>
      </c>
      <c r="D970" s="53" t="s">
        <v>2770</v>
      </c>
      <c r="E970" s="131">
        <v>45946</v>
      </c>
      <c r="F970" s="127" t="s">
        <v>371</v>
      </c>
      <c r="G970" s="127" t="s">
        <v>864</v>
      </c>
      <c r="H970" s="54">
        <v>58624.83</v>
      </c>
      <c r="I970" s="138">
        <v>0.152</v>
      </c>
      <c r="J970" s="44" t="s">
        <v>832</v>
      </c>
      <c r="K970" s="44" t="s">
        <v>1541</v>
      </c>
    </row>
    <row r="971" spans="1:11" x14ac:dyDescent="0.3">
      <c r="A971" s="126" t="s">
        <v>390</v>
      </c>
      <c r="B971" s="126" t="s">
        <v>2895</v>
      </c>
      <c r="C971" s="53" t="s">
        <v>2771</v>
      </c>
      <c r="D971" s="53" t="s">
        <v>2772</v>
      </c>
      <c r="E971" s="131">
        <v>45946</v>
      </c>
      <c r="F971" s="127" t="s">
        <v>371</v>
      </c>
      <c r="G971" s="127" t="s">
        <v>864</v>
      </c>
      <c r="H971" s="54">
        <v>23449.279999999999</v>
      </c>
      <c r="I971" s="138">
        <v>0.188</v>
      </c>
      <c r="J971" s="44" t="s">
        <v>832</v>
      </c>
      <c r="K971" s="44" t="s">
        <v>1541</v>
      </c>
    </row>
    <row r="972" spans="1:11" x14ac:dyDescent="0.3">
      <c r="A972" s="126" t="s">
        <v>390</v>
      </c>
      <c r="B972" s="126" t="s">
        <v>2895</v>
      </c>
      <c r="C972" s="53" t="s">
        <v>2773</v>
      </c>
      <c r="D972" s="53" t="s">
        <v>2774</v>
      </c>
      <c r="E972" s="131">
        <v>45946</v>
      </c>
      <c r="F972" s="127" t="s">
        <v>371</v>
      </c>
      <c r="G972" s="127" t="s">
        <v>864</v>
      </c>
      <c r="H972" s="54">
        <v>17287.900000000001</v>
      </c>
      <c r="I972" s="138">
        <v>0.20899999999999999</v>
      </c>
      <c r="J972" s="44" t="s">
        <v>832</v>
      </c>
      <c r="K972" s="44" t="s">
        <v>1541</v>
      </c>
    </row>
    <row r="973" spans="1:11" x14ac:dyDescent="0.3">
      <c r="A973" s="126" t="s">
        <v>390</v>
      </c>
      <c r="B973" s="126" t="s">
        <v>2895</v>
      </c>
      <c r="C973" s="53" t="s">
        <v>2775</v>
      </c>
      <c r="D973" s="53" t="s">
        <v>2776</v>
      </c>
      <c r="E973" s="131">
        <v>45946</v>
      </c>
      <c r="F973" s="127" t="s">
        <v>371</v>
      </c>
      <c r="G973" s="127" t="s">
        <v>864</v>
      </c>
      <c r="H973" s="54">
        <v>36032.68</v>
      </c>
      <c r="I973" s="138">
        <v>0.184</v>
      </c>
      <c r="J973" s="44" t="s">
        <v>832</v>
      </c>
      <c r="K973" s="44" t="s">
        <v>1541</v>
      </c>
    </row>
    <row r="974" spans="1:11" x14ac:dyDescent="0.3">
      <c r="A974" s="126" t="s">
        <v>390</v>
      </c>
      <c r="B974" s="126" t="s">
        <v>2895</v>
      </c>
      <c r="C974" s="53" t="s">
        <v>2777</v>
      </c>
      <c r="D974" s="53" t="s">
        <v>2778</v>
      </c>
      <c r="E974" s="131">
        <v>45946</v>
      </c>
      <c r="F974" s="127" t="s">
        <v>372</v>
      </c>
      <c r="G974" s="127" t="s">
        <v>10</v>
      </c>
      <c r="H974" s="54">
        <v>80232.52</v>
      </c>
      <c r="I974" s="138">
        <v>0.217</v>
      </c>
      <c r="J974" s="44" t="s">
        <v>831</v>
      </c>
      <c r="K974" s="44" t="s">
        <v>1542</v>
      </c>
    </row>
    <row r="975" spans="1:11" x14ac:dyDescent="0.3">
      <c r="A975" s="126" t="s">
        <v>390</v>
      </c>
      <c r="B975" s="126" t="s">
        <v>2895</v>
      </c>
      <c r="C975" s="53" t="s">
        <v>2779</v>
      </c>
      <c r="D975" s="53" t="s">
        <v>2780</v>
      </c>
      <c r="E975" s="131">
        <v>45946</v>
      </c>
      <c r="F975" s="127" t="s">
        <v>371</v>
      </c>
      <c r="G975" s="127" t="s">
        <v>864</v>
      </c>
      <c r="H975" s="54">
        <v>37331.51</v>
      </c>
      <c r="I975" s="138">
        <v>0.156</v>
      </c>
      <c r="J975" s="44" t="s">
        <v>832</v>
      </c>
      <c r="K975" s="44" t="s">
        <v>1541</v>
      </c>
    </row>
    <row r="976" spans="1:11" x14ac:dyDescent="0.3">
      <c r="A976" s="126" t="s">
        <v>392</v>
      </c>
      <c r="B976" s="126" t="s">
        <v>2895</v>
      </c>
      <c r="C976" s="53" t="s">
        <v>2781</v>
      </c>
      <c r="D976" s="53" t="s">
        <v>2782</v>
      </c>
      <c r="E976" s="131">
        <v>45946</v>
      </c>
      <c r="F976" s="127" t="s">
        <v>370</v>
      </c>
      <c r="G976" s="127" t="s">
        <v>63</v>
      </c>
      <c r="H976" s="54">
        <v>4500</v>
      </c>
      <c r="I976" s="138">
        <v>0.6</v>
      </c>
      <c r="J976" s="44" t="s">
        <v>2892</v>
      </c>
      <c r="K976" s="44" t="s">
        <v>1540</v>
      </c>
    </row>
    <row r="977" spans="1:11" x14ac:dyDescent="0.3">
      <c r="A977" s="126" t="s">
        <v>392</v>
      </c>
      <c r="B977" s="126" t="s">
        <v>2895</v>
      </c>
      <c r="C977" s="53" t="s">
        <v>2783</v>
      </c>
      <c r="D977" s="53" t="s">
        <v>2784</v>
      </c>
      <c r="E977" s="131">
        <v>45946</v>
      </c>
      <c r="F977" s="127" t="s">
        <v>370</v>
      </c>
      <c r="G977" s="127" t="s">
        <v>63</v>
      </c>
      <c r="H977" s="54">
        <v>4500</v>
      </c>
      <c r="I977" s="138">
        <v>0.6</v>
      </c>
      <c r="J977" s="44" t="s">
        <v>2892</v>
      </c>
      <c r="K977" s="44" t="s">
        <v>1540</v>
      </c>
    </row>
    <row r="978" spans="1:11" x14ac:dyDescent="0.3">
      <c r="A978" s="126" t="s">
        <v>392</v>
      </c>
      <c r="B978" s="126" t="s">
        <v>2895</v>
      </c>
      <c r="C978" s="53" t="s">
        <v>2785</v>
      </c>
      <c r="D978" s="53" t="s">
        <v>2786</v>
      </c>
      <c r="E978" s="131">
        <v>45946</v>
      </c>
      <c r="F978" s="127" t="s">
        <v>842</v>
      </c>
      <c r="G978" s="127" t="s">
        <v>843</v>
      </c>
      <c r="H978" s="54">
        <v>22000</v>
      </c>
      <c r="I978" s="138">
        <v>0.45200000000000001</v>
      </c>
      <c r="J978" s="44" t="s">
        <v>1977</v>
      </c>
      <c r="K978" s="44" t="s">
        <v>1540</v>
      </c>
    </row>
    <row r="979" spans="1:11" x14ac:dyDescent="0.3">
      <c r="A979" s="126" t="s">
        <v>390</v>
      </c>
      <c r="B979" s="126" t="s">
        <v>2895</v>
      </c>
      <c r="C979" s="53" t="s">
        <v>2787</v>
      </c>
      <c r="D979" s="53" t="s">
        <v>2707</v>
      </c>
      <c r="E979" s="131">
        <v>45947</v>
      </c>
      <c r="F979" s="127" t="s">
        <v>1007</v>
      </c>
      <c r="G979" s="127" t="s">
        <v>2250</v>
      </c>
      <c r="H979" s="54">
        <v>25995.649999999994</v>
      </c>
      <c r="I979" s="138">
        <v>0.27700000000000002</v>
      </c>
      <c r="J979" s="44" t="s">
        <v>831</v>
      </c>
      <c r="K979" s="44" t="s">
        <v>1541</v>
      </c>
    </row>
    <row r="980" spans="1:11" x14ac:dyDescent="0.3">
      <c r="A980" s="126" t="s">
        <v>392</v>
      </c>
      <c r="B980" s="126" t="s">
        <v>2895</v>
      </c>
      <c r="C980" s="53" t="s">
        <v>2788</v>
      </c>
      <c r="D980" s="53" t="s">
        <v>2789</v>
      </c>
      <c r="E980" s="131">
        <v>45947</v>
      </c>
      <c r="F980" s="127" t="s">
        <v>370</v>
      </c>
      <c r="G980" s="127" t="s">
        <v>63</v>
      </c>
      <c r="H980" s="54">
        <v>4200</v>
      </c>
      <c r="I980" s="138">
        <v>0.61899999999999999</v>
      </c>
      <c r="J980" s="44" t="s">
        <v>2892</v>
      </c>
      <c r="K980" s="44" t="s">
        <v>1540</v>
      </c>
    </row>
    <row r="981" spans="1:11" x14ac:dyDescent="0.3">
      <c r="A981" s="126" t="s">
        <v>392</v>
      </c>
      <c r="B981" s="126" t="s">
        <v>2895</v>
      </c>
      <c r="C981" s="53" t="s">
        <v>2790</v>
      </c>
      <c r="D981" s="53" t="s">
        <v>2791</v>
      </c>
      <c r="E981" s="131">
        <v>45947</v>
      </c>
      <c r="F981" s="127" t="s">
        <v>370</v>
      </c>
      <c r="G981" s="127" t="s">
        <v>63</v>
      </c>
      <c r="H981" s="54">
        <v>4200</v>
      </c>
      <c r="I981" s="138">
        <v>0.61899999999999999</v>
      </c>
      <c r="J981" s="44" t="s">
        <v>2892</v>
      </c>
      <c r="K981" s="44" t="s">
        <v>1540</v>
      </c>
    </row>
    <row r="982" spans="1:11" x14ac:dyDescent="0.3">
      <c r="A982" s="126" t="s">
        <v>390</v>
      </c>
      <c r="B982" s="126" t="s">
        <v>2895</v>
      </c>
      <c r="C982" s="53" t="s">
        <v>2792</v>
      </c>
      <c r="D982" s="53" t="s">
        <v>2793</v>
      </c>
      <c r="E982" s="131">
        <v>45947</v>
      </c>
      <c r="F982" s="127" t="s">
        <v>371</v>
      </c>
      <c r="G982" s="127" t="s">
        <v>864</v>
      </c>
      <c r="H982" s="54">
        <v>55432.71</v>
      </c>
      <c r="I982" s="138">
        <v>0.16500000000000001</v>
      </c>
      <c r="J982" s="44" t="s">
        <v>832</v>
      </c>
      <c r="K982" s="44" t="s">
        <v>1541</v>
      </c>
    </row>
    <row r="983" spans="1:11" x14ac:dyDescent="0.3">
      <c r="A983" s="126" t="s">
        <v>390</v>
      </c>
      <c r="B983" s="126" t="s">
        <v>2895</v>
      </c>
      <c r="C983" s="53" t="s">
        <v>2794</v>
      </c>
      <c r="D983" s="53" t="s">
        <v>2795</v>
      </c>
      <c r="E983" s="131">
        <v>45950</v>
      </c>
      <c r="F983" s="127" t="s">
        <v>370</v>
      </c>
      <c r="G983" s="127" t="s">
        <v>63</v>
      </c>
      <c r="H983" s="54">
        <v>8518</v>
      </c>
      <c r="I983" s="138">
        <v>0.52600000000000002</v>
      </c>
      <c r="J983" s="44" t="s">
        <v>2892</v>
      </c>
      <c r="K983" s="44" t="s">
        <v>1541</v>
      </c>
    </row>
    <row r="984" spans="1:11" x14ac:dyDescent="0.3">
      <c r="A984" s="126" t="s">
        <v>392</v>
      </c>
      <c r="B984" s="126" t="s">
        <v>2895</v>
      </c>
      <c r="C984" s="53" t="s">
        <v>2796</v>
      </c>
      <c r="D984" s="53" t="s">
        <v>2797</v>
      </c>
      <c r="E984" s="131">
        <v>45950</v>
      </c>
      <c r="F984" s="127" t="s">
        <v>844</v>
      </c>
      <c r="G984" s="127" t="s">
        <v>863</v>
      </c>
      <c r="H984" s="54">
        <v>21000</v>
      </c>
      <c r="I984" s="138">
        <v>0.33</v>
      </c>
      <c r="J984" s="44" t="s">
        <v>1977</v>
      </c>
      <c r="K984" s="44" t="s">
        <v>1540</v>
      </c>
    </row>
    <row r="985" spans="1:11" x14ac:dyDescent="0.3">
      <c r="A985" s="126" t="s">
        <v>390</v>
      </c>
      <c r="B985" s="126" t="s">
        <v>2895</v>
      </c>
      <c r="C985" s="53" t="s">
        <v>2798</v>
      </c>
      <c r="D985" s="53" t="s">
        <v>2799</v>
      </c>
      <c r="E985" s="131">
        <v>45951</v>
      </c>
      <c r="F985" s="127" t="s">
        <v>371</v>
      </c>
      <c r="G985" s="127" t="s">
        <v>864</v>
      </c>
      <c r="H985" s="54">
        <v>58914.05</v>
      </c>
      <c r="I985" s="138">
        <v>0.2</v>
      </c>
      <c r="J985" s="44" t="s">
        <v>832</v>
      </c>
      <c r="K985" s="44" t="s">
        <v>1541</v>
      </c>
    </row>
    <row r="986" spans="1:11" x14ac:dyDescent="0.3">
      <c r="A986" s="126" t="s">
        <v>390</v>
      </c>
      <c r="B986" s="126" t="s">
        <v>2895</v>
      </c>
      <c r="C986" s="53" t="s">
        <v>2800</v>
      </c>
      <c r="D986" s="53" t="s">
        <v>2801</v>
      </c>
      <c r="E986" s="131">
        <v>45951</v>
      </c>
      <c r="F986" s="127" t="s">
        <v>1325</v>
      </c>
      <c r="G986" s="127" t="s">
        <v>1326</v>
      </c>
      <c r="H986" s="54">
        <v>15536.189999999999</v>
      </c>
      <c r="I986" s="138">
        <v>0.41499999999999998</v>
      </c>
      <c r="J986" s="44" t="s">
        <v>832</v>
      </c>
      <c r="K986" s="44" t="s">
        <v>1541</v>
      </c>
    </row>
    <row r="987" spans="1:11" x14ac:dyDescent="0.3">
      <c r="A987" s="126" t="s">
        <v>390</v>
      </c>
      <c r="B987" s="126" t="s">
        <v>2895</v>
      </c>
      <c r="C987" s="53" t="s">
        <v>2802</v>
      </c>
      <c r="D987" s="53" t="s">
        <v>2803</v>
      </c>
      <c r="E987" s="131">
        <v>45951</v>
      </c>
      <c r="F987" s="127" t="s">
        <v>372</v>
      </c>
      <c r="G987" s="127" t="s">
        <v>10</v>
      </c>
      <c r="H987" s="54">
        <v>10541.98</v>
      </c>
      <c r="I987" s="138">
        <v>0.30199999999999999</v>
      </c>
      <c r="J987" s="44" t="s">
        <v>831</v>
      </c>
      <c r="K987" s="44" t="s">
        <v>1541</v>
      </c>
    </row>
    <row r="988" spans="1:11" x14ac:dyDescent="0.3">
      <c r="A988" s="126" t="s">
        <v>390</v>
      </c>
      <c r="B988" s="126" t="s">
        <v>2895</v>
      </c>
      <c r="C988" s="53" t="s">
        <v>2804</v>
      </c>
      <c r="D988" s="53" t="s">
        <v>2805</v>
      </c>
      <c r="E988" s="131">
        <v>45952</v>
      </c>
      <c r="F988" s="127" t="s">
        <v>854</v>
      </c>
      <c r="G988" s="127" t="s">
        <v>855</v>
      </c>
      <c r="H988" s="54">
        <v>16057.96</v>
      </c>
      <c r="I988" s="138"/>
    </row>
    <row r="989" spans="1:11" x14ac:dyDescent="0.3">
      <c r="A989" s="126" t="s">
        <v>392</v>
      </c>
      <c r="B989" s="126" t="s">
        <v>2895</v>
      </c>
      <c r="C989" s="53" t="s">
        <v>2806</v>
      </c>
      <c r="D989" s="53" t="s">
        <v>2807</v>
      </c>
      <c r="E989" s="131">
        <v>45953</v>
      </c>
      <c r="F989" s="127" t="s">
        <v>370</v>
      </c>
      <c r="G989" s="127" t="s">
        <v>63</v>
      </c>
      <c r="H989" s="54">
        <v>4500</v>
      </c>
      <c r="I989" s="138">
        <v>0.6</v>
      </c>
      <c r="J989" s="44" t="s">
        <v>2892</v>
      </c>
      <c r="K989" s="44" t="s">
        <v>1540</v>
      </c>
    </row>
    <row r="990" spans="1:11" x14ac:dyDescent="0.3">
      <c r="A990" s="126" t="s">
        <v>392</v>
      </c>
      <c r="B990" s="126" t="s">
        <v>2895</v>
      </c>
      <c r="C990" s="53" t="s">
        <v>2808</v>
      </c>
      <c r="D990" s="53" t="s">
        <v>2809</v>
      </c>
      <c r="E990" s="131">
        <v>45953</v>
      </c>
      <c r="F990" s="127" t="s">
        <v>370</v>
      </c>
      <c r="G990" s="127" t="s">
        <v>63</v>
      </c>
      <c r="H990" s="54">
        <v>11500</v>
      </c>
      <c r="I990" s="138">
        <v>0.53900000000000003</v>
      </c>
      <c r="J990" s="44" t="s">
        <v>2892</v>
      </c>
      <c r="K990" s="44" t="s">
        <v>1540</v>
      </c>
    </row>
    <row r="991" spans="1:11" x14ac:dyDescent="0.3">
      <c r="A991" s="126" t="s">
        <v>390</v>
      </c>
      <c r="B991" s="126" t="s">
        <v>2895</v>
      </c>
      <c r="C991" s="53" t="s">
        <v>2810</v>
      </c>
      <c r="D991" s="53" t="s">
        <v>2811</v>
      </c>
      <c r="E991" s="131">
        <v>45953</v>
      </c>
      <c r="F991" s="127" t="s">
        <v>372</v>
      </c>
      <c r="G991" s="127" t="s">
        <v>10</v>
      </c>
      <c r="H991" s="54">
        <v>3540</v>
      </c>
      <c r="I991" s="138">
        <v>0.25900000000000001</v>
      </c>
      <c r="J991" s="44" t="s">
        <v>833</v>
      </c>
      <c r="K991" s="44" t="s">
        <v>1542</v>
      </c>
    </row>
    <row r="992" spans="1:11" x14ac:dyDescent="0.3">
      <c r="A992" s="126" t="s">
        <v>390</v>
      </c>
      <c r="B992" s="126" t="s">
        <v>2895</v>
      </c>
      <c r="C992" s="53" t="s">
        <v>2812</v>
      </c>
      <c r="D992" s="53" t="s">
        <v>2813</v>
      </c>
      <c r="E992" s="131">
        <v>45953</v>
      </c>
      <c r="F992" s="127" t="s">
        <v>372</v>
      </c>
      <c r="G992" s="127" t="s">
        <v>10</v>
      </c>
      <c r="H992" s="54">
        <v>14363.73</v>
      </c>
      <c r="I992" s="138">
        <v>0.30099999999999999</v>
      </c>
      <c r="J992" s="44" t="s">
        <v>831</v>
      </c>
      <c r="K992" s="44" t="s">
        <v>1541</v>
      </c>
    </row>
    <row r="993" spans="1:11" x14ac:dyDescent="0.3">
      <c r="A993" s="126" t="s">
        <v>390</v>
      </c>
      <c r="B993" s="126" t="s">
        <v>2895</v>
      </c>
      <c r="C993" s="53" t="s">
        <v>2814</v>
      </c>
      <c r="D993" s="53" t="s">
        <v>2815</v>
      </c>
      <c r="E993" s="131">
        <v>45953</v>
      </c>
      <c r="F993" s="127" t="s">
        <v>372</v>
      </c>
      <c r="G993" s="127" t="s">
        <v>10</v>
      </c>
      <c r="H993" s="54">
        <v>13415.85</v>
      </c>
      <c r="I993" s="138">
        <v>0.251</v>
      </c>
      <c r="J993" s="44" t="s">
        <v>831</v>
      </c>
      <c r="K993" s="44" t="s">
        <v>1541</v>
      </c>
    </row>
    <row r="994" spans="1:11" x14ac:dyDescent="0.3">
      <c r="A994" s="126" t="s">
        <v>390</v>
      </c>
      <c r="B994" s="126" t="s">
        <v>2895</v>
      </c>
      <c r="C994" s="53" t="s">
        <v>2816</v>
      </c>
      <c r="D994" s="53" t="s">
        <v>2817</v>
      </c>
      <c r="E994" s="131">
        <v>45953</v>
      </c>
      <c r="F994" s="127" t="s">
        <v>372</v>
      </c>
      <c r="G994" s="127" t="s">
        <v>10</v>
      </c>
      <c r="H994" s="54">
        <v>13415.85</v>
      </c>
      <c r="I994" s="138">
        <v>0.251</v>
      </c>
      <c r="J994" s="44" t="s">
        <v>831</v>
      </c>
      <c r="K994" s="44" t="s">
        <v>1541</v>
      </c>
    </row>
    <row r="995" spans="1:11" x14ac:dyDescent="0.3">
      <c r="A995" s="126" t="s">
        <v>390</v>
      </c>
      <c r="B995" s="126" t="s">
        <v>2895</v>
      </c>
      <c r="C995" s="53" t="s">
        <v>2818</v>
      </c>
      <c r="D995" s="53" t="s">
        <v>2819</v>
      </c>
      <c r="E995" s="131">
        <v>45953</v>
      </c>
      <c r="F995" s="127" t="s">
        <v>372</v>
      </c>
      <c r="G995" s="127" t="s">
        <v>10</v>
      </c>
      <c r="H995" s="54">
        <v>3540</v>
      </c>
      <c r="I995" s="138">
        <v>0.25900000000000001</v>
      </c>
      <c r="J995" s="44" t="s">
        <v>833</v>
      </c>
      <c r="K995" s="44" t="s">
        <v>1542</v>
      </c>
    </row>
    <row r="996" spans="1:11" x14ac:dyDescent="0.3">
      <c r="A996" s="126" t="s">
        <v>390</v>
      </c>
      <c r="B996" s="126" t="s">
        <v>2895</v>
      </c>
      <c r="C996" s="53" t="s">
        <v>2820</v>
      </c>
      <c r="D996" s="53" t="s">
        <v>2821</v>
      </c>
      <c r="E996" s="131">
        <v>45953</v>
      </c>
      <c r="F996" s="127" t="s">
        <v>371</v>
      </c>
      <c r="G996" s="127" t="s">
        <v>864</v>
      </c>
      <c r="H996" s="54">
        <v>158541.99</v>
      </c>
      <c r="I996" s="138">
        <v>0.14000000000000001</v>
      </c>
      <c r="J996" s="44" t="s">
        <v>833</v>
      </c>
      <c r="K996" s="44" t="s">
        <v>1542</v>
      </c>
    </row>
    <row r="997" spans="1:11" x14ac:dyDescent="0.3">
      <c r="A997" s="126" t="s">
        <v>390</v>
      </c>
      <c r="B997" s="126" t="s">
        <v>2895</v>
      </c>
      <c r="C997" s="53" t="s">
        <v>2822</v>
      </c>
      <c r="D997" s="53" t="s">
        <v>2823</v>
      </c>
      <c r="E997" s="131">
        <v>45953</v>
      </c>
      <c r="F997" s="127" t="s">
        <v>371</v>
      </c>
      <c r="G997" s="127" t="s">
        <v>864</v>
      </c>
      <c r="H997" s="54">
        <v>21250.26999999999</v>
      </c>
      <c r="I997" s="138">
        <v>0.28000000000000003</v>
      </c>
      <c r="J997" s="44" t="s">
        <v>832</v>
      </c>
      <c r="K997" s="44" t="s">
        <v>1541</v>
      </c>
    </row>
    <row r="998" spans="1:11" x14ac:dyDescent="0.3">
      <c r="A998" s="126" t="s">
        <v>390</v>
      </c>
      <c r="B998" s="126" t="s">
        <v>2895</v>
      </c>
      <c r="C998" s="53" t="s">
        <v>2824</v>
      </c>
      <c r="D998" s="53" t="s">
        <v>2825</v>
      </c>
      <c r="E998" s="131">
        <v>45954</v>
      </c>
      <c r="F998" s="127" t="s">
        <v>371</v>
      </c>
      <c r="G998" s="127" t="s">
        <v>864</v>
      </c>
      <c r="H998" s="54">
        <v>146526.57999999999</v>
      </c>
      <c r="I998" s="138">
        <v>0.161</v>
      </c>
      <c r="J998" s="44" t="s">
        <v>833</v>
      </c>
      <c r="K998" s="44" t="s">
        <v>1542</v>
      </c>
    </row>
    <row r="999" spans="1:11" x14ac:dyDescent="0.3">
      <c r="A999" s="126" t="s">
        <v>390</v>
      </c>
      <c r="B999" s="126" t="s">
        <v>2895</v>
      </c>
      <c r="C999" s="53" t="s">
        <v>2826</v>
      </c>
      <c r="D999" s="53" t="s">
        <v>2827</v>
      </c>
      <c r="E999" s="131">
        <v>45954</v>
      </c>
      <c r="F999" s="127" t="s">
        <v>370</v>
      </c>
      <c r="G999" s="127" t="s">
        <v>63</v>
      </c>
      <c r="H999" s="54">
        <v>8443</v>
      </c>
      <c r="I999" s="138">
        <v>0.50800000000000001</v>
      </c>
      <c r="J999" s="44" t="s">
        <v>2894</v>
      </c>
      <c r="K999" s="44" t="s">
        <v>1541</v>
      </c>
    </row>
    <row r="1000" spans="1:11" x14ac:dyDescent="0.3">
      <c r="A1000" s="126" t="s">
        <v>390</v>
      </c>
      <c r="B1000" s="126" t="s">
        <v>2895</v>
      </c>
      <c r="C1000" s="53" t="s">
        <v>2828</v>
      </c>
      <c r="D1000" s="53" t="s">
        <v>2829</v>
      </c>
      <c r="E1000" s="131">
        <v>45957</v>
      </c>
      <c r="F1000" s="127" t="s">
        <v>372</v>
      </c>
      <c r="G1000" s="127" t="s">
        <v>10</v>
      </c>
      <c r="H1000" s="54">
        <v>157906.32</v>
      </c>
      <c r="I1000" s="138">
        <v>0.189</v>
      </c>
      <c r="J1000" s="44" t="s">
        <v>831</v>
      </c>
      <c r="K1000" s="44" t="s">
        <v>1542</v>
      </c>
    </row>
    <row r="1001" spans="1:11" x14ac:dyDescent="0.3">
      <c r="A1001" s="126" t="s">
        <v>392</v>
      </c>
      <c r="B1001" s="126" t="s">
        <v>2895</v>
      </c>
      <c r="C1001" s="53" t="s">
        <v>2830</v>
      </c>
      <c r="D1001" s="53" t="s">
        <v>2831</v>
      </c>
      <c r="E1001" s="131">
        <v>45957</v>
      </c>
      <c r="F1001" s="127" t="s">
        <v>372</v>
      </c>
      <c r="G1001" s="127" t="s">
        <v>10</v>
      </c>
      <c r="H1001" s="54">
        <v>7154.42</v>
      </c>
      <c r="I1001" s="138">
        <v>0.45900000000000002</v>
      </c>
      <c r="J1001" s="44" t="s">
        <v>848</v>
      </c>
      <c r="K1001" s="44" t="s">
        <v>1540</v>
      </c>
    </row>
    <row r="1002" spans="1:11" x14ac:dyDescent="0.3">
      <c r="A1002" s="126" t="s">
        <v>392</v>
      </c>
      <c r="B1002" s="126" t="s">
        <v>2895</v>
      </c>
      <c r="C1002" s="53" t="s">
        <v>2832</v>
      </c>
      <c r="D1002" s="53" t="s">
        <v>2833</v>
      </c>
      <c r="E1002" s="131">
        <v>45957</v>
      </c>
      <c r="F1002" s="127" t="s">
        <v>372</v>
      </c>
      <c r="G1002" s="127" t="s">
        <v>10</v>
      </c>
      <c r="H1002" s="54">
        <v>41500</v>
      </c>
      <c r="I1002" s="138">
        <v>0.39</v>
      </c>
      <c r="J1002" s="44" t="s">
        <v>2894</v>
      </c>
      <c r="K1002" s="44" t="s">
        <v>1540</v>
      </c>
    </row>
    <row r="1003" spans="1:11" x14ac:dyDescent="0.3">
      <c r="A1003" s="126" t="s">
        <v>390</v>
      </c>
      <c r="B1003" s="126" t="s">
        <v>2895</v>
      </c>
      <c r="C1003" s="53" t="s">
        <v>2834</v>
      </c>
      <c r="D1003" s="53" t="s">
        <v>2711</v>
      </c>
      <c r="E1003" s="131">
        <v>45957</v>
      </c>
      <c r="F1003" s="127" t="s">
        <v>370</v>
      </c>
      <c r="G1003" s="127" t="s">
        <v>63</v>
      </c>
      <c r="H1003" s="54">
        <v>3000</v>
      </c>
      <c r="I1003" s="138">
        <v>0.60299999999999998</v>
      </c>
      <c r="J1003" s="44" t="s">
        <v>2892</v>
      </c>
      <c r="K1003" s="44" t="s">
        <v>1541</v>
      </c>
    </row>
    <row r="1004" spans="1:11" x14ac:dyDescent="0.3">
      <c r="A1004" s="126" t="s">
        <v>392</v>
      </c>
      <c r="B1004" s="126" t="s">
        <v>2895</v>
      </c>
      <c r="C1004" s="53" t="s">
        <v>2835</v>
      </c>
      <c r="D1004" s="53" t="s">
        <v>2836</v>
      </c>
      <c r="E1004" s="131">
        <v>45957</v>
      </c>
      <c r="F1004" s="127" t="s">
        <v>842</v>
      </c>
      <c r="G1004" s="127" t="s">
        <v>843</v>
      </c>
      <c r="H1004" s="54">
        <v>22000</v>
      </c>
      <c r="I1004" s="138">
        <v>0.45500000000000002</v>
      </c>
      <c r="J1004" s="44" t="s">
        <v>1977</v>
      </c>
      <c r="K1004" s="44" t="s">
        <v>1540</v>
      </c>
    </row>
    <row r="1005" spans="1:11" x14ac:dyDescent="0.3">
      <c r="A1005" s="126" t="s">
        <v>390</v>
      </c>
      <c r="B1005" s="126" t="s">
        <v>2895</v>
      </c>
      <c r="C1005" s="53" t="s">
        <v>2837</v>
      </c>
      <c r="D1005" s="53" t="s">
        <v>2838</v>
      </c>
      <c r="E1005" s="131">
        <v>45958</v>
      </c>
      <c r="F1005" s="127" t="s">
        <v>372</v>
      </c>
      <c r="G1005" s="127" t="s">
        <v>10</v>
      </c>
      <c r="H1005" s="54">
        <v>31416.76</v>
      </c>
      <c r="I1005" s="138">
        <v>0.20300000000000001</v>
      </c>
      <c r="J1005" s="44" t="s">
        <v>831</v>
      </c>
      <c r="K1005" s="44" t="s">
        <v>1541</v>
      </c>
    </row>
    <row r="1006" spans="1:11" x14ac:dyDescent="0.3">
      <c r="A1006" s="126" t="s">
        <v>390</v>
      </c>
      <c r="B1006" s="126" t="s">
        <v>2895</v>
      </c>
      <c r="C1006" s="53" t="s">
        <v>2839</v>
      </c>
      <c r="D1006" s="53" t="s">
        <v>2840</v>
      </c>
      <c r="E1006" s="131">
        <v>45958</v>
      </c>
      <c r="F1006" s="127" t="s">
        <v>372</v>
      </c>
      <c r="G1006" s="127" t="s">
        <v>10</v>
      </c>
      <c r="H1006" s="54">
        <v>75072.009999999995</v>
      </c>
      <c r="I1006" s="138">
        <v>0.191</v>
      </c>
      <c r="J1006" s="44" t="s">
        <v>831</v>
      </c>
      <c r="K1006" s="44" t="s">
        <v>1542</v>
      </c>
    </row>
    <row r="1007" spans="1:11" x14ac:dyDescent="0.3">
      <c r="A1007" s="126" t="s">
        <v>390</v>
      </c>
      <c r="B1007" s="126" t="s">
        <v>2895</v>
      </c>
      <c r="C1007" s="53" t="s">
        <v>2841</v>
      </c>
      <c r="D1007" s="53" t="s">
        <v>2842</v>
      </c>
      <c r="E1007" s="131">
        <v>45958</v>
      </c>
      <c r="F1007" s="127" t="s">
        <v>371</v>
      </c>
      <c r="G1007" s="127" t="s">
        <v>864</v>
      </c>
      <c r="H1007" s="54">
        <v>38320.65</v>
      </c>
      <c r="I1007" s="138">
        <v>0.20599999999999999</v>
      </c>
      <c r="J1007" s="44" t="s">
        <v>832</v>
      </c>
      <c r="K1007" s="44" t="s">
        <v>1541</v>
      </c>
    </row>
    <row r="1008" spans="1:11" x14ac:dyDescent="0.3">
      <c r="A1008" s="126" t="s">
        <v>390</v>
      </c>
      <c r="B1008" s="126" t="s">
        <v>2895</v>
      </c>
      <c r="C1008" s="53" t="s">
        <v>2843</v>
      </c>
      <c r="D1008" s="53" t="s">
        <v>2844</v>
      </c>
      <c r="E1008" s="131">
        <v>45958</v>
      </c>
      <c r="F1008" s="127" t="s">
        <v>371</v>
      </c>
      <c r="G1008" s="127" t="s">
        <v>864</v>
      </c>
      <c r="H1008" s="54">
        <v>17490.11</v>
      </c>
      <c r="I1008" s="138">
        <v>0.185</v>
      </c>
      <c r="J1008" s="44" t="s">
        <v>832</v>
      </c>
      <c r="K1008" s="44" t="s">
        <v>1541</v>
      </c>
    </row>
    <row r="1009" spans="1:11" x14ac:dyDescent="0.3">
      <c r="A1009" s="126" t="s">
        <v>390</v>
      </c>
      <c r="B1009" s="126" t="s">
        <v>2895</v>
      </c>
      <c r="C1009" s="53" t="s">
        <v>2845</v>
      </c>
      <c r="D1009" s="53" t="s">
        <v>2846</v>
      </c>
      <c r="E1009" s="131">
        <v>45958</v>
      </c>
      <c r="F1009" s="127" t="s">
        <v>371</v>
      </c>
      <c r="G1009" s="127" t="s">
        <v>864</v>
      </c>
      <c r="H1009" s="54">
        <v>27809.16</v>
      </c>
      <c r="I1009" s="138">
        <v>0.17899999999999999</v>
      </c>
      <c r="J1009" s="44" t="s">
        <v>832</v>
      </c>
      <c r="K1009" s="44" t="s">
        <v>1541</v>
      </c>
    </row>
    <row r="1010" spans="1:11" x14ac:dyDescent="0.3">
      <c r="A1010" s="126" t="s">
        <v>390</v>
      </c>
      <c r="B1010" s="126" t="s">
        <v>2895</v>
      </c>
      <c r="C1010" s="53" t="s">
        <v>2847</v>
      </c>
      <c r="D1010" s="53" t="s">
        <v>2848</v>
      </c>
      <c r="E1010" s="131">
        <v>45958</v>
      </c>
      <c r="F1010" s="127" t="s">
        <v>371</v>
      </c>
      <c r="G1010" s="127" t="s">
        <v>864</v>
      </c>
      <c r="H1010" s="54">
        <v>17490.129999999997</v>
      </c>
      <c r="I1010" s="138">
        <v>0.20399999999999999</v>
      </c>
      <c r="J1010" s="44" t="s">
        <v>832</v>
      </c>
      <c r="K1010" s="44" t="s">
        <v>1541</v>
      </c>
    </row>
    <row r="1011" spans="1:11" x14ac:dyDescent="0.3">
      <c r="A1011" s="126" t="s">
        <v>392</v>
      </c>
      <c r="B1011" s="126" t="s">
        <v>2895</v>
      </c>
      <c r="C1011" s="53" t="s">
        <v>2849</v>
      </c>
      <c r="D1011" s="53" t="s">
        <v>2850</v>
      </c>
      <c r="E1011" s="131">
        <v>45958</v>
      </c>
      <c r="F1011" s="127" t="s">
        <v>370</v>
      </c>
      <c r="G1011" s="127" t="s">
        <v>63</v>
      </c>
      <c r="H1011" s="54">
        <v>4200</v>
      </c>
      <c r="I1011" s="138">
        <v>0.61899999999999999</v>
      </c>
      <c r="J1011" s="44" t="s">
        <v>1977</v>
      </c>
      <c r="K1011" s="44" t="s">
        <v>1540</v>
      </c>
    </row>
    <row r="1012" spans="1:11" x14ac:dyDescent="0.3">
      <c r="A1012" s="126" t="s">
        <v>392</v>
      </c>
      <c r="B1012" s="126" t="s">
        <v>2895</v>
      </c>
      <c r="C1012" s="53" t="s">
        <v>2851</v>
      </c>
      <c r="D1012" s="53" t="s">
        <v>2852</v>
      </c>
      <c r="E1012" s="131">
        <v>45958</v>
      </c>
      <c r="F1012" s="127" t="s">
        <v>370</v>
      </c>
      <c r="G1012" s="127" t="s">
        <v>63</v>
      </c>
      <c r="H1012" s="54">
        <v>4200</v>
      </c>
      <c r="I1012" s="138">
        <v>0.61899999999999999</v>
      </c>
      <c r="J1012" s="44" t="s">
        <v>2892</v>
      </c>
      <c r="K1012" s="44" t="s">
        <v>1540</v>
      </c>
    </row>
    <row r="1013" spans="1:11" x14ac:dyDescent="0.3">
      <c r="A1013" s="126" t="s">
        <v>392</v>
      </c>
      <c r="B1013" s="126" t="s">
        <v>2895</v>
      </c>
      <c r="C1013" s="53" t="s">
        <v>2853</v>
      </c>
      <c r="D1013" s="53" t="s">
        <v>2854</v>
      </c>
      <c r="E1013" s="131">
        <v>45958</v>
      </c>
      <c r="F1013" s="127" t="s">
        <v>370</v>
      </c>
      <c r="G1013" s="127" t="s">
        <v>63</v>
      </c>
      <c r="H1013" s="54">
        <v>4200</v>
      </c>
      <c r="I1013" s="138">
        <v>0.61899999999999999</v>
      </c>
      <c r="J1013" s="44" t="s">
        <v>2892</v>
      </c>
      <c r="K1013" s="44" t="s">
        <v>1540</v>
      </c>
    </row>
    <row r="1014" spans="1:11" x14ac:dyDescent="0.3">
      <c r="A1014" s="126" t="s">
        <v>390</v>
      </c>
      <c r="B1014" s="126" t="s">
        <v>2895</v>
      </c>
      <c r="C1014" s="53" t="s">
        <v>2855</v>
      </c>
      <c r="D1014" s="53" t="s">
        <v>2823</v>
      </c>
      <c r="E1014" s="131">
        <v>45959</v>
      </c>
      <c r="F1014" s="127" t="s">
        <v>371</v>
      </c>
      <c r="G1014" s="127" t="s">
        <v>864</v>
      </c>
      <c r="H1014" s="54">
        <v>3500</v>
      </c>
      <c r="I1014" s="138">
        <v>0.28000000000000003</v>
      </c>
      <c r="J1014" s="44" t="s">
        <v>832</v>
      </c>
      <c r="K1014" s="44" t="s">
        <v>1541</v>
      </c>
    </row>
    <row r="1015" spans="1:11" x14ac:dyDescent="0.3">
      <c r="A1015" s="126" t="s">
        <v>390</v>
      </c>
      <c r="B1015" s="126" t="s">
        <v>2895</v>
      </c>
      <c r="C1015" s="53" t="s">
        <v>2856</v>
      </c>
      <c r="D1015" s="53" t="s">
        <v>2857</v>
      </c>
      <c r="E1015" s="131">
        <v>45959</v>
      </c>
      <c r="F1015" s="127" t="s">
        <v>370</v>
      </c>
      <c r="G1015" s="127" t="s">
        <v>63</v>
      </c>
      <c r="H1015" s="54">
        <v>10000</v>
      </c>
      <c r="I1015" s="138">
        <v>0.45700000000000002</v>
      </c>
      <c r="J1015" s="44" t="s">
        <v>2892</v>
      </c>
      <c r="K1015" s="44" t="s">
        <v>1541</v>
      </c>
    </row>
    <row r="1016" spans="1:11" x14ac:dyDescent="0.3">
      <c r="A1016" s="126" t="s">
        <v>390</v>
      </c>
      <c r="B1016" s="126" t="s">
        <v>2895</v>
      </c>
      <c r="C1016" s="53" t="s">
        <v>2858</v>
      </c>
      <c r="D1016" s="53" t="s">
        <v>2859</v>
      </c>
      <c r="E1016" s="131">
        <v>45960</v>
      </c>
      <c r="F1016" s="127" t="s">
        <v>370</v>
      </c>
      <c r="G1016" s="127" t="s">
        <v>63</v>
      </c>
      <c r="H1016" s="54">
        <v>8290</v>
      </c>
      <c r="I1016" s="138">
        <v>0.51300000000000001</v>
      </c>
      <c r="J1016" s="44" t="s">
        <v>2892</v>
      </c>
      <c r="K1016" s="44" t="s">
        <v>1541</v>
      </c>
    </row>
    <row r="1017" spans="1:11" x14ac:dyDescent="0.3">
      <c r="A1017" s="126" t="s">
        <v>390</v>
      </c>
      <c r="B1017" s="126" t="s">
        <v>2895</v>
      </c>
      <c r="C1017" s="53" t="s">
        <v>2860</v>
      </c>
      <c r="D1017" s="53" t="s">
        <v>2861</v>
      </c>
      <c r="E1017" s="131">
        <v>45960</v>
      </c>
      <c r="F1017" s="127" t="s">
        <v>371</v>
      </c>
      <c r="G1017" s="127" t="s">
        <v>864</v>
      </c>
      <c r="H1017" s="54">
        <v>139110.76999999999</v>
      </c>
      <c r="I1017" s="138">
        <v>0.14399999999999999</v>
      </c>
      <c r="J1017" s="44" t="s">
        <v>832</v>
      </c>
      <c r="K1017" s="44" t="s">
        <v>1541</v>
      </c>
    </row>
    <row r="1018" spans="1:11" x14ac:dyDescent="0.3">
      <c r="A1018" s="126" t="s">
        <v>392</v>
      </c>
      <c r="B1018" s="126" t="s">
        <v>2895</v>
      </c>
      <c r="C1018" s="53" t="s">
        <v>2862</v>
      </c>
      <c r="D1018" s="53" t="s">
        <v>2863</v>
      </c>
      <c r="E1018" s="131">
        <v>45960</v>
      </c>
      <c r="F1018" s="127" t="s">
        <v>370</v>
      </c>
      <c r="G1018" s="127" t="s">
        <v>63</v>
      </c>
      <c r="H1018" s="54">
        <v>4200</v>
      </c>
      <c r="I1018" s="138">
        <v>0.61899999999999999</v>
      </c>
      <c r="J1018" s="44" t="s">
        <v>1977</v>
      </c>
      <c r="K1018" s="44" t="s">
        <v>1540</v>
      </c>
    </row>
    <row r="1019" spans="1:11" x14ac:dyDescent="0.3">
      <c r="A1019" s="126" t="s">
        <v>390</v>
      </c>
      <c r="B1019" s="126" t="s">
        <v>2895</v>
      </c>
      <c r="C1019" s="53" t="s">
        <v>2864</v>
      </c>
      <c r="D1019" s="53" t="s">
        <v>2865</v>
      </c>
      <c r="E1019" s="131">
        <v>45960</v>
      </c>
      <c r="F1019" s="127" t="s">
        <v>370</v>
      </c>
      <c r="G1019" s="127" t="s">
        <v>63</v>
      </c>
      <c r="H1019" s="54">
        <v>7057</v>
      </c>
      <c r="I1019" s="138">
        <v>0.56200000000000006</v>
      </c>
      <c r="J1019" s="44" t="s">
        <v>1977</v>
      </c>
      <c r="K1019" s="44" t="s">
        <v>1541</v>
      </c>
    </row>
    <row r="1020" spans="1:11" x14ac:dyDescent="0.3">
      <c r="A1020" s="126" t="s">
        <v>392</v>
      </c>
      <c r="B1020" s="126" t="s">
        <v>2895</v>
      </c>
      <c r="C1020" s="53" t="s">
        <v>2866</v>
      </c>
      <c r="D1020" s="53" t="s">
        <v>2867</v>
      </c>
      <c r="E1020" s="131">
        <v>45960</v>
      </c>
      <c r="F1020" s="127" t="s">
        <v>370</v>
      </c>
      <c r="G1020" s="127" t="s">
        <v>63</v>
      </c>
      <c r="H1020" s="54">
        <v>4200</v>
      </c>
      <c r="I1020" s="138">
        <v>0.61899999999999999</v>
      </c>
      <c r="J1020" s="44" t="s">
        <v>1977</v>
      </c>
      <c r="K1020" s="44" t="s">
        <v>1540</v>
      </c>
    </row>
    <row r="1021" spans="1:11" x14ac:dyDescent="0.3">
      <c r="A1021" s="126" t="s">
        <v>390</v>
      </c>
      <c r="B1021" s="126" t="s">
        <v>2895</v>
      </c>
      <c r="C1021" s="53" t="s">
        <v>2868</v>
      </c>
      <c r="D1021" s="53" t="s">
        <v>2869</v>
      </c>
      <c r="E1021" s="131">
        <v>45960</v>
      </c>
      <c r="F1021" s="127" t="s">
        <v>2891</v>
      </c>
      <c r="G1021" s="127" t="s">
        <v>2717</v>
      </c>
      <c r="H1021" s="54">
        <v>60956.42</v>
      </c>
      <c r="I1021" s="138">
        <v>0.22900000000000001</v>
      </c>
      <c r="J1021" s="44" t="s">
        <v>832</v>
      </c>
      <c r="K1021" s="44" t="s">
        <v>1541</v>
      </c>
    </row>
    <row r="1022" spans="1:11" x14ac:dyDescent="0.3">
      <c r="A1022" s="126" t="s">
        <v>390</v>
      </c>
      <c r="B1022" s="126" t="s">
        <v>2895</v>
      </c>
      <c r="C1022" s="53" t="s">
        <v>2870</v>
      </c>
      <c r="D1022" s="53" t="s">
        <v>2871</v>
      </c>
      <c r="E1022" s="131">
        <v>45960</v>
      </c>
      <c r="F1022" s="127" t="s">
        <v>371</v>
      </c>
      <c r="G1022" s="127" t="s">
        <v>864</v>
      </c>
      <c r="H1022" s="54">
        <v>101346.36</v>
      </c>
      <c r="I1022" s="138">
        <v>0.151</v>
      </c>
      <c r="J1022" s="44" t="s">
        <v>833</v>
      </c>
      <c r="K1022" s="44" t="s">
        <v>1542</v>
      </c>
    </row>
    <row r="1023" spans="1:11" x14ac:dyDescent="0.3">
      <c r="A1023" s="126" t="s">
        <v>390</v>
      </c>
      <c r="B1023" s="126" t="s">
        <v>2895</v>
      </c>
      <c r="C1023" s="53" t="s">
        <v>2872</v>
      </c>
      <c r="D1023" s="53" t="s">
        <v>2549</v>
      </c>
      <c r="E1023" s="131">
        <v>45961</v>
      </c>
      <c r="F1023" s="127" t="s">
        <v>1007</v>
      </c>
      <c r="G1023" s="127" t="s">
        <v>2250</v>
      </c>
      <c r="H1023" s="54">
        <v>15795.550000000003</v>
      </c>
      <c r="I1023" s="138">
        <v>0.16200000000000001</v>
      </c>
      <c r="J1023" s="44" t="s">
        <v>831</v>
      </c>
      <c r="K1023" s="44" t="s">
        <v>1542</v>
      </c>
    </row>
    <row r="1024" spans="1:11" x14ac:dyDescent="0.3">
      <c r="A1024" s="126" t="s">
        <v>390</v>
      </c>
      <c r="B1024" s="126" t="s">
        <v>2895</v>
      </c>
      <c r="C1024" s="53" t="s">
        <v>2873</v>
      </c>
      <c r="D1024" s="53" t="s">
        <v>2874</v>
      </c>
      <c r="E1024" s="131">
        <v>45961</v>
      </c>
      <c r="F1024" s="127" t="s">
        <v>371</v>
      </c>
      <c r="G1024" s="127" t="s">
        <v>864</v>
      </c>
      <c r="H1024" s="54">
        <v>106244.28999999998</v>
      </c>
      <c r="I1024" s="138">
        <v>0.14399999999999999</v>
      </c>
      <c r="J1024" s="44" t="s">
        <v>833</v>
      </c>
      <c r="K1024" s="44" t="s">
        <v>1542</v>
      </c>
    </row>
    <row r="1025" spans="1:11" x14ac:dyDescent="0.3">
      <c r="A1025" s="126" t="s">
        <v>390</v>
      </c>
      <c r="B1025" s="126" t="s">
        <v>2895</v>
      </c>
      <c r="C1025" s="53" t="s">
        <v>2875</v>
      </c>
      <c r="D1025" s="53" t="s">
        <v>2876</v>
      </c>
      <c r="E1025" s="131">
        <v>45961</v>
      </c>
      <c r="F1025" s="127" t="s">
        <v>371</v>
      </c>
      <c r="G1025" s="127" t="s">
        <v>864</v>
      </c>
      <c r="H1025" s="54">
        <v>113906.38</v>
      </c>
      <c r="I1025" s="138">
        <v>0.24299999999999999</v>
      </c>
      <c r="J1025" s="44" t="s">
        <v>833</v>
      </c>
      <c r="K1025" s="44" t="s">
        <v>1542</v>
      </c>
    </row>
    <row r="1026" spans="1:11" x14ac:dyDescent="0.3">
      <c r="A1026" s="126" t="s">
        <v>392</v>
      </c>
      <c r="B1026" s="126" t="s">
        <v>2895</v>
      </c>
      <c r="C1026" s="53" t="s">
        <v>2877</v>
      </c>
      <c r="D1026" s="53" t="s">
        <v>2878</v>
      </c>
      <c r="E1026" s="131">
        <v>45961</v>
      </c>
      <c r="F1026" s="127" t="s">
        <v>371</v>
      </c>
      <c r="G1026" s="127" t="s">
        <v>864</v>
      </c>
      <c r="H1026" s="54">
        <v>7400</v>
      </c>
      <c r="I1026" s="138">
        <v>0.28199999999999997</v>
      </c>
      <c r="J1026" s="44" t="s">
        <v>832</v>
      </c>
      <c r="K1026" s="44" t="s">
        <v>1540</v>
      </c>
    </row>
    <row r="1027" spans="1:11" x14ac:dyDescent="0.3">
      <c r="A1027" s="126" t="s">
        <v>392</v>
      </c>
      <c r="B1027" s="126" t="s">
        <v>2895</v>
      </c>
      <c r="C1027" s="53" t="s">
        <v>2879</v>
      </c>
      <c r="D1027" s="53" t="s">
        <v>2880</v>
      </c>
      <c r="E1027" s="131">
        <v>45961</v>
      </c>
      <c r="F1027" s="127" t="s">
        <v>371</v>
      </c>
      <c r="G1027" s="127" t="s">
        <v>864</v>
      </c>
      <c r="H1027" s="54">
        <v>7400</v>
      </c>
      <c r="I1027" s="138">
        <v>0.41699999999999998</v>
      </c>
      <c r="J1027" s="44" t="s">
        <v>832</v>
      </c>
      <c r="K1027" s="44" t="s">
        <v>1540</v>
      </c>
    </row>
    <row r="1028" spans="1:11" x14ac:dyDescent="0.3">
      <c r="A1028" s="126" t="s">
        <v>390</v>
      </c>
      <c r="B1028" s="126" t="s">
        <v>2895</v>
      </c>
      <c r="C1028" s="53" t="s">
        <v>2881</v>
      </c>
      <c r="D1028" s="53" t="s">
        <v>2882</v>
      </c>
      <c r="E1028" s="131">
        <v>45961</v>
      </c>
      <c r="F1028" s="127" t="s">
        <v>371</v>
      </c>
      <c r="G1028" s="127" t="s">
        <v>864</v>
      </c>
      <c r="H1028" s="54">
        <v>19188.7</v>
      </c>
      <c r="I1028" s="138">
        <v>0.26200000000000001</v>
      </c>
      <c r="J1028" s="44" t="s">
        <v>832</v>
      </c>
      <c r="K1028" s="44" t="s">
        <v>1541</v>
      </c>
    </row>
    <row r="1029" spans="1:11" x14ac:dyDescent="0.3">
      <c r="A1029" s="126" t="s">
        <v>390</v>
      </c>
      <c r="B1029" s="126" t="s">
        <v>2895</v>
      </c>
      <c r="C1029" s="53" t="s">
        <v>2883</v>
      </c>
      <c r="D1029" s="53" t="s">
        <v>2884</v>
      </c>
      <c r="E1029" s="131">
        <v>45961</v>
      </c>
      <c r="F1029" s="127" t="s">
        <v>371</v>
      </c>
      <c r="G1029" s="127" t="s">
        <v>864</v>
      </c>
      <c r="H1029" s="54">
        <v>19087.900000000001</v>
      </c>
      <c r="I1029" s="138">
        <v>0.22800000000000001</v>
      </c>
      <c r="J1029" s="44" t="s">
        <v>832</v>
      </c>
      <c r="K1029" s="44" t="s">
        <v>1541</v>
      </c>
    </row>
    <row r="1030" spans="1:11" x14ac:dyDescent="0.3">
      <c r="A1030" s="126" t="s">
        <v>390</v>
      </c>
      <c r="B1030" s="126" t="s">
        <v>2895</v>
      </c>
      <c r="C1030" s="53" t="s">
        <v>2885</v>
      </c>
      <c r="D1030" s="53" t="s">
        <v>2886</v>
      </c>
      <c r="E1030" s="131">
        <v>45961</v>
      </c>
      <c r="F1030" s="127" t="s">
        <v>371</v>
      </c>
      <c r="G1030" s="127" t="s">
        <v>864</v>
      </c>
      <c r="H1030" s="54">
        <v>19290.11</v>
      </c>
      <c r="I1030" s="138">
        <v>0.23</v>
      </c>
      <c r="J1030" s="44" t="s">
        <v>832</v>
      </c>
      <c r="K1030" s="44" t="s">
        <v>1541</v>
      </c>
    </row>
    <row r="1031" spans="1:11" x14ac:dyDescent="0.3">
      <c r="A1031" s="126" t="s">
        <v>392</v>
      </c>
      <c r="B1031" s="126" t="s">
        <v>2895</v>
      </c>
      <c r="C1031" s="53" t="s">
        <v>2887</v>
      </c>
      <c r="D1031" s="53" t="s">
        <v>2888</v>
      </c>
      <c r="E1031" s="131">
        <v>45961</v>
      </c>
      <c r="F1031" s="127" t="s">
        <v>370</v>
      </c>
      <c r="G1031" s="127" t="s">
        <v>63</v>
      </c>
      <c r="H1031" s="54">
        <v>4500</v>
      </c>
      <c r="I1031" s="138">
        <v>0.33800000000000002</v>
      </c>
      <c r="J1031" s="44" t="s">
        <v>2892</v>
      </c>
      <c r="K1031" s="44" t="s">
        <v>1540</v>
      </c>
    </row>
    <row r="1032" spans="1:11" x14ac:dyDescent="0.3">
      <c r="A1032" s="126" t="s">
        <v>392</v>
      </c>
      <c r="B1032" s="126" t="s">
        <v>2895</v>
      </c>
      <c r="C1032" s="53" t="s">
        <v>2896</v>
      </c>
      <c r="D1032" s="53" t="s">
        <v>2897</v>
      </c>
      <c r="E1032" s="131">
        <v>45939</v>
      </c>
      <c r="F1032" s="127" t="s">
        <v>844</v>
      </c>
      <c r="G1032" s="127" t="s">
        <v>863</v>
      </c>
      <c r="H1032" s="54">
        <v>110086.2</v>
      </c>
      <c r="I1032" s="138">
        <v>0.182</v>
      </c>
      <c r="J1032" s="44" t="s">
        <v>2909</v>
      </c>
      <c r="K1032" s="44" t="s">
        <v>1540</v>
      </c>
    </row>
    <row r="1033" spans="1:11" x14ac:dyDescent="0.3">
      <c r="A1033" s="126" t="s">
        <v>390</v>
      </c>
      <c r="B1033" s="126" t="s">
        <v>2895</v>
      </c>
      <c r="C1033" s="53" t="s">
        <v>2898</v>
      </c>
      <c r="D1033" s="53" t="s">
        <v>2899</v>
      </c>
      <c r="E1033" s="131">
        <v>45944</v>
      </c>
      <c r="F1033" s="127" t="s">
        <v>372</v>
      </c>
      <c r="G1033" s="127" t="s">
        <v>10</v>
      </c>
      <c r="H1033" s="54">
        <v>64853.48</v>
      </c>
      <c r="I1033" s="138">
        <v>0.27300000000000002</v>
      </c>
      <c r="J1033" s="44" t="s">
        <v>831</v>
      </c>
      <c r="K1033" s="44" t="s">
        <v>1542</v>
      </c>
    </row>
    <row r="1034" spans="1:11" x14ac:dyDescent="0.3">
      <c r="A1034" s="126" t="s">
        <v>392</v>
      </c>
      <c r="B1034" s="126" t="s">
        <v>2895</v>
      </c>
      <c r="C1034" s="53" t="s">
        <v>2900</v>
      </c>
      <c r="D1034" s="53" t="s">
        <v>2901</v>
      </c>
      <c r="E1034" s="131">
        <v>45957</v>
      </c>
      <c r="F1034" s="127" t="s">
        <v>844</v>
      </c>
      <c r="G1034" s="127" t="s">
        <v>863</v>
      </c>
      <c r="H1034" s="54">
        <v>110368.8</v>
      </c>
      <c r="I1034" s="138">
        <v>0.182</v>
      </c>
      <c r="J1034" s="44" t="s">
        <v>2909</v>
      </c>
      <c r="K1034" s="44" t="s">
        <v>1540</v>
      </c>
    </row>
    <row r="1035" spans="1:11" x14ac:dyDescent="0.3">
      <c r="A1035" s="126" t="s">
        <v>390</v>
      </c>
      <c r="B1035" s="126" t="s">
        <v>2895</v>
      </c>
      <c r="C1035" s="53" t="s">
        <v>2902</v>
      </c>
      <c r="D1035" s="53" t="s">
        <v>2903</v>
      </c>
      <c r="E1035" s="131">
        <v>45958</v>
      </c>
      <c r="F1035" s="127" t="s">
        <v>2281</v>
      </c>
      <c r="G1035" s="127" t="s">
        <v>2305</v>
      </c>
      <c r="H1035" s="54">
        <v>5148.9759999999997</v>
      </c>
      <c r="I1035" s="138">
        <v>1</v>
      </c>
      <c r="J1035" s="44" t="s">
        <v>831</v>
      </c>
      <c r="K1035" s="44" t="s">
        <v>1542</v>
      </c>
    </row>
    <row r="1036" spans="1:11" x14ac:dyDescent="0.3">
      <c r="A1036" s="126" t="s">
        <v>392</v>
      </c>
      <c r="B1036" s="126" t="s">
        <v>2895</v>
      </c>
      <c r="C1036" s="53" t="s">
        <v>2904</v>
      </c>
      <c r="D1036" s="53" t="s">
        <v>2905</v>
      </c>
      <c r="E1036" s="131">
        <v>45958</v>
      </c>
      <c r="F1036" s="127" t="s">
        <v>844</v>
      </c>
      <c r="G1036" s="127" t="s">
        <v>863</v>
      </c>
      <c r="H1036" s="54">
        <v>34950.120000000003</v>
      </c>
      <c r="I1036" s="138">
        <v>0.183</v>
      </c>
      <c r="J1036" s="44" t="s">
        <v>2909</v>
      </c>
      <c r="K1036" s="44" t="s">
        <v>1540</v>
      </c>
    </row>
    <row r="1037" spans="1:11" x14ac:dyDescent="0.3">
      <c r="A1037" s="126" t="s">
        <v>390</v>
      </c>
      <c r="B1037" s="126" t="s">
        <v>2895</v>
      </c>
      <c r="C1037" s="53" t="s">
        <v>2906</v>
      </c>
      <c r="D1037" s="53" t="s">
        <v>2549</v>
      </c>
      <c r="E1037" s="131">
        <v>45961</v>
      </c>
      <c r="F1037" s="127" t="s">
        <v>1007</v>
      </c>
      <c r="G1037" s="127" t="s">
        <v>2250</v>
      </c>
      <c r="H1037" s="54">
        <v>84607.432000000001</v>
      </c>
      <c r="I1037" s="138">
        <v>0.16200000000000001</v>
      </c>
      <c r="J1037" s="44" t="s">
        <v>831</v>
      </c>
      <c r="K1037" s="44" t="s">
        <v>1542</v>
      </c>
    </row>
    <row r="1038" spans="1:11" x14ac:dyDescent="0.3">
      <c r="A1038" s="126" t="s">
        <v>392</v>
      </c>
      <c r="B1038" s="126" t="s">
        <v>2895</v>
      </c>
      <c r="C1038" s="53" t="s">
        <v>2907</v>
      </c>
      <c r="D1038" s="53" t="s">
        <v>2908</v>
      </c>
      <c r="E1038" s="131">
        <v>45961</v>
      </c>
      <c r="F1038" s="127" t="s">
        <v>844</v>
      </c>
      <c r="G1038" s="127" t="s">
        <v>863</v>
      </c>
      <c r="H1038" s="54">
        <v>14645.02</v>
      </c>
      <c r="I1038" s="138">
        <v>0.19700000000000001</v>
      </c>
      <c r="J1038" s="44" t="s">
        <v>2909</v>
      </c>
      <c r="K1038" s="44" t="s">
        <v>1540</v>
      </c>
    </row>
    <row r="1039" spans="1:11" x14ac:dyDescent="0.3">
      <c r="A1039" s="126" t="s">
        <v>392</v>
      </c>
      <c r="B1039" s="126" t="s">
        <v>59</v>
      </c>
      <c r="C1039" s="53" t="s">
        <v>2912</v>
      </c>
      <c r="D1039" s="53" t="s">
        <v>3005</v>
      </c>
      <c r="E1039" s="131">
        <v>45971</v>
      </c>
      <c r="F1039" s="127" t="s">
        <v>370</v>
      </c>
      <c r="G1039" s="127" t="s">
        <v>63</v>
      </c>
      <c r="H1039" s="54">
        <v>800</v>
      </c>
      <c r="I1039" s="138">
        <v>0.193</v>
      </c>
      <c r="J1039" s="44" t="s">
        <v>1835</v>
      </c>
      <c r="K1039" s="44" t="s">
        <v>1540</v>
      </c>
    </row>
    <row r="1040" spans="1:11" x14ac:dyDescent="0.3">
      <c r="A1040" s="126" t="s">
        <v>392</v>
      </c>
      <c r="B1040" s="126" t="s">
        <v>59</v>
      </c>
      <c r="C1040" s="53" t="s">
        <v>2913</v>
      </c>
      <c r="D1040" s="53" t="s">
        <v>3006</v>
      </c>
      <c r="E1040" s="131">
        <v>45971</v>
      </c>
      <c r="F1040" s="127" t="s">
        <v>370</v>
      </c>
      <c r="G1040" s="127" t="s">
        <v>63</v>
      </c>
      <c r="H1040" s="54">
        <v>4200</v>
      </c>
      <c r="I1040" s="138">
        <v>0.61899999999999999</v>
      </c>
      <c r="J1040" s="44" t="s">
        <v>1977</v>
      </c>
      <c r="K1040" s="44" t="s">
        <v>1540</v>
      </c>
    </row>
    <row r="1041" spans="1:11" x14ac:dyDescent="0.3">
      <c r="A1041" s="126" t="s">
        <v>390</v>
      </c>
      <c r="B1041" s="126" t="s">
        <v>59</v>
      </c>
      <c r="C1041" s="53" t="s">
        <v>2914</v>
      </c>
      <c r="D1041" s="53" t="s">
        <v>3007</v>
      </c>
      <c r="E1041" s="131">
        <v>45971</v>
      </c>
      <c r="F1041" s="127" t="s">
        <v>372</v>
      </c>
      <c r="G1041" s="127" t="s">
        <v>10</v>
      </c>
      <c r="H1041" s="54">
        <v>11210.77</v>
      </c>
      <c r="I1041" s="138">
        <v>0.47299999999999998</v>
      </c>
      <c r="J1041" s="44" t="s">
        <v>831</v>
      </c>
      <c r="K1041" s="44" t="s">
        <v>1541</v>
      </c>
    </row>
    <row r="1042" spans="1:11" x14ac:dyDescent="0.3">
      <c r="A1042" s="126" t="s">
        <v>392</v>
      </c>
      <c r="B1042" s="126" t="s">
        <v>59</v>
      </c>
      <c r="C1042" s="53" t="s">
        <v>2915</v>
      </c>
      <c r="D1042" s="53" t="s">
        <v>3008</v>
      </c>
      <c r="E1042" s="131">
        <v>45971</v>
      </c>
      <c r="F1042" s="127" t="s">
        <v>372</v>
      </c>
      <c r="G1042" s="127" t="s">
        <v>10</v>
      </c>
      <c r="H1042" s="54">
        <v>12580.49</v>
      </c>
      <c r="I1042" s="138">
        <v>0.51100000000000001</v>
      </c>
      <c r="J1042" s="44" t="s">
        <v>3109</v>
      </c>
      <c r="K1042" s="44" t="s">
        <v>1540</v>
      </c>
    </row>
    <row r="1043" spans="1:11" x14ac:dyDescent="0.3">
      <c r="A1043" s="126" t="s">
        <v>392</v>
      </c>
      <c r="B1043" s="126" t="s">
        <v>59</v>
      </c>
      <c r="C1043" s="53" t="s">
        <v>2916</v>
      </c>
      <c r="D1043" s="53" t="s">
        <v>3009</v>
      </c>
      <c r="E1043" s="131">
        <v>45971</v>
      </c>
      <c r="F1043" s="127" t="s">
        <v>372</v>
      </c>
      <c r="G1043" s="127" t="s">
        <v>10</v>
      </c>
      <c r="H1043" s="54">
        <v>4200</v>
      </c>
      <c r="I1043" s="138">
        <v>0.47</v>
      </c>
      <c r="J1043" s="44" t="s">
        <v>3109</v>
      </c>
      <c r="K1043" s="44" t="s">
        <v>1540</v>
      </c>
    </row>
    <row r="1044" spans="1:11" x14ac:dyDescent="0.3">
      <c r="A1044" s="126" t="s">
        <v>390</v>
      </c>
      <c r="B1044" s="126" t="s">
        <v>59</v>
      </c>
      <c r="C1044" s="53" t="s">
        <v>2917</v>
      </c>
      <c r="D1044" s="53" t="s">
        <v>3010</v>
      </c>
      <c r="E1044" s="131">
        <v>45971</v>
      </c>
      <c r="F1044" s="127" t="s">
        <v>371</v>
      </c>
      <c r="G1044" s="127" t="s">
        <v>864</v>
      </c>
      <c r="H1044" s="54">
        <v>14183.29</v>
      </c>
      <c r="I1044" s="138">
        <v>0.498</v>
      </c>
      <c r="J1044" s="44" t="s">
        <v>3111</v>
      </c>
      <c r="K1044" s="44" t="s">
        <v>1541</v>
      </c>
    </row>
    <row r="1045" spans="1:11" x14ac:dyDescent="0.3">
      <c r="A1045" s="126" t="s">
        <v>390</v>
      </c>
      <c r="B1045" s="126" t="s">
        <v>59</v>
      </c>
      <c r="C1045" s="53" t="s">
        <v>2918</v>
      </c>
      <c r="D1045" s="53" t="s">
        <v>3011</v>
      </c>
      <c r="E1045" s="131">
        <v>45971</v>
      </c>
      <c r="F1045" s="127" t="s">
        <v>371</v>
      </c>
      <c r="G1045" s="127" t="s">
        <v>864</v>
      </c>
      <c r="H1045" s="54">
        <v>10888</v>
      </c>
      <c r="I1045" s="138">
        <v>0.55800000000000005</v>
      </c>
      <c r="J1045" s="44" t="s">
        <v>3111</v>
      </c>
      <c r="K1045" s="44" t="s">
        <v>1541</v>
      </c>
    </row>
    <row r="1046" spans="1:11" x14ac:dyDescent="0.3">
      <c r="A1046" s="126" t="s">
        <v>392</v>
      </c>
      <c r="B1046" s="126" t="s">
        <v>59</v>
      </c>
      <c r="C1046" s="53" t="s">
        <v>2919</v>
      </c>
      <c r="D1046" s="53" t="s">
        <v>3012</v>
      </c>
      <c r="E1046" s="131">
        <v>45971</v>
      </c>
      <c r="F1046" s="127" t="s">
        <v>371</v>
      </c>
      <c r="G1046" s="127" t="s">
        <v>864</v>
      </c>
      <c r="H1046" s="54">
        <v>18900</v>
      </c>
      <c r="I1046" s="138">
        <v>0.33900000000000002</v>
      </c>
      <c r="J1046" s="44" t="s">
        <v>3111</v>
      </c>
      <c r="K1046" s="44" t="s">
        <v>1540</v>
      </c>
    </row>
    <row r="1047" spans="1:11" x14ac:dyDescent="0.3">
      <c r="A1047" s="126" t="s">
        <v>392</v>
      </c>
      <c r="B1047" s="126" t="s">
        <v>59</v>
      </c>
      <c r="C1047" s="53" t="s">
        <v>2920</v>
      </c>
      <c r="D1047" s="53" t="s">
        <v>3013</v>
      </c>
      <c r="E1047" s="131">
        <v>45971</v>
      </c>
      <c r="F1047" s="127" t="s">
        <v>370</v>
      </c>
      <c r="G1047" s="127" t="s">
        <v>63</v>
      </c>
      <c r="H1047" s="54">
        <v>4500</v>
      </c>
      <c r="I1047" s="138">
        <v>0.6</v>
      </c>
      <c r="J1047" s="44" t="s">
        <v>1835</v>
      </c>
      <c r="K1047" s="44" t="s">
        <v>1540</v>
      </c>
    </row>
    <row r="1048" spans="1:11" x14ac:dyDescent="0.3">
      <c r="A1048" s="126" t="s">
        <v>390</v>
      </c>
      <c r="B1048" s="126" t="s">
        <v>59</v>
      </c>
      <c r="C1048" s="53" t="s">
        <v>2921</v>
      </c>
      <c r="D1048" s="53" t="s">
        <v>3014</v>
      </c>
      <c r="E1048" s="131">
        <v>45971</v>
      </c>
      <c r="F1048" s="127" t="s">
        <v>368</v>
      </c>
      <c r="G1048" s="127" t="s">
        <v>2911</v>
      </c>
      <c r="H1048" s="54">
        <v>20580.62</v>
      </c>
      <c r="I1048" s="138">
        <v>0.40100000000000002</v>
      </c>
      <c r="J1048" s="44" t="s">
        <v>3111</v>
      </c>
      <c r="K1048" s="44" t="s">
        <v>1541</v>
      </c>
    </row>
    <row r="1049" spans="1:11" x14ac:dyDescent="0.3">
      <c r="A1049" s="126" t="s">
        <v>392</v>
      </c>
      <c r="B1049" s="126" t="s">
        <v>59</v>
      </c>
      <c r="C1049" s="53" t="s">
        <v>2922</v>
      </c>
      <c r="D1049" s="53" t="s">
        <v>3015</v>
      </c>
      <c r="E1049" s="131">
        <v>45971</v>
      </c>
      <c r="F1049" s="127" t="s">
        <v>372</v>
      </c>
      <c r="G1049" s="127" t="s">
        <v>10</v>
      </c>
      <c r="H1049" s="54">
        <v>42000</v>
      </c>
      <c r="I1049" s="138">
        <v>0.29299999999999998</v>
      </c>
      <c r="J1049" s="44" t="s">
        <v>3109</v>
      </c>
      <c r="K1049" s="44" t="s">
        <v>1540</v>
      </c>
    </row>
    <row r="1050" spans="1:11" x14ac:dyDescent="0.3">
      <c r="A1050" s="126" t="s">
        <v>390</v>
      </c>
      <c r="B1050" s="126" t="s">
        <v>59</v>
      </c>
      <c r="C1050" s="53" t="s">
        <v>2923</v>
      </c>
      <c r="D1050" s="53" t="s">
        <v>3016</v>
      </c>
      <c r="E1050" s="131">
        <v>45972</v>
      </c>
      <c r="F1050" s="127" t="s">
        <v>371</v>
      </c>
      <c r="G1050" s="127" t="s">
        <v>864</v>
      </c>
      <c r="H1050" s="54">
        <v>13857.43</v>
      </c>
      <c r="I1050" s="138">
        <v>0.47099999999999997</v>
      </c>
      <c r="J1050" s="44" t="s">
        <v>3111</v>
      </c>
      <c r="K1050" s="44" t="s">
        <v>1541</v>
      </c>
    </row>
    <row r="1051" spans="1:11" x14ac:dyDescent="0.3">
      <c r="A1051" s="126" t="s">
        <v>392</v>
      </c>
      <c r="B1051" s="126" t="s">
        <v>59</v>
      </c>
      <c r="C1051" s="53" t="s">
        <v>2924</v>
      </c>
      <c r="D1051" s="53" t="s">
        <v>3017</v>
      </c>
      <c r="E1051" s="131">
        <v>45972</v>
      </c>
      <c r="F1051" s="127" t="s">
        <v>374</v>
      </c>
      <c r="G1051" s="127" t="s">
        <v>17</v>
      </c>
      <c r="H1051" s="54">
        <v>5500</v>
      </c>
      <c r="I1051" s="138">
        <v>0.58199999999999996</v>
      </c>
      <c r="J1051" s="44" t="s">
        <v>3109</v>
      </c>
      <c r="K1051" s="44" t="s">
        <v>1540</v>
      </c>
    </row>
    <row r="1052" spans="1:11" x14ac:dyDescent="0.3">
      <c r="A1052" s="126" t="s">
        <v>390</v>
      </c>
      <c r="B1052" s="126" t="s">
        <v>59</v>
      </c>
      <c r="C1052" s="53" t="s">
        <v>2925</v>
      </c>
      <c r="D1052" s="53" t="s">
        <v>3018</v>
      </c>
      <c r="E1052" s="131">
        <v>45972</v>
      </c>
      <c r="F1052" s="127" t="s">
        <v>371</v>
      </c>
      <c r="G1052" s="127" t="s">
        <v>864</v>
      </c>
      <c r="H1052" s="54">
        <v>13294.67</v>
      </c>
      <c r="I1052" s="138">
        <v>0.48599999999999999</v>
      </c>
      <c r="J1052" s="44" t="s">
        <v>3111</v>
      </c>
      <c r="K1052" s="44" t="s">
        <v>1541</v>
      </c>
    </row>
    <row r="1053" spans="1:11" x14ac:dyDescent="0.3">
      <c r="A1053" s="126" t="s">
        <v>390</v>
      </c>
      <c r="B1053" s="126" t="s">
        <v>59</v>
      </c>
      <c r="C1053" s="53" t="s">
        <v>2926</v>
      </c>
      <c r="D1053" s="53" t="s">
        <v>3019</v>
      </c>
      <c r="E1053" s="131">
        <v>45972</v>
      </c>
      <c r="F1053" s="127" t="s">
        <v>372</v>
      </c>
      <c r="G1053" s="127" t="s">
        <v>10</v>
      </c>
      <c r="H1053" s="54">
        <v>106330.53</v>
      </c>
      <c r="I1053" s="138">
        <v>0.224</v>
      </c>
      <c r="J1053" s="44" t="s">
        <v>831</v>
      </c>
      <c r="K1053" s="44" t="s">
        <v>1542</v>
      </c>
    </row>
    <row r="1054" spans="1:11" x14ac:dyDescent="0.3">
      <c r="A1054" s="126" t="s">
        <v>390</v>
      </c>
      <c r="B1054" s="126" t="s">
        <v>59</v>
      </c>
      <c r="C1054" s="53" t="s">
        <v>2927</v>
      </c>
      <c r="D1054" s="53" t="s">
        <v>3020</v>
      </c>
      <c r="E1054" s="131">
        <v>45973</v>
      </c>
      <c r="F1054" s="127" t="s">
        <v>371</v>
      </c>
      <c r="G1054" s="127" t="s">
        <v>864</v>
      </c>
      <c r="H1054" s="54">
        <v>13332.37</v>
      </c>
      <c r="I1054" s="138">
        <v>0.48799999999999999</v>
      </c>
      <c r="J1054" s="44" t="s">
        <v>3111</v>
      </c>
      <c r="K1054" s="44" t="s">
        <v>1541</v>
      </c>
    </row>
    <row r="1055" spans="1:11" x14ac:dyDescent="0.3">
      <c r="A1055" s="126" t="s">
        <v>390</v>
      </c>
      <c r="B1055" s="126" t="s">
        <v>59</v>
      </c>
      <c r="C1055" s="53" t="s">
        <v>2928</v>
      </c>
      <c r="D1055" s="53" t="s">
        <v>3021</v>
      </c>
      <c r="E1055" s="131">
        <v>45973</v>
      </c>
      <c r="F1055" s="127" t="s">
        <v>371</v>
      </c>
      <c r="G1055" s="127" t="s">
        <v>864</v>
      </c>
      <c r="H1055" s="54">
        <v>16413.27</v>
      </c>
      <c r="I1055" s="138">
        <v>0.41799999999999998</v>
      </c>
      <c r="J1055" s="44" t="s">
        <v>3111</v>
      </c>
      <c r="K1055" s="44" t="s">
        <v>1541</v>
      </c>
    </row>
    <row r="1056" spans="1:11" x14ac:dyDescent="0.3">
      <c r="A1056" s="126" t="s">
        <v>390</v>
      </c>
      <c r="B1056" s="126" t="s">
        <v>59</v>
      </c>
      <c r="C1056" s="53" t="s">
        <v>2929</v>
      </c>
      <c r="D1056" s="53" t="s">
        <v>3022</v>
      </c>
      <c r="E1056" s="131">
        <v>45973</v>
      </c>
      <c r="F1056" s="127" t="s">
        <v>371</v>
      </c>
      <c r="G1056" s="127" t="s">
        <v>864</v>
      </c>
      <c r="H1056" s="54">
        <v>383686.34</v>
      </c>
      <c r="I1056" s="138">
        <v>0.14699999999999999</v>
      </c>
      <c r="J1056" s="44" t="s">
        <v>833</v>
      </c>
      <c r="K1056" s="44" t="s">
        <v>1542</v>
      </c>
    </row>
    <row r="1057" spans="1:11" x14ac:dyDescent="0.3">
      <c r="A1057" s="126" t="s">
        <v>390</v>
      </c>
      <c r="B1057" s="126" t="s">
        <v>59</v>
      </c>
      <c r="C1057" s="53" t="s">
        <v>2930</v>
      </c>
      <c r="D1057" s="53" t="s">
        <v>3023</v>
      </c>
      <c r="E1057" s="131">
        <v>45975</v>
      </c>
      <c r="F1057" s="127" t="s">
        <v>371</v>
      </c>
      <c r="G1057" s="127" t="s">
        <v>864</v>
      </c>
      <c r="H1057" s="54">
        <v>39696.870000000003</v>
      </c>
      <c r="I1057" s="138">
        <v>0.185</v>
      </c>
      <c r="J1057" s="44" t="s">
        <v>3111</v>
      </c>
      <c r="K1057" s="44" t="s">
        <v>1541</v>
      </c>
    </row>
    <row r="1058" spans="1:11" x14ac:dyDescent="0.3">
      <c r="A1058" s="126" t="s">
        <v>390</v>
      </c>
      <c r="B1058" s="126" t="s">
        <v>59</v>
      </c>
      <c r="C1058" s="53" t="s">
        <v>2931</v>
      </c>
      <c r="D1058" s="53" t="s">
        <v>3024</v>
      </c>
      <c r="E1058" s="131">
        <v>45975</v>
      </c>
      <c r="F1058" s="127" t="s">
        <v>371</v>
      </c>
      <c r="G1058" s="127" t="s">
        <v>864</v>
      </c>
      <c r="H1058" s="54">
        <v>32380.66</v>
      </c>
      <c r="I1058" s="138">
        <v>0.19700000000000001</v>
      </c>
      <c r="J1058" s="44" t="s">
        <v>3111</v>
      </c>
      <c r="K1058" s="44" t="s">
        <v>1541</v>
      </c>
    </row>
    <row r="1059" spans="1:11" x14ac:dyDescent="0.3">
      <c r="A1059" s="126" t="s">
        <v>390</v>
      </c>
      <c r="B1059" s="126" t="s">
        <v>59</v>
      </c>
      <c r="C1059" s="53" t="s">
        <v>2932</v>
      </c>
      <c r="D1059" s="53" t="s">
        <v>3025</v>
      </c>
      <c r="E1059" s="131">
        <v>45975</v>
      </c>
      <c r="F1059" s="127" t="s">
        <v>371</v>
      </c>
      <c r="G1059" s="127" t="s">
        <v>864</v>
      </c>
      <c r="H1059" s="54">
        <v>32572</v>
      </c>
      <c r="I1059" s="138">
        <v>0.19700000000000001</v>
      </c>
      <c r="J1059" s="44" t="s">
        <v>3111</v>
      </c>
      <c r="K1059" s="44" t="s">
        <v>1541</v>
      </c>
    </row>
    <row r="1060" spans="1:11" x14ac:dyDescent="0.3">
      <c r="A1060" s="126" t="s">
        <v>390</v>
      </c>
      <c r="B1060" s="126" t="s">
        <v>59</v>
      </c>
      <c r="C1060" s="53" t="s">
        <v>2933</v>
      </c>
      <c r="D1060" s="53" t="s">
        <v>3026</v>
      </c>
      <c r="E1060" s="131">
        <v>45975</v>
      </c>
      <c r="F1060" s="127" t="s">
        <v>371</v>
      </c>
      <c r="G1060" s="127" t="s">
        <v>864</v>
      </c>
      <c r="H1060" s="54">
        <v>38203.339999999997</v>
      </c>
      <c r="I1060" s="138">
        <v>0.17499999999999999</v>
      </c>
      <c r="J1060" s="44" t="s">
        <v>3111</v>
      </c>
      <c r="K1060" s="44" t="s">
        <v>1541</v>
      </c>
    </row>
    <row r="1061" spans="1:11" x14ac:dyDescent="0.3">
      <c r="A1061" s="126" t="s">
        <v>390</v>
      </c>
      <c r="B1061" s="126" t="s">
        <v>59</v>
      </c>
      <c r="C1061" s="53" t="s">
        <v>2934</v>
      </c>
      <c r="D1061" s="53" t="s">
        <v>3027</v>
      </c>
      <c r="E1061" s="131">
        <v>45975</v>
      </c>
      <c r="F1061" s="127" t="s">
        <v>371</v>
      </c>
      <c r="G1061" s="127" t="s">
        <v>864</v>
      </c>
      <c r="H1061" s="54">
        <v>15961.42</v>
      </c>
      <c r="I1061" s="138">
        <v>0.26600000000000001</v>
      </c>
      <c r="J1061" s="44" t="s">
        <v>3111</v>
      </c>
      <c r="K1061" s="44" t="s">
        <v>1541</v>
      </c>
    </row>
    <row r="1062" spans="1:11" x14ac:dyDescent="0.3">
      <c r="A1062" s="126" t="s">
        <v>390</v>
      </c>
      <c r="B1062" s="126" t="s">
        <v>59</v>
      </c>
      <c r="C1062" s="53" t="s">
        <v>2935</v>
      </c>
      <c r="D1062" s="53" t="s">
        <v>3028</v>
      </c>
      <c r="E1062" s="131">
        <v>45975</v>
      </c>
      <c r="F1062" s="127" t="s">
        <v>371</v>
      </c>
      <c r="G1062" s="127" t="s">
        <v>864</v>
      </c>
      <c r="H1062" s="54">
        <v>25843.94</v>
      </c>
      <c r="I1062" s="138">
        <v>0.214</v>
      </c>
      <c r="J1062" s="44" t="s">
        <v>3111</v>
      </c>
      <c r="K1062" s="44" t="s">
        <v>1541</v>
      </c>
    </row>
    <row r="1063" spans="1:11" x14ac:dyDescent="0.3">
      <c r="A1063" s="126" t="s">
        <v>392</v>
      </c>
      <c r="B1063" s="126" t="s">
        <v>59</v>
      </c>
      <c r="C1063" s="53" t="s">
        <v>2936</v>
      </c>
      <c r="D1063" s="53" t="s">
        <v>3029</v>
      </c>
      <c r="E1063" s="131">
        <v>45975</v>
      </c>
      <c r="F1063" s="127" t="s">
        <v>2131</v>
      </c>
      <c r="G1063" s="127" t="s">
        <v>2132</v>
      </c>
      <c r="H1063" s="54">
        <v>26100</v>
      </c>
      <c r="I1063" s="138">
        <v>0.33200000000000002</v>
      </c>
      <c r="J1063" s="44" t="s">
        <v>3112</v>
      </c>
      <c r="K1063" s="44" t="s">
        <v>1540</v>
      </c>
    </row>
    <row r="1064" spans="1:11" x14ac:dyDescent="0.3">
      <c r="A1064" s="126" t="s">
        <v>392</v>
      </c>
      <c r="B1064" s="126" t="s">
        <v>59</v>
      </c>
      <c r="C1064" s="53" t="s">
        <v>2937</v>
      </c>
      <c r="D1064" s="53" t="s">
        <v>3030</v>
      </c>
      <c r="E1064" s="131">
        <v>45979</v>
      </c>
      <c r="F1064" s="127" t="s">
        <v>372</v>
      </c>
      <c r="G1064" s="127" t="s">
        <v>10</v>
      </c>
      <c r="H1064" s="54">
        <v>17000</v>
      </c>
      <c r="I1064" s="138">
        <v>0.34699999999999998</v>
      </c>
      <c r="J1064" s="44" t="s">
        <v>3109</v>
      </c>
      <c r="K1064" s="44" t="s">
        <v>1540</v>
      </c>
    </row>
    <row r="1065" spans="1:11" x14ac:dyDescent="0.3">
      <c r="A1065" s="126" t="s">
        <v>392</v>
      </c>
      <c r="B1065" s="126" t="s">
        <v>59</v>
      </c>
      <c r="C1065" s="53" t="s">
        <v>2938</v>
      </c>
      <c r="D1065" s="53" t="s">
        <v>3031</v>
      </c>
      <c r="E1065" s="131">
        <v>45979</v>
      </c>
      <c r="F1065" s="127" t="s">
        <v>372</v>
      </c>
      <c r="G1065" s="127" t="s">
        <v>10</v>
      </c>
      <c r="H1065" s="54">
        <v>17000</v>
      </c>
      <c r="I1065" s="138">
        <v>0.34699999999999998</v>
      </c>
      <c r="J1065" s="44" t="s">
        <v>3109</v>
      </c>
      <c r="K1065" s="44" t="s">
        <v>1540</v>
      </c>
    </row>
    <row r="1066" spans="1:11" x14ac:dyDescent="0.3">
      <c r="A1066" s="126" t="s">
        <v>390</v>
      </c>
      <c r="B1066" s="126" t="s">
        <v>59</v>
      </c>
      <c r="C1066" s="53" t="s">
        <v>2939</v>
      </c>
      <c r="D1066" s="53" t="s">
        <v>3032</v>
      </c>
      <c r="E1066" s="131">
        <v>45979</v>
      </c>
      <c r="F1066" s="127" t="s">
        <v>372</v>
      </c>
      <c r="G1066" s="127" t="s">
        <v>10</v>
      </c>
      <c r="H1066" s="54">
        <v>12749.2</v>
      </c>
      <c r="I1066" s="138">
        <v>0.23</v>
      </c>
      <c r="J1066" s="44" t="s">
        <v>3112</v>
      </c>
      <c r="K1066" s="44" t="s">
        <v>1541</v>
      </c>
    </row>
    <row r="1067" spans="1:11" x14ac:dyDescent="0.3">
      <c r="A1067" s="126" t="s">
        <v>392</v>
      </c>
      <c r="B1067" s="126" t="s">
        <v>59</v>
      </c>
      <c r="C1067" s="53" t="s">
        <v>2940</v>
      </c>
      <c r="D1067" s="53" t="s">
        <v>3033</v>
      </c>
      <c r="E1067" s="131">
        <v>45979</v>
      </c>
      <c r="F1067" s="127" t="s">
        <v>370</v>
      </c>
      <c r="G1067" s="127" t="s">
        <v>63</v>
      </c>
      <c r="H1067" s="54">
        <v>10500</v>
      </c>
      <c r="I1067" s="138">
        <v>0.54300000000000004</v>
      </c>
      <c r="J1067" s="44" t="s">
        <v>1835</v>
      </c>
      <c r="K1067" s="44" t="s">
        <v>1540</v>
      </c>
    </row>
    <row r="1068" spans="1:11" x14ac:dyDescent="0.3">
      <c r="A1068" s="126" t="s">
        <v>392</v>
      </c>
      <c r="B1068" s="126" t="s">
        <v>59</v>
      </c>
      <c r="C1068" s="53" t="s">
        <v>2941</v>
      </c>
      <c r="D1068" s="53" t="s">
        <v>3034</v>
      </c>
      <c r="E1068" s="131">
        <v>45982</v>
      </c>
      <c r="F1068" s="127" t="s">
        <v>372</v>
      </c>
      <c r="G1068" s="127" t="s">
        <v>10</v>
      </c>
      <c r="H1068" s="54">
        <v>16500</v>
      </c>
      <c r="I1068" s="138">
        <v>0.32700000000000001</v>
      </c>
      <c r="J1068" s="44" t="s">
        <v>3109</v>
      </c>
      <c r="K1068" s="44" t="s">
        <v>1540</v>
      </c>
    </row>
    <row r="1069" spans="1:11" x14ac:dyDescent="0.3">
      <c r="A1069" s="126" t="s">
        <v>392</v>
      </c>
      <c r="B1069" s="126" t="s">
        <v>59</v>
      </c>
      <c r="C1069" s="53" t="s">
        <v>2942</v>
      </c>
      <c r="D1069" s="53" t="s">
        <v>3035</v>
      </c>
      <c r="E1069" s="131">
        <v>45982</v>
      </c>
      <c r="F1069" s="127" t="s">
        <v>372</v>
      </c>
      <c r="G1069" s="127" t="s">
        <v>10</v>
      </c>
      <c r="H1069" s="54">
        <v>42000</v>
      </c>
      <c r="I1069" s="138">
        <v>0.41</v>
      </c>
      <c r="J1069" s="44" t="s">
        <v>3109</v>
      </c>
      <c r="K1069" s="44" t="s">
        <v>1540</v>
      </c>
    </row>
    <row r="1070" spans="1:11" x14ac:dyDescent="0.3">
      <c r="A1070" s="126" t="s">
        <v>390</v>
      </c>
      <c r="B1070" s="126" t="s">
        <v>59</v>
      </c>
      <c r="C1070" s="53" t="s">
        <v>2943</v>
      </c>
      <c r="D1070" s="53" t="s">
        <v>3036</v>
      </c>
      <c r="E1070" s="131">
        <v>45982</v>
      </c>
      <c r="F1070" s="127" t="s">
        <v>370</v>
      </c>
      <c r="G1070" s="127" t="s">
        <v>63</v>
      </c>
      <c r="H1070" s="54">
        <v>10092</v>
      </c>
      <c r="I1070" s="138">
        <v>0.45100000000000001</v>
      </c>
      <c r="J1070" s="44" t="s">
        <v>1977</v>
      </c>
      <c r="K1070" s="44" t="s">
        <v>1541</v>
      </c>
    </row>
    <row r="1071" spans="1:11" x14ac:dyDescent="0.3">
      <c r="A1071" s="126" t="s">
        <v>392</v>
      </c>
      <c r="B1071" s="126" t="s">
        <v>59</v>
      </c>
      <c r="C1071" s="53" t="s">
        <v>2944</v>
      </c>
      <c r="D1071" s="53" t="s">
        <v>3037</v>
      </c>
      <c r="E1071" s="131">
        <v>45982</v>
      </c>
      <c r="F1071" s="127" t="s">
        <v>370</v>
      </c>
      <c r="G1071" s="127" t="s">
        <v>63</v>
      </c>
      <c r="H1071" s="54">
        <v>7826.6</v>
      </c>
      <c r="I1071" s="138">
        <v>0.69599999999999995</v>
      </c>
      <c r="J1071" s="44" t="s">
        <v>1977</v>
      </c>
      <c r="K1071" s="44" t="s">
        <v>1540</v>
      </c>
    </row>
    <row r="1072" spans="1:11" x14ac:dyDescent="0.3">
      <c r="A1072" s="126" t="s">
        <v>390</v>
      </c>
      <c r="B1072" s="126" t="s">
        <v>59</v>
      </c>
      <c r="C1072" s="53" t="s">
        <v>2945</v>
      </c>
      <c r="D1072" s="53" t="s">
        <v>3038</v>
      </c>
      <c r="E1072" s="131">
        <v>45982</v>
      </c>
      <c r="F1072" s="127" t="s">
        <v>371</v>
      </c>
      <c r="G1072" s="127" t="s">
        <v>864</v>
      </c>
      <c r="H1072" s="54">
        <v>432834.37</v>
      </c>
      <c r="I1072" s="138">
        <v>0.19600000000000001</v>
      </c>
      <c r="J1072" s="44" t="s">
        <v>833</v>
      </c>
      <c r="K1072" s="44" t="s">
        <v>1542</v>
      </c>
    </row>
    <row r="1073" spans="1:11" x14ac:dyDescent="0.3">
      <c r="A1073" s="126" t="s">
        <v>390</v>
      </c>
      <c r="B1073" s="126" t="s">
        <v>59</v>
      </c>
      <c r="C1073" s="53" t="s">
        <v>2946</v>
      </c>
      <c r="D1073" s="53" t="s">
        <v>3039</v>
      </c>
      <c r="E1073" s="131">
        <v>45982</v>
      </c>
      <c r="F1073" s="127" t="s">
        <v>371</v>
      </c>
      <c r="G1073" s="127" t="s">
        <v>864</v>
      </c>
      <c r="H1073" s="54">
        <v>77013.42</v>
      </c>
      <c r="I1073" s="138">
        <v>0.16</v>
      </c>
      <c r="J1073" s="44" t="s">
        <v>3111</v>
      </c>
      <c r="K1073" s="44" t="s">
        <v>1541</v>
      </c>
    </row>
    <row r="1074" spans="1:11" x14ac:dyDescent="0.3">
      <c r="A1074" s="126" t="s">
        <v>390</v>
      </c>
      <c r="B1074" s="126" t="s">
        <v>59</v>
      </c>
      <c r="C1074" s="53" t="s">
        <v>2947</v>
      </c>
      <c r="D1074" s="53" t="s">
        <v>3040</v>
      </c>
      <c r="E1074" s="131">
        <v>45982</v>
      </c>
      <c r="F1074" s="127" t="s">
        <v>371</v>
      </c>
      <c r="G1074" s="127" t="s">
        <v>864</v>
      </c>
      <c r="H1074" s="54">
        <v>27743.56</v>
      </c>
      <c r="I1074" s="138">
        <v>0.17699999999999999</v>
      </c>
      <c r="J1074" s="44" t="s">
        <v>3111</v>
      </c>
      <c r="K1074" s="44" t="s">
        <v>1541</v>
      </c>
    </row>
    <row r="1075" spans="1:11" x14ac:dyDescent="0.3">
      <c r="A1075" s="126" t="s">
        <v>390</v>
      </c>
      <c r="B1075" s="126" t="s">
        <v>59</v>
      </c>
      <c r="C1075" s="53" t="s">
        <v>2948</v>
      </c>
      <c r="D1075" s="53" t="s">
        <v>3041</v>
      </c>
      <c r="E1075" s="131">
        <v>45982</v>
      </c>
      <c r="F1075" s="127" t="s">
        <v>371</v>
      </c>
      <c r="G1075" s="127" t="s">
        <v>864</v>
      </c>
      <c r="H1075" s="54">
        <v>29965.09</v>
      </c>
      <c r="I1075" s="138">
        <v>0.22</v>
      </c>
      <c r="J1075" s="44" t="s">
        <v>3111</v>
      </c>
      <c r="K1075" s="44" t="s">
        <v>1541</v>
      </c>
    </row>
    <row r="1076" spans="1:11" x14ac:dyDescent="0.3">
      <c r="A1076" s="126" t="s">
        <v>390</v>
      </c>
      <c r="B1076" s="126" t="s">
        <v>59</v>
      </c>
      <c r="C1076" s="53" t="s">
        <v>2949</v>
      </c>
      <c r="D1076" s="53" t="s">
        <v>3042</v>
      </c>
      <c r="E1076" s="131">
        <v>45982</v>
      </c>
      <c r="F1076" s="127" t="s">
        <v>371</v>
      </c>
      <c r="G1076" s="127" t="s">
        <v>864</v>
      </c>
      <c r="H1076" s="54">
        <v>38625.199999999997</v>
      </c>
      <c r="I1076" s="138">
        <v>0.2</v>
      </c>
      <c r="J1076" s="44" t="s">
        <v>3111</v>
      </c>
      <c r="K1076" s="44" t="s">
        <v>1541</v>
      </c>
    </row>
    <row r="1077" spans="1:11" x14ac:dyDescent="0.3">
      <c r="A1077" s="126" t="s">
        <v>390</v>
      </c>
      <c r="B1077" s="126" t="s">
        <v>59</v>
      </c>
      <c r="C1077" s="53" t="s">
        <v>2950</v>
      </c>
      <c r="D1077" s="53" t="s">
        <v>3043</v>
      </c>
      <c r="E1077" s="131">
        <v>45982</v>
      </c>
      <c r="F1077" s="127" t="s">
        <v>371</v>
      </c>
      <c r="G1077" s="127" t="s">
        <v>864</v>
      </c>
      <c r="H1077" s="54">
        <v>51336.21</v>
      </c>
      <c r="I1077" s="138">
        <v>0.214</v>
      </c>
      <c r="J1077" s="44" t="s">
        <v>3111</v>
      </c>
      <c r="K1077" s="44" t="s">
        <v>1541</v>
      </c>
    </row>
    <row r="1078" spans="1:11" x14ac:dyDescent="0.3">
      <c r="A1078" s="126" t="s">
        <v>390</v>
      </c>
      <c r="B1078" s="126" t="s">
        <v>59</v>
      </c>
      <c r="C1078" s="53" t="s">
        <v>2951</v>
      </c>
      <c r="D1078" s="53" t="s">
        <v>3044</v>
      </c>
      <c r="E1078" s="131">
        <v>45982</v>
      </c>
      <c r="F1078" s="127" t="s">
        <v>371</v>
      </c>
      <c r="G1078" s="127" t="s">
        <v>864</v>
      </c>
      <c r="H1078" s="54">
        <v>26982.97</v>
      </c>
      <c r="I1078" s="138">
        <v>0.18099999999999999</v>
      </c>
      <c r="J1078" s="44" t="s">
        <v>3111</v>
      </c>
      <c r="K1078" s="44" t="s">
        <v>1541</v>
      </c>
    </row>
    <row r="1079" spans="1:11" x14ac:dyDescent="0.3">
      <c r="A1079" s="126" t="s">
        <v>390</v>
      </c>
      <c r="B1079" s="126" t="s">
        <v>59</v>
      </c>
      <c r="C1079" s="53" t="s">
        <v>2952</v>
      </c>
      <c r="D1079" s="53" t="s">
        <v>3045</v>
      </c>
      <c r="E1079" s="131">
        <v>45982</v>
      </c>
      <c r="F1079" s="127" t="s">
        <v>371</v>
      </c>
      <c r="G1079" s="127" t="s">
        <v>864</v>
      </c>
      <c r="H1079" s="54">
        <v>25120.97</v>
      </c>
      <c r="I1079" s="138">
        <v>0.185</v>
      </c>
      <c r="J1079" s="44" t="s">
        <v>3111</v>
      </c>
      <c r="K1079" s="44" t="s">
        <v>1541</v>
      </c>
    </row>
    <row r="1080" spans="1:11" x14ac:dyDescent="0.3">
      <c r="A1080" s="126" t="s">
        <v>390</v>
      </c>
      <c r="B1080" s="126" t="s">
        <v>59</v>
      </c>
      <c r="C1080" s="53" t="s">
        <v>2953</v>
      </c>
      <c r="D1080" s="53" t="s">
        <v>3046</v>
      </c>
      <c r="E1080" s="131">
        <v>45982</v>
      </c>
      <c r="F1080" s="127" t="s">
        <v>371</v>
      </c>
      <c r="G1080" s="127" t="s">
        <v>864</v>
      </c>
      <c r="H1080" s="54">
        <v>16412.3</v>
      </c>
      <c r="I1080" s="138">
        <v>0.311</v>
      </c>
      <c r="J1080" s="44" t="s">
        <v>3111</v>
      </c>
      <c r="K1080" s="44" t="s">
        <v>1541</v>
      </c>
    </row>
    <row r="1081" spans="1:11" x14ac:dyDescent="0.3">
      <c r="A1081" s="126" t="s">
        <v>390</v>
      </c>
      <c r="B1081" s="126" t="s">
        <v>59</v>
      </c>
      <c r="C1081" s="53" t="s">
        <v>2954</v>
      </c>
      <c r="D1081" s="53" t="s">
        <v>3047</v>
      </c>
      <c r="E1081" s="131">
        <v>45982</v>
      </c>
      <c r="F1081" s="127" t="s">
        <v>371</v>
      </c>
      <c r="G1081" s="127" t="s">
        <v>864</v>
      </c>
      <c r="H1081" s="54">
        <v>50512.14</v>
      </c>
      <c r="I1081" s="138">
        <v>0.17499999999999999</v>
      </c>
      <c r="J1081" s="44" t="s">
        <v>3111</v>
      </c>
      <c r="K1081" s="44" t="s">
        <v>1541</v>
      </c>
    </row>
    <row r="1082" spans="1:11" x14ac:dyDescent="0.3">
      <c r="A1082" s="126" t="s">
        <v>390</v>
      </c>
      <c r="B1082" s="126" t="s">
        <v>59</v>
      </c>
      <c r="C1082" s="53" t="s">
        <v>2955</v>
      </c>
      <c r="D1082" s="53" t="s">
        <v>3048</v>
      </c>
      <c r="E1082" s="131">
        <v>45982</v>
      </c>
      <c r="F1082" s="127" t="s">
        <v>854</v>
      </c>
      <c r="G1082" s="127" t="s">
        <v>2302</v>
      </c>
      <c r="H1082" s="54">
        <v>10080</v>
      </c>
      <c r="I1082" s="138">
        <v>0.27900000000000003</v>
      </c>
      <c r="J1082" s="44" t="s">
        <v>831</v>
      </c>
      <c r="K1082" s="44" t="s">
        <v>1542</v>
      </c>
    </row>
    <row r="1083" spans="1:11" x14ac:dyDescent="0.3">
      <c r="A1083" s="126" t="s">
        <v>392</v>
      </c>
      <c r="B1083" s="126" t="s">
        <v>59</v>
      </c>
      <c r="C1083" s="53" t="s">
        <v>2956</v>
      </c>
      <c r="D1083" s="53" t="s">
        <v>3049</v>
      </c>
      <c r="E1083" s="131">
        <v>45982</v>
      </c>
      <c r="F1083" s="127" t="s">
        <v>842</v>
      </c>
      <c r="G1083" s="127" t="s">
        <v>843</v>
      </c>
      <c r="H1083" s="54">
        <v>22000</v>
      </c>
      <c r="I1083" s="138">
        <v>0.46</v>
      </c>
      <c r="J1083" s="44" t="s">
        <v>1977</v>
      </c>
      <c r="K1083" s="44" t="s">
        <v>1540</v>
      </c>
    </row>
    <row r="1084" spans="1:11" x14ac:dyDescent="0.3">
      <c r="A1084" s="126" t="s">
        <v>390</v>
      </c>
      <c r="B1084" s="126" t="s">
        <v>59</v>
      </c>
      <c r="C1084" s="53" t="s">
        <v>2957</v>
      </c>
      <c r="D1084" s="53" t="s">
        <v>3050</v>
      </c>
      <c r="E1084" s="131">
        <v>45982</v>
      </c>
      <c r="F1084" s="127" t="s">
        <v>371</v>
      </c>
      <c r="G1084" s="127" t="s">
        <v>864</v>
      </c>
      <c r="H1084" s="54">
        <v>29711.67</v>
      </c>
      <c r="I1084" s="138">
        <v>0.20300000000000001</v>
      </c>
      <c r="J1084" s="44" t="s">
        <v>3111</v>
      </c>
      <c r="K1084" s="44" t="s">
        <v>1541</v>
      </c>
    </row>
    <row r="1085" spans="1:11" x14ac:dyDescent="0.3">
      <c r="A1085" s="126" t="s">
        <v>392</v>
      </c>
      <c r="B1085" s="126" t="s">
        <v>59</v>
      </c>
      <c r="C1085" s="53" t="s">
        <v>2958</v>
      </c>
      <c r="D1085" s="53" t="s">
        <v>3051</v>
      </c>
      <c r="E1085" s="131">
        <v>45982</v>
      </c>
      <c r="F1085" s="127" t="s">
        <v>370</v>
      </c>
      <c r="G1085" s="127" t="s">
        <v>63</v>
      </c>
      <c r="H1085" s="54">
        <v>4200</v>
      </c>
      <c r="I1085" s="138">
        <v>0.61899999999999999</v>
      </c>
      <c r="J1085" s="44" t="s">
        <v>1977</v>
      </c>
      <c r="K1085" s="44" t="s">
        <v>1540</v>
      </c>
    </row>
    <row r="1086" spans="1:11" x14ac:dyDescent="0.3">
      <c r="A1086" s="126" t="s">
        <v>390</v>
      </c>
      <c r="B1086" s="126" t="s">
        <v>59</v>
      </c>
      <c r="C1086" s="53" t="s">
        <v>2959</v>
      </c>
      <c r="D1086" s="53" t="s">
        <v>3052</v>
      </c>
      <c r="E1086" s="131">
        <v>45982</v>
      </c>
      <c r="F1086" s="127" t="s">
        <v>371</v>
      </c>
      <c r="G1086" s="127" t="s">
        <v>864</v>
      </c>
      <c r="H1086" s="54">
        <v>106932.05</v>
      </c>
      <c r="I1086" s="138">
        <v>0.191</v>
      </c>
      <c r="J1086" s="44" t="s">
        <v>833</v>
      </c>
      <c r="K1086" s="44" t="s">
        <v>1542</v>
      </c>
    </row>
    <row r="1087" spans="1:11" x14ac:dyDescent="0.3">
      <c r="A1087" s="126" t="s">
        <v>392</v>
      </c>
      <c r="B1087" s="126" t="s">
        <v>59</v>
      </c>
      <c r="C1087" s="53" t="s">
        <v>2960</v>
      </c>
      <c r="D1087" s="53" t="s">
        <v>3053</v>
      </c>
      <c r="E1087" s="131">
        <v>45982</v>
      </c>
      <c r="F1087" s="127" t="s">
        <v>370</v>
      </c>
      <c r="G1087" s="127" t="s">
        <v>63</v>
      </c>
      <c r="H1087" s="54">
        <v>4200</v>
      </c>
      <c r="I1087" s="138">
        <v>0.61899999999999999</v>
      </c>
      <c r="J1087" s="44" t="s">
        <v>1977</v>
      </c>
      <c r="K1087" s="44" t="s">
        <v>1540</v>
      </c>
    </row>
    <row r="1088" spans="1:11" x14ac:dyDescent="0.3">
      <c r="A1088" s="126" t="s">
        <v>392</v>
      </c>
      <c r="B1088" s="126" t="s">
        <v>59</v>
      </c>
      <c r="C1088" s="53" t="s">
        <v>2961</v>
      </c>
      <c r="D1088" s="53" t="s">
        <v>3054</v>
      </c>
      <c r="E1088" s="131">
        <v>45982</v>
      </c>
      <c r="F1088" s="127" t="s">
        <v>842</v>
      </c>
      <c r="G1088" s="127" t="s">
        <v>843</v>
      </c>
      <c r="H1088" s="54">
        <v>22000</v>
      </c>
      <c r="I1088" s="138">
        <v>0.45900000000000002</v>
      </c>
      <c r="J1088" s="44" t="s">
        <v>1977</v>
      </c>
      <c r="K1088" s="44" t="s">
        <v>1540</v>
      </c>
    </row>
    <row r="1089" spans="1:11" x14ac:dyDescent="0.3">
      <c r="A1089" s="126" t="s">
        <v>392</v>
      </c>
      <c r="B1089" s="126" t="s">
        <v>59</v>
      </c>
      <c r="C1089" s="53" t="s">
        <v>2962</v>
      </c>
      <c r="D1089" s="53" t="s">
        <v>3055</v>
      </c>
      <c r="E1089" s="131">
        <v>45982</v>
      </c>
      <c r="F1089" s="127" t="s">
        <v>370</v>
      </c>
      <c r="G1089" s="127" t="s">
        <v>63</v>
      </c>
      <c r="H1089" s="54">
        <v>4200</v>
      </c>
      <c r="I1089" s="138">
        <v>0.61899999999999999</v>
      </c>
      <c r="J1089" s="44" t="s">
        <v>3109</v>
      </c>
      <c r="K1089" s="44" t="s">
        <v>1540</v>
      </c>
    </row>
    <row r="1090" spans="1:11" x14ac:dyDescent="0.3">
      <c r="A1090" s="126" t="s">
        <v>390</v>
      </c>
      <c r="B1090" s="126" t="s">
        <v>59</v>
      </c>
      <c r="C1090" s="53" t="s">
        <v>2963</v>
      </c>
      <c r="D1090" s="53" t="s">
        <v>3056</v>
      </c>
      <c r="E1090" s="131">
        <v>45982</v>
      </c>
      <c r="F1090" s="127" t="s">
        <v>372</v>
      </c>
      <c r="G1090" s="127" t="s">
        <v>10</v>
      </c>
      <c r="H1090" s="54">
        <v>77999.350000000006</v>
      </c>
      <c r="I1090" s="138">
        <v>0.252</v>
      </c>
      <c r="J1090" s="44" t="s">
        <v>831</v>
      </c>
      <c r="K1090" s="44" t="s">
        <v>1542</v>
      </c>
    </row>
    <row r="1091" spans="1:11" x14ac:dyDescent="0.3">
      <c r="A1091" s="126" t="s">
        <v>392</v>
      </c>
      <c r="B1091" s="126" t="s">
        <v>59</v>
      </c>
      <c r="C1091" s="53" t="s">
        <v>2964</v>
      </c>
      <c r="D1091" s="53" t="s">
        <v>3057</v>
      </c>
      <c r="E1091" s="131">
        <v>45985</v>
      </c>
      <c r="F1091" s="127" t="s">
        <v>370</v>
      </c>
      <c r="G1091" s="127" t="s">
        <v>63</v>
      </c>
      <c r="H1091" s="54">
        <v>4500</v>
      </c>
      <c r="I1091" s="138">
        <v>0.6</v>
      </c>
      <c r="J1091" s="44" t="s">
        <v>1977</v>
      </c>
      <c r="K1091" s="44" t="s">
        <v>1540</v>
      </c>
    </row>
    <row r="1092" spans="1:11" x14ac:dyDescent="0.3">
      <c r="A1092" s="126" t="s">
        <v>392</v>
      </c>
      <c r="B1092" s="126" t="s">
        <v>59</v>
      </c>
      <c r="C1092" s="53" t="s">
        <v>2965</v>
      </c>
      <c r="D1092" s="53" t="s">
        <v>3058</v>
      </c>
      <c r="E1092" s="131">
        <v>45985</v>
      </c>
      <c r="F1092" s="127" t="s">
        <v>370</v>
      </c>
      <c r="G1092" s="127" t="s">
        <v>63</v>
      </c>
      <c r="H1092" s="54">
        <v>4500</v>
      </c>
      <c r="I1092" s="138">
        <v>0.6</v>
      </c>
      <c r="J1092" s="44" t="s">
        <v>1977</v>
      </c>
      <c r="K1092" s="44" t="s">
        <v>1540</v>
      </c>
    </row>
    <row r="1093" spans="1:11" x14ac:dyDescent="0.3">
      <c r="A1093" s="126" t="s">
        <v>390</v>
      </c>
      <c r="B1093" s="126" t="s">
        <v>59</v>
      </c>
      <c r="C1093" s="53" t="s">
        <v>2966</v>
      </c>
      <c r="D1093" s="53" t="s">
        <v>2899</v>
      </c>
      <c r="E1093" s="131">
        <v>45986</v>
      </c>
      <c r="F1093" s="127" t="s">
        <v>372</v>
      </c>
      <c r="G1093" s="127" t="s">
        <v>10</v>
      </c>
      <c r="H1093" s="54">
        <v>131340.57</v>
      </c>
      <c r="I1093" s="138">
        <v>0.22600000000000001</v>
      </c>
      <c r="J1093" s="44" t="s">
        <v>831</v>
      </c>
      <c r="K1093" s="44" t="s">
        <v>1542</v>
      </c>
    </row>
    <row r="1094" spans="1:11" x14ac:dyDescent="0.3">
      <c r="A1094" s="126" t="s">
        <v>390</v>
      </c>
      <c r="B1094" s="126" t="s">
        <v>59</v>
      </c>
      <c r="C1094" s="53" t="s">
        <v>2967</v>
      </c>
      <c r="D1094" s="53" t="s">
        <v>3059</v>
      </c>
      <c r="E1094" s="131">
        <v>45987</v>
      </c>
      <c r="F1094" s="127" t="s">
        <v>372</v>
      </c>
      <c r="G1094" s="127" t="s">
        <v>10</v>
      </c>
      <c r="H1094" s="54">
        <v>103994.03</v>
      </c>
      <c r="I1094" s="138">
        <v>0.26500000000000001</v>
      </c>
      <c r="J1094" s="44" t="s">
        <v>831</v>
      </c>
      <c r="K1094" s="44" t="s">
        <v>1542</v>
      </c>
    </row>
    <row r="1095" spans="1:11" x14ac:dyDescent="0.3">
      <c r="A1095" s="126" t="s">
        <v>392</v>
      </c>
      <c r="B1095" s="126" t="s">
        <v>59</v>
      </c>
      <c r="C1095" s="53" t="s">
        <v>2968</v>
      </c>
      <c r="D1095" s="53" t="s">
        <v>3060</v>
      </c>
      <c r="E1095" s="131">
        <v>45987</v>
      </c>
      <c r="F1095" s="127" t="s">
        <v>372</v>
      </c>
      <c r="G1095" s="127" t="s">
        <v>10</v>
      </c>
      <c r="H1095" s="54">
        <v>23250</v>
      </c>
      <c r="I1095" s="138">
        <v>0.36799999999999999</v>
      </c>
      <c r="J1095" s="44" t="s">
        <v>3109</v>
      </c>
      <c r="K1095" s="44" t="s">
        <v>1540</v>
      </c>
    </row>
    <row r="1096" spans="1:11" x14ac:dyDescent="0.3">
      <c r="A1096" s="126" t="s">
        <v>392</v>
      </c>
      <c r="B1096" s="126" t="s">
        <v>59</v>
      </c>
      <c r="C1096" s="53" t="s">
        <v>2969</v>
      </c>
      <c r="D1096" s="53" t="s">
        <v>3061</v>
      </c>
      <c r="E1096" s="131">
        <v>45987</v>
      </c>
      <c r="F1096" s="127" t="s">
        <v>372</v>
      </c>
      <c r="G1096" s="127" t="s">
        <v>10</v>
      </c>
      <c r="H1096" s="54">
        <v>23250</v>
      </c>
      <c r="I1096" s="138">
        <v>0.36799999999999999</v>
      </c>
      <c r="J1096" s="44" t="s">
        <v>3109</v>
      </c>
      <c r="K1096" s="44" t="s">
        <v>1540</v>
      </c>
    </row>
    <row r="1097" spans="1:11" x14ac:dyDescent="0.3">
      <c r="A1097" s="126" t="s">
        <v>392</v>
      </c>
      <c r="B1097" s="126" t="s">
        <v>59</v>
      </c>
      <c r="C1097" s="53" t="s">
        <v>2970</v>
      </c>
      <c r="D1097" s="53" t="s">
        <v>3062</v>
      </c>
      <c r="E1097" s="131">
        <v>45987</v>
      </c>
      <c r="F1097" s="127" t="s">
        <v>372</v>
      </c>
      <c r="G1097" s="127" t="s">
        <v>10</v>
      </c>
      <c r="H1097" s="54">
        <v>42000</v>
      </c>
      <c r="I1097" s="138">
        <v>0.39800000000000002</v>
      </c>
      <c r="J1097" s="44" t="s">
        <v>3109</v>
      </c>
      <c r="K1097" s="44" t="s">
        <v>1540</v>
      </c>
    </row>
    <row r="1098" spans="1:11" x14ac:dyDescent="0.3">
      <c r="A1098" s="126" t="s">
        <v>392</v>
      </c>
      <c r="B1098" s="126" t="s">
        <v>59</v>
      </c>
      <c r="C1098" s="53" t="s">
        <v>2971</v>
      </c>
      <c r="D1098" s="53" t="s">
        <v>3063</v>
      </c>
      <c r="E1098" s="131">
        <v>45988</v>
      </c>
      <c r="F1098" s="127" t="s">
        <v>371</v>
      </c>
      <c r="G1098" s="127" t="s">
        <v>864</v>
      </c>
      <c r="H1098" s="54">
        <v>29600</v>
      </c>
      <c r="I1098" s="138">
        <v>0.72</v>
      </c>
      <c r="J1098" s="44" t="s">
        <v>3111</v>
      </c>
      <c r="K1098" s="44" t="s">
        <v>1540</v>
      </c>
    </row>
    <row r="1099" spans="1:11" x14ac:dyDescent="0.3">
      <c r="A1099" s="126" t="s">
        <v>392</v>
      </c>
      <c r="B1099" s="126" t="s">
        <v>59</v>
      </c>
      <c r="C1099" s="53" t="s">
        <v>2972</v>
      </c>
      <c r="D1099" s="53" t="s">
        <v>3064</v>
      </c>
      <c r="E1099" s="131">
        <v>45988</v>
      </c>
      <c r="F1099" s="127" t="s">
        <v>371</v>
      </c>
      <c r="G1099" s="127" t="s">
        <v>864</v>
      </c>
      <c r="H1099" s="54">
        <v>28800</v>
      </c>
      <c r="I1099" s="138">
        <v>0.78200000000000003</v>
      </c>
      <c r="J1099" s="44" t="s">
        <v>3111</v>
      </c>
      <c r="K1099" s="44" t="s">
        <v>1540</v>
      </c>
    </row>
    <row r="1100" spans="1:11" x14ac:dyDescent="0.3">
      <c r="A1100" s="126" t="s">
        <v>392</v>
      </c>
      <c r="B1100" s="126" t="s">
        <v>59</v>
      </c>
      <c r="C1100" s="53" t="s">
        <v>2973</v>
      </c>
      <c r="D1100" s="53" t="s">
        <v>3065</v>
      </c>
      <c r="E1100" s="131">
        <v>45988</v>
      </c>
      <c r="F1100" s="127" t="s">
        <v>371</v>
      </c>
      <c r="G1100" s="127" t="s">
        <v>864</v>
      </c>
      <c r="H1100" s="54">
        <v>29600</v>
      </c>
      <c r="I1100" s="138">
        <v>0.78800000000000003</v>
      </c>
      <c r="J1100" s="44" t="s">
        <v>3111</v>
      </c>
      <c r="K1100" s="44" t="s">
        <v>1540</v>
      </c>
    </row>
    <row r="1101" spans="1:11" x14ac:dyDescent="0.3">
      <c r="A1101" s="126" t="s">
        <v>392</v>
      </c>
      <c r="B1101" s="126" t="s">
        <v>59</v>
      </c>
      <c r="C1101" s="53" t="s">
        <v>2974</v>
      </c>
      <c r="D1101" s="53" t="s">
        <v>3066</v>
      </c>
      <c r="E1101" s="131">
        <v>45988</v>
      </c>
      <c r="F1101" s="127" t="s">
        <v>371</v>
      </c>
      <c r="G1101" s="127" t="s">
        <v>864</v>
      </c>
      <c r="H1101" s="54">
        <v>14800</v>
      </c>
      <c r="I1101" s="138">
        <v>0.84599999999999997</v>
      </c>
      <c r="J1101" s="44" t="s">
        <v>3111</v>
      </c>
      <c r="K1101" s="44" t="s">
        <v>1540</v>
      </c>
    </row>
    <row r="1102" spans="1:11" x14ac:dyDescent="0.3">
      <c r="A1102" s="126" t="s">
        <v>392</v>
      </c>
      <c r="B1102" s="126" t="s">
        <v>59</v>
      </c>
      <c r="C1102" s="53" t="s">
        <v>2975</v>
      </c>
      <c r="D1102" s="53" t="s">
        <v>3067</v>
      </c>
      <c r="E1102" s="131">
        <v>45988</v>
      </c>
      <c r="F1102" s="127" t="s">
        <v>371</v>
      </c>
      <c r="G1102" s="127" t="s">
        <v>864</v>
      </c>
      <c r="H1102" s="54">
        <v>7400</v>
      </c>
      <c r="I1102" s="138">
        <v>0.75900000000000001</v>
      </c>
      <c r="J1102" s="44" t="s">
        <v>3111</v>
      </c>
      <c r="K1102" s="44" t="s">
        <v>1540</v>
      </c>
    </row>
    <row r="1103" spans="1:11" x14ac:dyDescent="0.3">
      <c r="A1103" s="126" t="s">
        <v>392</v>
      </c>
      <c r="B1103" s="126" t="s">
        <v>59</v>
      </c>
      <c r="C1103" s="53" t="s">
        <v>2976</v>
      </c>
      <c r="D1103" s="53" t="s">
        <v>3068</v>
      </c>
      <c r="E1103" s="131">
        <v>45988</v>
      </c>
      <c r="F1103" s="127" t="s">
        <v>371</v>
      </c>
      <c r="G1103" s="127" t="s">
        <v>864</v>
      </c>
      <c r="H1103" s="54">
        <v>22200</v>
      </c>
      <c r="I1103" s="138">
        <v>0.68100000000000005</v>
      </c>
      <c r="J1103" s="44" t="s">
        <v>3111</v>
      </c>
      <c r="K1103" s="44" t="s">
        <v>1540</v>
      </c>
    </row>
    <row r="1104" spans="1:11" x14ac:dyDescent="0.3">
      <c r="A1104" s="126" t="s">
        <v>392</v>
      </c>
      <c r="B1104" s="126" t="s">
        <v>59</v>
      </c>
      <c r="C1104" s="53" t="s">
        <v>2977</v>
      </c>
      <c r="D1104" s="53" t="s">
        <v>3069</v>
      </c>
      <c r="E1104" s="131">
        <v>45988</v>
      </c>
      <c r="F1104" s="127" t="s">
        <v>371</v>
      </c>
      <c r="G1104" s="127" t="s">
        <v>864</v>
      </c>
      <c r="H1104" s="54">
        <v>14800</v>
      </c>
      <c r="I1104" s="138">
        <v>0.77800000000000002</v>
      </c>
      <c r="J1104" s="44" t="s">
        <v>3111</v>
      </c>
      <c r="K1104" s="44" t="s">
        <v>1540</v>
      </c>
    </row>
    <row r="1105" spans="1:11" x14ac:dyDescent="0.3">
      <c r="A1105" s="126" t="s">
        <v>392</v>
      </c>
      <c r="B1105" s="126" t="s">
        <v>59</v>
      </c>
      <c r="C1105" s="53" t="s">
        <v>2978</v>
      </c>
      <c r="D1105" s="53" t="s">
        <v>3070</v>
      </c>
      <c r="E1105" s="131">
        <v>45988</v>
      </c>
      <c r="F1105" s="127" t="s">
        <v>371</v>
      </c>
      <c r="G1105" s="127" t="s">
        <v>864</v>
      </c>
      <c r="H1105" s="54">
        <v>37000</v>
      </c>
      <c r="I1105" s="138">
        <v>0.80300000000000005</v>
      </c>
      <c r="J1105" s="44" t="s">
        <v>3111</v>
      </c>
      <c r="K1105" s="44" t="s">
        <v>1540</v>
      </c>
    </row>
    <row r="1106" spans="1:11" x14ac:dyDescent="0.3">
      <c r="A1106" s="126" t="s">
        <v>390</v>
      </c>
      <c r="B1106" s="126" t="s">
        <v>59</v>
      </c>
      <c r="C1106" s="53" t="s">
        <v>2979</v>
      </c>
      <c r="D1106" s="53" t="s">
        <v>3071</v>
      </c>
      <c r="E1106" s="131">
        <v>45988</v>
      </c>
      <c r="F1106" s="127" t="s">
        <v>371</v>
      </c>
      <c r="G1106" s="127" t="s">
        <v>864</v>
      </c>
      <c r="H1106" s="54">
        <v>42982.79</v>
      </c>
      <c r="I1106" s="138">
        <v>0.19800000000000001</v>
      </c>
      <c r="J1106" s="44" t="s">
        <v>3111</v>
      </c>
      <c r="K1106" s="44" t="s">
        <v>1541</v>
      </c>
    </row>
    <row r="1107" spans="1:11" x14ac:dyDescent="0.3">
      <c r="A1107" s="126" t="s">
        <v>390</v>
      </c>
      <c r="B1107" s="126" t="s">
        <v>59</v>
      </c>
      <c r="C1107" s="53" t="s">
        <v>2980</v>
      </c>
      <c r="D1107" s="53" t="s">
        <v>3072</v>
      </c>
      <c r="E1107" s="131">
        <v>45988</v>
      </c>
      <c r="F1107" s="127" t="s">
        <v>371</v>
      </c>
      <c r="G1107" s="127" t="s">
        <v>864</v>
      </c>
      <c r="H1107" s="54">
        <v>30630.720000000001</v>
      </c>
      <c r="I1107" s="138">
        <v>0.22700000000000001</v>
      </c>
      <c r="J1107" s="44" t="s">
        <v>3111</v>
      </c>
      <c r="K1107" s="44" t="s">
        <v>1541</v>
      </c>
    </row>
    <row r="1108" spans="1:11" x14ac:dyDescent="0.3">
      <c r="A1108" s="126" t="s">
        <v>390</v>
      </c>
      <c r="B1108" s="126" t="s">
        <v>59</v>
      </c>
      <c r="C1108" s="53" t="s">
        <v>2981</v>
      </c>
      <c r="D1108" s="53" t="s">
        <v>3073</v>
      </c>
      <c r="E1108" s="131">
        <v>45988</v>
      </c>
      <c r="F1108" s="127" t="s">
        <v>371</v>
      </c>
      <c r="G1108" s="127" t="s">
        <v>864</v>
      </c>
      <c r="H1108" s="54">
        <v>62837.279999999999</v>
      </c>
      <c r="I1108" s="138">
        <v>0.16800000000000001</v>
      </c>
      <c r="J1108" s="44" t="s">
        <v>3111</v>
      </c>
      <c r="K1108" s="44" t="s">
        <v>1541</v>
      </c>
    </row>
    <row r="1109" spans="1:11" x14ac:dyDescent="0.3">
      <c r="A1109" s="126" t="s">
        <v>390</v>
      </c>
      <c r="B1109" s="126" t="s">
        <v>59</v>
      </c>
      <c r="C1109" s="53" t="s">
        <v>2982</v>
      </c>
      <c r="D1109" s="53" t="s">
        <v>3074</v>
      </c>
      <c r="E1109" s="131">
        <v>45988</v>
      </c>
      <c r="F1109" s="127" t="s">
        <v>371</v>
      </c>
      <c r="G1109" s="127" t="s">
        <v>864</v>
      </c>
      <c r="H1109" s="54">
        <v>29370.13</v>
      </c>
      <c r="I1109" s="138">
        <v>0.19700000000000001</v>
      </c>
      <c r="J1109" s="44" t="s">
        <v>3111</v>
      </c>
      <c r="K1109" s="44" t="s">
        <v>1541</v>
      </c>
    </row>
    <row r="1110" spans="1:11" x14ac:dyDescent="0.3">
      <c r="A1110" s="126" t="s">
        <v>390</v>
      </c>
      <c r="B1110" s="126" t="s">
        <v>59</v>
      </c>
      <c r="C1110" s="53" t="s">
        <v>2983</v>
      </c>
      <c r="D1110" s="53" t="s">
        <v>3075</v>
      </c>
      <c r="E1110" s="131">
        <v>45988</v>
      </c>
      <c r="F1110" s="127" t="s">
        <v>371</v>
      </c>
      <c r="G1110" s="127" t="s">
        <v>864</v>
      </c>
      <c r="H1110" s="54">
        <v>32172.41</v>
      </c>
      <c r="I1110" s="138">
        <v>0.223</v>
      </c>
      <c r="J1110" s="44" t="s">
        <v>3111</v>
      </c>
      <c r="K1110" s="44" t="s">
        <v>1541</v>
      </c>
    </row>
    <row r="1111" spans="1:11" x14ac:dyDescent="0.3">
      <c r="A1111" s="126" t="s">
        <v>390</v>
      </c>
      <c r="B1111" s="126" t="s">
        <v>59</v>
      </c>
      <c r="C1111" s="53" t="s">
        <v>2984</v>
      </c>
      <c r="D1111" s="53" t="s">
        <v>3076</v>
      </c>
      <c r="E1111" s="131">
        <v>45988</v>
      </c>
      <c r="F1111" s="127" t="s">
        <v>371</v>
      </c>
      <c r="G1111" s="127" t="s">
        <v>864</v>
      </c>
      <c r="H1111" s="54">
        <v>39993.949999999997</v>
      </c>
      <c r="I1111" s="138">
        <v>0.20499999999999999</v>
      </c>
      <c r="J1111" s="44" t="s">
        <v>3112</v>
      </c>
      <c r="K1111" s="44" t="s">
        <v>1541</v>
      </c>
    </row>
    <row r="1112" spans="1:11" x14ac:dyDescent="0.3">
      <c r="A1112" s="126" t="s">
        <v>390</v>
      </c>
      <c r="B1112" s="126" t="s">
        <v>59</v>
      </c>
      <c r="C1112" s="53" t="s">
        <v>2985</v>
      </c>
      <c r="D1112" s="53" t="s">
        <v>3077</v>
      </c>
      <c r="E1112" s="131">
        <v>45988</v>
      </c>
      <c r="F1112" s="127" t="s">
        <v>371</v>
      </c>
      <c r="G1112" s="127" t="s">
        <v>864</v>
      </c>
      <c r="H1112" s="54">
        <v>14183.29</v>
      </c>
      <c r="I1112" s="138">
        <v>0.498</v>
      </c>
      <c r="J1112" s="44" t="s">
        <v>3111</v>
      </c>
      <c r="K1112" s="44" t="s">
        <v>1541</v>
      </c>
    </row>
    <row r="1113" spans="1:11" x14ac:dyDescent="0.3">
      <c r="A1113" s="126" t="s">
        <v>392</v>
      </c>
      <c r="B1113" s="126" t="s">
        <v>59</v>
      </c>
      <c r="C1113" s="53" t="s">
        <v>2986</v>
      </c>
      <c r="D1113" s="53" t="s">
        <v>3078</v>
      </c>
      <c r="E1113" s="131">
        <v>45988</v>
      </c>
      <c r="F1113" s="127" t="s">
        <v>844</v>
      </c>
      <c r="G1113" s="127" t="s">
        <v>863</v>
      </c>
      <c r="H1113" s="54">
        <v>13000</v>
      </c>
      <c r="I1113" s="138">
        <v>0.29899999999999999</v>
      </c>
      <c r="J1113" s="44" t="s">
        <v>1977</v>
      </c>
      <c r="K1113" s="44" t="s">
        <v>1540</v>
      </c>
    </row>
    <row r="1114" spans="1:11" x14ac:dyDescent="0.3">
      <c r="A1114" s="126" t="s">
        <v>392</v>
      </c>
      <c r="B1114" s="126" t="s">
        <v>59</v>
      </c>
      <c r="C1114" s="53" t="s">
        <v>2987</v>
      </c>
      <c r="D1114" s="53" t="s">
        <v>3079</v>
      </c>
      <c r="E1114" s="131">
        <v>45988</v>
      </c>
      <c r="F1114" s="127" t="s">
        <v>844</v>
      </c>
      <c r="G1114" s="127" t="s">
        <v>863</v>
      </c>
      <c r="H1114" s="54">
        <v>18600</v>
      </c>
      <c r="I1114" s="138">
        <v>0.23100000000000001</v>
      </c>
      <c r="J1114" s="44" t="s">
        <v>1977</v>
      </c>
      <c r="K1114" s="44" t="s">
        <v>1540</v>
      </c>
    </row>
    <row r="1115" spans="1:11" x14ac:dyDescent="0.3">
      <c r="A1115" s="126" t="s">
        <v>392</v>
      </c>
      <c r="B1115" s="126" t="s">
        <v>59</v>
      </c>
      <c r="C1115" s="53" t="s">
        <v>2988</v>
      </c>
      <c r="D1115" s="53" t="s">
        <v>3080</v>
      </c>
      <c r="E1115" s="131">
        <v>45989</v>
      </c>
      <c r="F1115" s="127" t="s">
        <v>370</v>
      </c>
      <c r="G1115" s="127" t="s">
        <v>63</v>
      </c>
      <c r="H1115" s="54">
        <v>4200</v>
      </c>
      <c r="I1115" s="138">
        <v>0.61899999999999999</v>
      </c>
      <c r="J1115" s="44" t="s">
        <v>3109</v>
      </c>
      <c r="K1115" s="44" t="s">
        <v>1540</v>
      </c>
    </row>
    <row r="1116" spans="1:11" x14ac:dyDescent="0.3">
      <c r="A1116" s="126" t="s">
        <v>392</v>
      </c>
      <c r="B1116" s="126" t="s">
        <v>59</v>
      </c>
      <c r="C1116" s="53" t="s">
        <v>2989</v>
      </c>
      <c r="D1116" s="53" t="s">
        <v>3081</v>
      </c>
      <c r="E1116" s="131">
        <v>45989</v>
      </c>
      <c r="F1116" s="127" t="s">
        <v>370</v>
      </c>
      <c r="G1116" s="127" t="s">
        <v>63</v>
      </c>
      <c r="H1116" s="54">
        <v>7427.5</v>
      </c>
      <c r="I1116" s="138">
        <v>0.72099999999999997</v>
      </c>
      <c r="J1116" s="44" t="s">
        <v>1977</v>
      </c>
      <c r="K1116" s="44" t="s">
        <v>1540</v>
      </c>
    </row>
    <row r="1117" spans="1:11" x14ac:dyDescent="0.3">
      <c r="A1117" s="126" t="s">
        <v>390</v>
      </c>
      <c r="B1117" s="126" t="s">
        <v>59</v>
      </c>
      <c r="C1117" s="53" t="s">
        <v>2990</v>
      </c>
      <c r="D1117" s="53" t="s">
        <v>3082</v>
      </c>
      <c r="E1117" s="131">
        <v>45989</v>
      </c>
      <c r="F1117" s="127" t="s">
        <v>375</v>
      </c>
      <c r="G1117" s="127" t="s">
        <v>2303</v>
      </c>
      <c r="H1117" s="54">
        <v>10475.049999999999</v>
      </c>
      <c r="I1117" s="138">
        <v>0.30299999999999999</v>
      </c>
      <c r="J1117" s="44" t="s">
        <v>831</v>
      </c>
      <c r="K1117" s="44" t="s">
        <v>1541</v>
      </c>
    </row>
    <row r="1118" spans="1:11" x14ac:dyDescent="0.3">
      <c r="A1118" s="126" t="s">
        <v>390</v>
      </c>
      <c r="B1118" s="126" t="s">
        <v>59</v>
      </c>
      <c r="C1118" s="53" t="s">
        <v>2991</v>
      </c>
      <c r="D1118" s="53" t="s">
        <v>3083</v>
      </c>
      <c r="E1118" s="131">
        <v>45989</v>
      </c>
      <c r="F1118" s="127" t="s">
        <v>371</v>
      </c>
      <c r="G1118" s="127" t="s">
        <v>864</v>
      </c>
      <c r="H1118" s="54">
        <v>244506.63</v>
      </c>
      <c r="I1118" s="138">
        <v>0.19700000000000001</v>
      </c>
      <c r="J1118" s="44" t="s">
        <v>833</v>
      </c>
      <c r="K1118" s="44" t="s">
        <v>1542</v>
      </c>
    </row>
    <row r="1119" spans="1:11" x14ac:dyDescent="0.3">
      <c r="A1119" s="126" t="s">
        <v>392</v>
      </c>
      <c r="B1119" s="126" t="s">
        <v>59</v>
      </c>
      <c r="C1119" s="53" t="s">
        <v>2992</v>
      </c>
      <c r="D1119" s="53" t="s">
        <v>3084</v>
      </c>
      <c r="E1119" s="131">
        <v>45989</v>
      </c>
      <c r="F1119" s="127" t="s">
        <v>370</v>
      </c>
      <c r="G1119" s="127" t="s">
        <v>63</v>
      </c>
      <c r="H1119" s="54">
        <v>7427.5</v>
      </c>
      <c r="I1119" s="138">
        <v>0.72099999999999997</v>
      </c>
      <c r="J1119" s="44" t="s">
        <v>1977</v>
      </c>
      <c r="K1119" s="44" t="s">
        <v>1540</v>
      </c>
    </row>
    <row r="1120" spans="1:11" x14ac:dyDescent="0.3">
      <c r="A1120" s="126" t="s">
        <v>390</v>
      </c>
      <c r="B1120" s="126" t="s">
        <v>59</v>
      </c>
      <c r="C1120" s="53" t="s">
        <v>2993</v>
      </c>
      <c r="D1120" s="53" t="s">
        <v>3085</v>
      </c>
      <c r="E1120" s="131">
        <v>45989</v>
      </c>
      <c r="F1120" s="127" t="s">
        <v>371</v>
      </c>
      <c r="G1120" s="127" t="s">
        <v>864</v>
      </c>
      <c r="H1120" s="54">
        <v>18141.47</v>
      </c>
      <c r="I1120" s="138">
        <v>0.442</v>
      </c>
      <c r="J1120" s="44" t="s">
        <v>3112</v>
      </c>
      <c r="K1120" s="44" t="s">
        <v>1541</v>
      </c>
    </row>
    <row r="1121" spans="1:11" x14ac:dyDescent="0.3">
      <c r="A1121" s="126" t="s">
        <v>390</v>
      </c>
      <c r="B1121" s="126" t="s">
        <v>59</v>
      </c>
      <c r="C1121" s="53" t="s">
        <v>2994</v>
      </c>
      <c r="D1121" s="53" t="s">
        <v>3086</v>
      </c>
      <c r="E1121" s="131">
        <v>45989</v>
      </c>
      <c r="F1121" s="127" t="s">
        <v>371</v>
      </c>
      <c r="G1121" s="127" t="s">
        <v>864</v>
      </c>
      <c r="H1121" s="54">
        <v>241262.24</v>
      </c>
      <c r="I1121" s="138">
        <v>0.25800000000000001</v>
      </c>
      <c r="J1121" s="44" t="s">
        <v>833</v>
      </c>
      <c r="K1121" s="44" t="s">
        <v>1542</v>
      </c>
    </row>
    <row r="1122" spans="1:11" x14ac:dyDescent="0.3">
      <c r="A1122" s="126" t="s">
        <v>392</v>
      </c>
      <c r="B1122" s="126" t="s">
        <v>59</v>
      </c>
      <c r="C1122" s="53" t="s">
        <v>2995</v>
      </c>
      <c r="D1122" s="53" t="s">
        <v>3087</v>
      </c>
      <c r="E1122" s="131">
        <v>45989</v>
      </c>
      <c r="F1122" s="127" t="s">
        <v>370</v>
      </c>
      <c r="G1122" s="127" t="s">
        <v>63</v>
      </c>
      <c r="H1122" s="54">
        <v>6500</v>
      </c>
      <c r="I1122" s="138">
        <v>0.64600000000000002</v>
      </c>
      <c r="J1122" s="44" t="s">
        <v>3109</v>
      </c>
      <c r="K1122" s="44" t="s">
        <v>1540</v>
      </c>
    </row>
    <row r="1123" spans="1:11" x14ac:dyDescent="0.3">
      <c r="A1123" s="126" t="s">
        <v>392</v>
      </c>
      <c r="B1123" s="126" t="s">
        <v>59</v>
      </c>
      <c r="C1123" s="53" t="s">
        <v>2996</v>
      </c>
      <c r="D1123" s="53" t="s">
        <v>3088</v>
      </c>
      <c r="E1123" s="131">
        <v>45989</v>
      </c>
      <c r="F1123" s="127" t="s">
        <v>370</v>
      </c>
      <c r="G1123" s="127" t="s">
        <v>63</v>
      </c>
      <c r="H1123" s="54">
        <v>10500</v>
      </c>
      <c r="I1123" s="138">
        <v>0.59</v>
      </c>
      <c r="J1123" s="44" t="s">
        <v>1977</v>
      </c>
      <c r="K1123" s="44" t="s">
        <v>1540</v>
      </c>
    </row>
    <row r="1124" spans="1:11" x14ac:dyDescent="0.3">
      <c r="A1124" s="126" t="s">
        <v>390</v>
      </c>
      <c r="B1124" s="126" t="s">
        <v>59</v>
      </c>
      <c r="C1124" s="53" t="s">
        <v>2997</v>
      </c>
      <c r="D1124" s="53" t="s">
        <v>3089</v>
      </c>
      <c r="E1124" s="131">
        <v>45989</v>
      </c>
      <c r="F1124" s="127" t="s">
        <v>2131</v>
      </c>
      <c r="G1124" s="127" t="s">
        <v>2132</v>
      </c>
      <c r="H1124" s="54">
        <v>11580.98</v>
      </c>
      <c r="I1124" s="138">
        <v>0.58599999999999997</v>
      </c>
      <c r="J1124" s="44" t="s">
        <v>831</v>
      </c>
      <c r="K1124" s="44" t="s">
        <v>1541</v>
      </c>
    </row>
    <row r="1125" spans="1:11" x14ac:dyDescent="0.3">
      <c r="A1125" s="126" t="s">
        <v>390</v>
      </c>
      <c r="B1125" s="126" t="s">
        <v>59</v>
      </c>
      <c r="C1125" s="53" t="s">
        <v>2998</v>
      </c>
      <c r="D1125" s="53" t="s">
        <v>3090</v>
      </c>
      <c r="E1125" s="131">
        <v>45989</v>
      </c>
      <c r="F1125" s="127" t="s">
        <v>370</v>
      </c>
      <c r="G1125" s="127" t="s">
        <v>63</v>
      </c>
      <c r="H1125" s="54">
        <v>10747.24</v>
      </c>
      <c r="I1125" s="138">
        <v>0.53300000000000003</v>
      </c>
      <c r="J1125" s="44" t="s">
        <v>1977</v>
      </c>
      <c r="K1125" s="44" t="s">
        <v>1541</v>
      </c>
    </row>
    <row r="1126" spans="1:11" x14ac:dyDescent="0.3">
      <c r="A1126" s="126" t="s">
        <v>390</v>
      </c>
      <c r="B1126" s="126" t="s">
        <v>59</v>
      </c>
      <c r="C1126" s="53" t="s">
        <v>2999</v>
      </c>
      <c r="D1126" s="53" t="s">
        <v>3091</v>
      </c>
      <c r="E1126" s="131">
        <v>45989</v>
      </c>
      <c r="F1126" s="127" t="s">
        <v>371</v>
      </c>
      <c r="G1126" s="127" t="s">
        <v>864</v>
      </c>
      <c r="H1126" s="54">
        <v>12146.75</v>
      </c>
      <c r="I1126" s="138">
        <v>0.45900000000000002</v>
      </c>
      <c r="J1126" s="44" t="s">
        <v>3111</v>
      </c>
      <c r="K1126" s="44" t="s">
        <v>1541</v>
      </c>
    </row>
    <row r="1127" spans="1:11" x14ac:dyDescent="0.3">
      <c r="A1127" s="126" t="s">
        <v>390</v>
      </c>
      <c r="B1127" s="126" t="s">
        <v>59</v>
      </c>
      <c r="C1127" s="53" t="s">
        <v>3000</v>
      </c>
      <c r="D1127" s="53" t="s">
        <v>3092</v>
      </c>
      <c r="E1127" s="131">
        <v>45989</v>
      </c>
      <c r="F1127" s="127" t="s">
        <v>371</v>
      </c>
      <c r="G1127" s="127" t="s">
        <v>864</v>
      </c>
      <c r="H1127" s="54">
        <v>22450.27</v>
      </c>
      <c r="I1127" s="138">
        <v>0.26</v>
      </c>
      <c r="J1127" s="44" t="s">
        <v>3111</v>
      </c>
      <c r="K1127" s="44" t="s">
        <v>1541</v>
      </c>
    </row>
    <row r="1128" spans="1:11" x14ac:dyDescent="0.3">
      <c r="A1128" s="126" t="s">
        <v>390</v>
      </c>
      <c r="B1128" s="126" t="s">
        <v>59</v>
      </c>
      <c r="C1128" s="53" t="s">
        <v>3001</v>
      </c>
      <c r="D1128" s="53" t="s">
        <v>3093</v>
      </c>
      <c r="E1128" s="131">
        <v>45989</v>
      </c>
      <c r="F1128" s="127" t="s">
        <v>619</v>
      </c>
      <c r="G1128" s="127" t="s">
        <v>2086</v>
      </c>
      <c r="H1128" s="54">
        <v>20441.160000000003</v>
      </c>
      <c r="I1128" s="138">
        <v>0.30599999999999999</v>
      </c>
      <c r="J1128" s="44" t="s">
        <v>831</v>
      </c>
      <c r="K1128" s="44" t="s">
        <v>1541</v>
      </c>
    </row>
    <row r="1129" spans="1:11" x14ac:dyDescent="0.3">
      <c r="A1129" s="126" t="s">
        <v>390</v>
      </c>
      <c r="B1129" s="126" t="s">
        <v>59</v>
      </c>
      <c r="C1129" s="53" t="s">
        <v>3002</v>
      </c>
      <c r="D1129" s="53" t="s">
        <v>3094</v>
      </c>
      <c r="E1129" s="131">
        <v>45989</v>
      </c>
      <c r="F1129" s="127" t="s">
        <v>619</v>
      </c>
      <c r="G1129" s="127" t="s">
        <v>2086</v>
      </c>
      <c r="H1129" s="54">
        <v>25235</v>
      </c>
      <c r="I1129" s="138">
        <v>0.28000000000000003</v>
      </c>
      <c r="J1129" s="44" t="s">
        <v>831</v>
      </c>
      <c r="K1129" s="44" t="s">
        <v>1541</v>
      </c>
    </row>
    <row r="1130" spans="1:11" x14ac:dyDescent="0.3">
      <c r="A1130" s="126" t="s">
        <v>390</v>
      </c>
      <c r="B1130" s="126" t="s">
        <v>59</v>
      </c>
      <c r="C1130" s="53" t="s">
        <v>3003</v>
      </c>
      <c r="D1130" s="53" t="s">
        <v>3095</v>
      </c>
      <c r="E1130" s="131">
        <v>45990</v>
      </c>
      <c r="F1130" s="127" t="s">
        <v>371</v>
      </c>
      <c r="G1130" s="127" t="s">
        <v>864</v>
      </c>
      <c r="H1130" s="54">
        <v>47559.77</v>
      </c>
      <c r="I1130" s="138">
        <v>0.18</v>
      </c>
      <c r="J1130" s="44" t="s">
        <v>3111</v>
      </c>
      <c r="K1130" s="44" t="s">
        <v>1541</v>
      </c>
    </row>
    <row r="1131" spans="1:11" x14ac:dyDescent="0.3">
      <c r="A1131" s="126" t="s">
        <v>390</v>
      </c>
      <c r="B1131" s="126" t="s">
        <v>59</v>
      </c>
      <c r="C1131" s="53" t="s">
        <v>3004</v>
      </c>
      <c r="D1131" s="53" t="s">
        <v>3096</v>
      </c>
      <c r="E1131" s="131">
        <v>45990</v>
      </c>
      <c r="F1131" s="127" t="s">
        <v>619</v>
      </c>
      <c r="G1131" s="127" t="s">
        <v>2086</v>
      </c>
      <c r="H1131" s="54">
        <v>159653.87</v>
      </c>
      <c r="I1131" s="138">
        <v>0.21199999999999999</v>
      </c>
      <c r="J1131" s="44" t="s">
        <v>831</v>
      </c>
      <c r="K1131" s="44" t="s">
        <v>1542</v>
      </c>
    </row>
    <row r="1132" spans="1:11" x14ac:dyDescent="0.3">
      <c r="A1132" s="126" t="s">
        <v>392</v>
      </c>
      <c r="B1132" s="126" t="s">
        <v>59</v>
      </c>
      <c r="C1132" s="53" t="s">
        <v>3097</v>
      </c>
      <c r="D1132" s="53" t="s">
        <v>3009</v>
      </c>
      <c r="E1132" s="131">
        <v>45971</v>
      </c>
      <c r="F1132" s="127" t="s">
        <v>372</v>
      </c>
      <c r="G1132" s="127" t="s">
        <v>10</v>
      </c>
      <c r="H1132" s="54">
        <v>7400</v>
      </c>
      <c r="I1132" s="138">
        <v>0.47</v>
      </c>
      <c r="J1132" s="44" t="s">
        <v>3109</v>
      </c>
      <c r="K1132" s="44" t="s">
        <v>1540</v>
      </c>
    </row>
    <row r="1133" spans="1:11" x14ac:dyDescent="0.3">
      <c r="A1133" s="126" t="s">
        <v>390</v>
      </c>
      <c r="B1133" s="126" t="s">
        <v>59</v>
      </c>
      <c r="C1133" s="53" t="s">
        <v>3098</v>
      </c>
      <c r="D1133" s="53" t="s">
        <v>3103</v>
      </c>
      <c r="E1133" s="131">
        <v>45972</v>
      </c>
      <c r="F1133" s="127" t="s">
        <v>372</v>
      </c>
      <c r="G1133" s="127" t="s">
        <v>10</v>
      </c>
      <c r="H1133" s="54">
        <v>74215.285829999993</v>
      </c>
      <c r="I1133" s="138">
        <v>0.23599999999999999</v>
      </c>
      <c r="J1133" s="44" t="s">
        <v>831</v>
      </c>
      <c r="K1133" s="44" t="s">
        <v>1542</v>
      </c>
    </row>
    <row r="1134" spans="1:11" x14ac:dyDescent="0.3">
      <c r="A1134" s="126" t="s">
        <v>392</v>
      </c>
      <c r="B1134" s="126" t="s">
        <v>59</v>
      </c>
      <c r="C1134" s="53" t="s">
        <v>3099</v>
      </c>
      <c r="D1134" s="53" t="s">
        <v>3104</v>
      </c>
      <c r="E1134" s="131">
        <v>45982</v>
      </c>
      <c r="F1134" s="127" t="s">
        <v>3108</v>
      </c>
      <c r="G1134" s="127" t="s">
        <v>2910</v>
      </c>
      <c r="H1134" s="54">
        <v>56900.5</v>
      </c>
      <c r="I1134" s="138">
        <v>0.29699999999999999</v>
      </c>
      <c r="J1134" s="44" t="s">
        <v>3110</v>
      </c>
      <c r="K1134" s="44" t="s">
        <v>1540</v>
      </c>
    </row>
    <row r="1135" spans="1:11" x14ac:dyDescent="0.3">
      <c r="A1135" s="126" t="s">
        <v>392</v>
      </c>
      <c r="B1135" s="126" t="s">
        <v>59</v>
      </c>
      <c r="C1135" s="53" t="s">
        <v>3100</v>
      </c>
      <c r="D1135" s="53" t="s">
        <v>3105</v>
      </c>
      <c r="E1135" s="131">
        <v>45985</v>
      </c>
      <c r="F1135" s="127" t="s">
        <v>844</v>
      </c>
      <c r="G1135" s="127" t="s">
        <v>863</v>
      </c>
      <c r="H1135" s="54">
        <v>18126.57</v>
      </c>
      <c r="I1135" s="138">
        <v>0.11899999999999999</v>
      </c>
      <c r="J1135" s="44" t="s">
        <v>2909</v>
      </c>
      <c r="K1135" s="44" t="s">
        <v>1540</v>
      </c>
    </row>
    <row r="1136" spans="1:11" x14ac:dyDescent="0.3">
      <c r="A1136" s="126" t="s">
        <v>390</v>
      </c>
      <c r="B1136" s="126" t="s">
        <v>59</v>
      </c>
      <c r="C1136" s="53" t="s">
        <v>3101</v>
      </c>
      <c r="D1136" s="53" t="s">
        <v>3106</v>
      </c>
      <c r="E1136" s="131">
        <v>45985</v>
      </c>
      <c r="F1136" s="127" t="s">
        <v>372</v>
      </c>
      <c r="G1136" s="127" t="s">
        <v>10</v>
      </c>
      <c r="H1136" s="54">
        <v>66395.961225000006</v>
      </c>
      <c r="I1136" s="138">
        <v>0.29099999999999998</v>
      </c>
      <c r="J1136" s="44" t="s">
        <v>831</v>
      </c>
      <c r="K1136" s="44" t="s">
        <v>1542</v>
      </c>
    </row>
    <row r="1137" spans="1:11" x14ac:dyDescent="0.3">
      <c r="A1137" s="126" t="s">
        <v>390</v>
      </c>
      <c r="B1137" s="126" t="s">
        <v>59</v>
      </c>
      <c r="C1137" s="53" t="s">
        <v>3102</v>
      </c>
      <c r="D1137" s="53" t="s">
        <v>3107</v>
      </c>
      <c r="E1137" s="131">
        <v>45989</v>
      </c>
      <c r="F1137" s="127" t="s">
        <v>2281</v>
      </c>
      <c r="G1137" s="127" t="s">
        <v>2305</v>
      </c>
      <c r="H1137" s="54">
        <v>10274.151999999998</v>
      </c>
      <c r="I1137" s="138">
        <v>1</v>
      </c>
      <c r="J1137" s="44" t="s">
        <v>831</v>
      </c>
      <c r="K1137" s="44" t="s">
        <v>1542</v>
      </c>
    </row>
    <row r="1138" spans="1:11" x14ac:dyDescent="0.3">
      <c r="A1138" s="126" t="s">
        <v>390</v>
      </c>
      <c r="B1138" s="126" t="s">
        <v>3297</v>
      </c>
      <c r="C1138" s="53" t="s">
        <v>3117</v>
      </c>
      <c r="D1138" s="53" t="s">
        <v>3118</v>
      </c>
      <c r="E1138" s="131">
        <v>45995</v>
      </c>
      <c r="F1138" s="127" t="s">
        <v>372</v>
      </c>
      <c r="G1138" s="127" t="s">
        <v>10</v>
      </c>
      <c r="H1138" s="54">
        <v>73252.3</v>
      </c>
      <c r="I1138" s="138">
        <v>0.214</v>
      </c>
      <c r="J1138" s="44" t="s">
        <v>831</v>
      </c>
      <c r="K1138" s="44" t="s">
        <v>1542</v>
      </c>
    </row>
    <row r="1139" spans="1:11" x14ac:dyDescent="0.3">
      <c r="A1139" s="126" t="s">
        <v>392</v>
      </c>
      <c r="B1139" s="126" t="s">
        <v>3297</v>
      </c>
      <c r="C1139" s="53" t="s">
        <v>3119</v>
      </c>
      <c r="D1139" s="53" t="s">
        <v>3120</v>
      </c>
      <c r="E1139" s="131">
        <v>45996</v>
      </c>
      <c r="F1139" s="127" t="s">
        <v>372</v>
      </c>
      <c r="G1139" s="127" t="s">
        <v>10</v>
      </c>
      <c r="H1139" s="54">
        <v>42000</v>
      </c>
      <c r="I1139" s="138">
        <v>0.39800000000000002</v>
      </c>
      <c r="J1139" s="44" t="s">
        <v>2894</v>
      </c>
      <c r="K1139" s="44" t="s">
        <v>1540</v>
      </c>
    </row>
    <row r="1140" spans="1:11" x14ac:dyDescent="0.3">
      <c r="A1140" s="126" t="s">
        <v>390</v>
      </c>
      <c r="B1140" s="126" t="s">
        <v>3297</v>
      </c>
      <c r="C1140" s="53" t="s">
        <v>3121</v>
      </c>
      <c r="D1140" s="53" t="s">
        <v>3122</v>
      </c>
      <c r="E1140" s="131">
        <v>45996</v>
      </c>
      <c r="F1140" s="127" t="s">
        <v>371</v>
      </c>
      <c r="G1140" s="127" t="s">
        <v>864</v>
      </c>
      <c r="H1140" s="54">
        <v>19722.080000000002</v>
      </c>
      <c r="I1140" s="138">
        <v>0.19900000000000001</v>
      </c>
      <c r="J1140" s="44" t="s">
        <v>3111</v>
      </c>
      <c r="K1140" s="44" t="s">
        <v>1541</v>
      </c>
    </row>
    <row r="1141" spans="1:11" x14ac:dyDescent="0.3">
      <c r="A1141" s="126" t="s">
        <v>390</v>
      </c>
      <c r="B1141" s="126" t="s">
        <v>3297</v>
      </c>
      <c r="C1141" s="53" t="s">
        <v>3123</v>
      </c>
      <c r="D1141" s="53" t="s">
        <v>3124</v>
      </c>
      <c r="E1141" s="131">
        <v>45999</v>
      </c>
      <c r="F1141" s="127" t="s">
        <v>371</v>
      </c>
      <c r="G1141" s="127" t="s">
        <v>864</v>
      </c>
      <c r="H1141" s="54">
        <v>16394.97</v>
      </c>
      <c r="I1141" s="138">
        <v>0.21299999999999999</v>
      </c>
      <c r="J1141" s="44" t="s">
        <v>3111</v>
      </c>
      <c r="K1141" s="44" t="s">
        <v>1541</v>
      </c>
    </row>
    <row r="1142" spans="1:11" x14ac:dyDescent="0.3">
      <c r="A1142" s="126" t="s">
        <v>390</v>
      </c>
      <c r="B1142" s="126" t="s">
        <v>3297</v>
      </c>
      <c r="C1142" s="53" t="s">
        <v>3125</v>
      </c>
      <c r="D1142" s="53" t="s">
        <v>3126</v>
      </c>
      <c r="E1142" s="131">
        <v>45999</v>
      </c>
      <c r="F1142" s="127" t="s">
        <v>372</v>
      </c>
      <c r="G1142" s="127" t="s">
        <v>10</v>
      </c>
      <c r="H1142" s="54">
        <v>3540</v>
      </c>
      <c r="I1142" s="138">
        <v>0.25900000000000001</v>
      </c>
      <c r="J1142" s="44" t="s">
        <v>831</v>
      </c>
      <c r="K1142" s="44" t="s">
        <v>1542</v>
      </c>
    </row>
    <row r="1143" spans="1:11" x14ac:dyDescent="0.3">
      <c r="A1143" s="126" t="s">
        <v>390</v>
      </c>
      <c r="B1143" s="126" t="s">
        <v>3297</v>
      </c>
      <c r="C1143" s="53" t="s">
        <v>3127</v>
      </c>
      <c r="D1143" s="53" t="s">
        <v>3128</v>
      </c>
      <c r="E1143" s="131">
        <v>45999</v>
      </c>
      <c r="F1143" s="127" t="s">
        <v>372</v>
      </c>
      <c r="G1143" s="127" t="s">
        <v>10</v>
      </c>
      <c r="H1143" s="54">
        <v>3540</v>
      </c>
      <c r="I1143" s="138">
        <v>0.25900000000000001</v>
      </c>
      <c r="J1143" s="44" t="s">
        <v>831</v>
      </c>
      <c r="K1143" s="44" t="s">
        <v>1542</v>
      </c>
    </row>
    <row r="1144" spans="1:11" x14ac:dyDescent="0.3">
      <c r="A1144" s="126" t="s">
        <v>390</v>
      </c>
      <c r="B1144" s="126" t="s">
        <v>3297</v>
      </c>
      <c r="C1144" s="53" t="s">
        <v>3129</v>
      </c>
      <c r="D1144" s="53" t="s">
        <v>3130</v>
      </c>
      <c r="E1144" s="131">
        <v>46000</v>
      </c>
      <c r="F1144" s="127" t="s">
        <v>372</v>
      </c>
      <c r="G1144" s="127" t="s">
        <v>10</v>
      </c>
      <c r="H1144" s="54">
        <v>10087.379999999999</v>
      </c>
      <c r="I1144" s="138">
        <v>0.27100000000000002</v>
      </c>
      <c r="J1144" s="44" t="s">
        <v>831</v>
      </c>
      <c r="K1144" s="44" t="s">
        <v>1541</v>
      </c>
    </row>
    <row r="1145" spans="1:11" x14ac:dyDescent="0.3">
      <c r="A1145" s="126" t="s">
        <v>390</v>
      </c>
      <c r="B1145" s="126" t="s">
        <v>3297</v>
      </c>
      <c r="C1145" s="53" t="s">
        <v>3131</v>
      </c>
      <c r="D1145" s="53" t="s">
        <v>3132</v>
      </c>
      <c r="E1145" s="131">
        <v>46000</v>
      </c>
      <c r="F1145" s="127" t="s">
        <v>371</v>
      </c>
      <c r="G1145" s="127" t="s">
        <v>864</v>
      </c>
      <c r="H1145" s="54">
        <v>17490.11</v>
      </c>
      <c r="I1145" s="138">
        <v>0.20399999999999999</v>
      </c>
      <c r="J1145" s="44" t="s">
        <v>3111</v>
      </c>
      <c r="K1145" s="44" t="s">
        <v>1541</v>
      </c>
    </row>
    <row r="1146" spans="1:11" x14ac:dyDescent="0.3">
      <c r="A1146" s="126" t="s">
        <v>392</v>
      </c>
      <c r="B1146" s="126" t="s">
        <v>3297</v>
      </c>
      <c r="C1146" s="53" t="s">
        <v>3133</v>
      </c>
      <c r="D1146" s="53" t="s">
        <v>3134</v>
      </c>
      <c r="E1146" s="131">
        <v>46001</v>
      </c>
      <c r="F1146" s="127" t="s">
        <v>370</v>
      </c>
      <c r="G1146" s="127" t="s">
        <v>63</v>
      </c>
      <c r="H1146" s="54">
        <v>4500</v>
      </c>
      <c r="I1146" s="138">
        <v>0.6</v>
      </c>
      <c r="J1146" s="44" t="s">
        <v>2894</v>
      </c>
      <c r="K1146" s="44" t="s">
        <v>1540</v>
      </c>
    </row>
    <row r="1147" spans="1:11" x14ac:dyDescent="0.3">
      <c r="A1147" s="126" t="s">
        <v>390</v>
      </c>
      <c r="B1147" s="126" t="s">
        <v>3297</v>
      </c>
      <c r="C1147" s="53" t="s">
        <v>3135</v>
      </c>
      <c r="D1147" s="53" t="s">
        <v>3136</v>
      </c>
      <c r="E1147" s="131">
        <v>46001</v>
      </c>
      <c r="F1147" s="127" t="s">
        <v>370</v>
      </c>
      <c r="G1147" s="127" t="s">
        <v>63</v>
      </c>
      <c r="H1147" s="54">
        <v>9504.75</v>
      </c>
      <c r="I1147" s="138">
        <v>0.48799999999999999</v>
      </c>
      <c r="J1147" s="44" t="s">
        <v>2894</v>
      </c>
      <c r="K1147" s="44" t="s">
        <v>1541</v>
      </c>
    </row>
    <row r="1148" spans="1:11" x14ac:dyDescent="0.3">
      <c r="A1148" s="126" t="s">
        <v>390</v>
      </c>
      <c r="B1148" s="126" t="s">
        <v>3297</v>
      </c>
      <c r="C1148" s="53" t="s">
        <v>3137</v>
      </c>
      <c r="D1148" s="53" t="s">
        <v>3138</v>
      </c>
      <c r="E1148" s="131">
        <v>46001</v>
      </c>
      <c r="F1148" s="127" t="s">
        <v>370</v>
      </c>
      <c r="G1148" s="127" t="s">
        <v>63</v>
      </c>
      <c r="H1148" s="54">
        <v>9254</v>
      </c>
      <c r="I1148" s="138">
        <v>0.47599999999999998</v>
      </c>
      <c r="J1148" s="44" t="s">
        <v>1977</v>
      </c>
      <c r="K1148" s="44" t="s">
        <v>1541</v>
      </c>
    </row>
    <row r="1149" spans="1:11" x14ac:dyDescent="0.3">
      <c r="A1149" s="126" t="s">
        <v>392</v>
      </c>
      <c r="B1149" s="126" t="s">
        <v>3297</v>
      </c>
      <c r="C1149" s="53" t="s">
        <v>3139</v>
      </c>
      <c r="D1149" s="53" t="s">
        <v>3140</v>
      </c>
      <c r="E1149" s="131">
        <v>46001</v>
      </c>
      <c r="F1149" s="127" t="s">
        <v>370</v>
      </c>
      <c r="G1149" s="127" t="s">
        <v>63</v>
      </c>
      <c r="H1149" s="54">
        <v>4200</v>
      </c>
      <c r="I1149" s="138">
        <v>0.61899999999999999</v>
      </c>
      <c r="J1149" s="44" t="s">
        <v>1977</v>
      </c>
      <c r="K1149" s="44" t="s">
        <v>1540</v>
      </c>
    </row>
    <row r="1150" spans="1:11" x14ac:dyDescent="0.3">
      <c r="A1150" s="126" t="s">
        <v>392</v>
      </c>
      <c r="B1150" s="126" t="s">
        <v>3297</v>
      </c>
      <c r="C1150" s="53" t="s">
        <v>3141</v>
      </c>
      <c r="D1150" s="53" t="s">
        <v>3142</v>
      </c>
      <c r="E1150" s="131">
        <v>46001</v>
      </c>
      <c r="F1150" s="127" t="s">
        <v>370</v>
      </c>
      <c r="G1150" s="127" t="s">
        <v>63</v>
      </c>
      <c r="H1150" s="54">
        <v>4200</v>
      </c>
      <c r="I1150" s="138">
        <v>0.61899999999999999</v>
      </c>
      <c r="J1150" s="44" t="s">
        <v>1977</v>
      </c>
      <c r="K1150" s="44" t="s">
        <v>1540</v>
      </c>
    </row>
    <row r="1151" spans="1:11" x14ac:dyDescent="0.3">
      <c r="A1151" s="126" t="s">
        <v>392</v>
      </c>
      <c r="B1151" s="126" t="s">
        <v>3297</v>
      </c>
      <c r="C1151" s="53" t="s">
        <v>3143</v>
      </c>
      <c r="D1151" s="53" t="s">
        <v>3144</v>
      </c>
      <c r="E1151" s="131">
        <v>46001</v>
      </c>
      <c r="F1151" s="127" t="s">
        <v>372</v>
      </c>
      <c r="G1151" s="127" t="s">
        <v>10</v>
      </c>
      <c r="H1151" s="54">
        <v>42000</v>
      </c>
      <c r="I1151" s="138">
        <v>0.34300000000000003</v>
      </c>
      <c r="J1151" s="44" t="s">
        <v>2894</v>
      </c>
      <c r="K1151" s="44" t="s">
        <v>1540</v>
      </c>
    </row>
    <row r="1152" spans="1:11" x14ac:dyDescent="0.3">
      <c r="A1152" s="126" t="s">
        <v>392</v>
      </c>
      <c r="B1152" s="126" t="s">
        <v>3297</v>
      </c>
      <c r="C1152" s="53" t="s">
        <v>3145</v>
      </c>
      <c r="D1152" s="53" t="s">
        <v>3146</v>
      </c>
      <c r="E1152" s="131">
        <v>46001</v>
      </c>
      <c r="F1152" s="127" t="s">
        <v>372</v>
      </c>
      <c r="G1152" s="127" t="s">
        <v>10</v>
      </c>
      <c r="H1152" s="54">
        <v>42000</v>
      </c>
      <c r="I1152" s="138">
        <v>0.41</v>
      </c>
      <c r="J1152" s="44" t="s">
        <v>2894</v>
      </c>
      <c r="K1152" s="44" t="s">
        <v>1540</v>
      </c>
    </row>
    <row r="1153" spans="1:11" x14ac:dyDescent="0.3">
      <c r="A1153" s="126" t="s">
        <v>392</v>
      </c>
      <c r="B1153" s="126" t="s">
        <v>3297</v>
      </c>
      <c r="C1153" s="53" t="s">
        <v>3147</v>
      </c>
      <c r="D1153" s="53" t="s">
        <v>3148</v>
      </c>
      <c r="E1153" s="131">
        <v>46002</v>
      </c>
      <c r="F1153" s="127" t="s">
        <v>842</v>
      </c>
      <c r="G1153" s="127" t="s">
        <v>843</v>
      </c>
      <c r="H1153" s="54">
        <v>22000</v>
      </c>
      <c r="I1153" s="138">
        <v>0.46100000000000002</v>
      </c>
      <c r="J1153" s="44" t="s">
        <v>1977</v>
      </c>
      <c r="K1153" s="44" t="s">
        <v>1540</v>
      </c>
    </row>
    <row r="1154" spans="1:11" x14ac:dyDescent="0.3">
      <c r="A1154" s="126" t="s">
        <v>392</v>
      </c>
      <c r="B1154" s="126" t="s">
        <v>3297</v>
      </c>
      <c r="C1154" s="53" t="s">
        <v>3149</v>
      </c>
      <c r="D1154" s="53" t="s">
        <v>3150</v>
      </c>
      <c r="E1154" s="131">
        <v>46003</v>
      </c>
      <c r="F1154" s="127" t="s">
        <v>370</v>
      </c>
      <c r="G1154" s="127" t="s">
        <v>63</v>
      </c>
      <c r="H1154" s="54">
        <v>4200</v>
      </c>
      <c r="I1154" s="138">
        <v>0.61899999999999999</v>
      </c>
      <c r="J1154" s="44" t="s">
        <v>1977</v>
      </c>
      <c r="K1154" s="44" t="s">
        <v>1540</v>
      </c>
    </row>
    <row r="1155" spans="1:11" x14ac:dyDescent="0.3">
      <c r="A1155" s="126" t="s">
        <v>392</v>
      </c>
      <c r="B1155" s="126" t="s">
        <v>3297</v>
      </c>
      <c r="C1155" s="53" t="s">
        <v>3151</v>
      </c>
      <c r="D1155" s="53" t="s">
        <v>3152</v>
      </c>
      <c r="E1155" s="131">
        <v>46006</v>
      </c>
      <c r="F1155" s="127" t="s">
        <v>372</v>
      </c>
      <c r="G1155" s="127" t="s">
        <v>10</v>
      </c>
      <c r="H1155" s="54">
        <v>7200</v>
      </c>
      <c r="I1155" s="138">
        <v>0.58599999999999997</v>
      </c>
      <c r="J1155" s="44" t="s">
        <v>3298</v>
      </c>
      <c r="K1155" s="44" t="s">
        <v>1540</v>
      </c>
    </row>
    <row r="1156" spans="1:11" x14ac:dyDescent="0.3">
      <c r="A1156" s="126" t="s">
        <v>390</v>
      </c>
      <c r="B1156" s="126" t="s">
        <v>3297</v>
      </c>
      <c r="C1156" s="53" t="s">
        <v>3153</v>
      </c>
      <c r="D1156" s="53" t="s">
        <v>3154</v>
      </c>
      <c r="E1156" s="131">
        <v>46006</v>
      </c>
      <c r="F1156" s="127" t="s">
        <v>370</v>
      </c>
      <c r="G1156" s="127" t="s">
        <v>63</v>
      </c>
      <c r="H1156" s="54">
        <v>10000</v>
      </c>
      <c r="I1156" s="138">
        <v>0.44600000000000001</v>
      </c>
      <c r="J1156" s="44" t="s">
        <v>1977</v>
      </c>
      <c r="K1156" s="44" t="s">
        <v>1541</v>
      </c>
    </row>
    <row r="1157" spans="1:11" x14ac:dyDescent="0.3">
      <c r="A1157" s="126" t="s">
        <v>392</v>
      </c>
      <c r="B1157" s="126" t="s">
        <v>3297</v>
      </c>
      <c r="C1157" s="53" t="s">
        <v>3155</v>
      </c>
      <c r="D1157" s="53" t="s">
        <v>3156</v>
      </c>
      <c r="E1157" s="131">
        <v>46006</v>
      </c>
      <c r="F1157" s="127" t="s">
        <v>370</v>
      </c>
      <c r="G1157" s="127" t="s">
        <v>63</v>
      </c>
      <c r="H1157" s="54">
        <v>4200</v>
      </c>
      <c r="I1157" s="138">
        <v>0.61899999999999999</v>
      </c>
      <c r="J1157" s="44" t="s">
        <v>1977</v>
      </c>
      <c r="K1157" s="44" t="s">
        <v>1540</v>
      </c>
    </row>
    <row r="1158" spans="1:11" x14ac:dyDescent="0.3">
      <c r="A1158" s="126" t="s">
        <v>392</v>
      </c>
      <c r="B1158" s="126" t="s">
        <v>3297</v>
      </c>
      <c r="C1158" s="53" t="s">
        <v>3157</v>
      </c>
      <c r="D1158" s="53" t="s">
        <v>3158</v>
      </c>
      <c r="E1158" s="131">
        <v>46006</v>
      </c>
      <c r="F1158" s="127" t="s">
        <v>370</v>
      </c>
      <c r="G1158" s="127" t="s">
        <v>63</v>
      </c>
      <c r="H1158" s="54">
        <v>4200</v>
      </c>
      <c r="I1158" s="138">
        <v>0.61899999999999999</v>
      </c>
      <c r="J1158" s="44" t="s">
        <v>1977</v>
      </c>
      <c r="K1158" s="44" t="s">
        <v>1540</v>
      </c>
    </row>
    <row r="1159" spans="1:11" x14ac:dyDescent="0.3">
      <c r="A1159" s="126" t="s">
        <v>392</v>
      </c>
      <c r="B1159" s="126" t="s">
        <v>3297</v>
      </c>
      <c r="C1159" s="53" t="s">
        <v>3159</v>
      </c>
      <c r="D1159" s="53" t="s">
        <v>3160</v>
      </c>
      <c r="E1159" s="131">
        <v>46006</v>
      </c>
      <c r="F1159" s="127" t="s">
        <v>370</v>
      </c>
      <c r="G1159" s="127" t="s">
        <v>63</v>
      </c>
      <c r="H1159" s="54">
        <v>4200</v>
      </c>
      <c r="I1159" s="138">
        <v>0.61899999999999999</v>
      </c>
      <c r="J1159" s="44" t="s">
        <v>1977</v>
      </c>
      <c r="K1159" s="44" t="s">
        <v>1540</v>
      </c>
    </row>
    <row r="1160" spans="1:11" x14ac:dyDescent="0.3">
      <c r="A1160" s="126" t="s">
        <v>392</v>
      </c>
      <c r="B1160" s="126" t="s">
        <v>3297</v>
      </c>
      <c r="C1160" s="53" t="s">
        <v>3161</v>
      </c>
      <c r="D1160" s="53" t="s">
        <v>3162</v>
      </c>
      <c r="E1160" s="131">
        <v>46007</v>
      </c>
      <c r="F1160" s="127" t="s">
        <v>844</v>
      </c>
      <c r="G1160" s="127" t="s">
        <v>863</v>
      </c>
      <c r="H1160" s="54">
        <v>21000</v>
      </c>
      <c r="I1160" s="138">
        <v>0.27100000000000002</v>
      </c>
      <c r="J1160" s="44" t="s">
        <v>1977</v>
      </c>
      <c r="K1160" s="44" t="s">
        <v>1540</v>
      </c>
    </row>
    <row r="1161" spans="1:11" x14ac:dyDescent="0.3">
      <c r="A1161" s="126" t="s">
        <v>392</v>
      </c>
      <c r="B1161" s="126" t="s">
        <v>3297</v>
      </c>
      <c r="C1161" s="53" t="s">
        <v>3163</v>
      </c>
      <c r="D1161" s="53" t="s">
        <v>3164</v>
      </c>
      <c r="E1161" s="131">
        <v>46007</v>
      </c>
      <c r="F1161" s="127" t="s">
        <v>842</v>
      </c>
      <c r="G1161" s="127" t="s">
        <v>843</v>
      </c>
      <c r="H1161" s="54">
        <v>22000</v>
      </c>
      <c r="I1161" s="138">
        <v>0.46200000000000002</v>
      </c>
      <c r="J1161" s="44" t="s">
        <v>1977</v>
      </c>
      <c r="K1161" s="44" t="s">
        <v>1540</v>
      </c>
    </row>
    <row r="1162" spans="1:11" x14ac:dyDescent="0.3">
      <c r="A1162" s="126" t="s">
        <v>392</v>
      </c>
      <c r="B1162" s="126" t="s">
        <v>3297</v>
      </c>
      <c r="C1162" s="53" t="s">
        <v>3165</v>
      </c>
      <c r="D1162" s="53" t="s">
        <v>3166</v>
      </c>
      <c r="E1162" s="131">
        <v>46007</v>
      </c>
      <c r="F1162" s="127" t="s">
        <v>371</v>
      </c>
      <c r="G1162" s="127" t="s">
        <v>864</v>
      </c>
      <c r="H1162" s="54">
        <v>22200</v>
      </c>
      <c r="I1162" s="138">
        <v>0.69399999999999995</v>
      </c>
      <c r="J1162" s="44" t="s">
        <v>3111</v>
      </c>
      <c r="K1162" s="44" t="s">
        <v>1540</v>
      </c>
    </row>
    <row r="1163" spans="1:11" x14ac:dyDescent="0.3">
      <c r="A1163" s="126" t="s">
        <v>392</v>
      </c>
      <c r="B1163" s="126" t="s">
        <v>3297</v>
      </c>
      <c r="C1163" s="53" t="s">
        <v>3167</v>
      </c>
      <c r="D1163" s="53" t="s">
        <v>3168</v>
      </c>
      <c r="E1163" s="131">
        <v>46007</v>
      </c>
      <c r="F1163" s="127" t="s">
        <v>370</v>
      </c>
      <c r="G1163" s="127" t="s">
        <v>63</v>
      </c>
      <c r="H1163" s="54">
        <v>18500</v>
      </c>
      <c r="I1163" s="138">
        <v>0.52400000000000002</v>
      </c>
      <c r="J1163" s="44" t="s">
        <v>1977</v>
      </c>
      <c r="K1163" s="44" t="s">
        <v>1540</v>
      </c>
    </row>
    <row r="1164" spans="1:11" x14ac:dyDescent="0.3">
      <c r="A1164" s="126" t="s">
        <v>390</v>
      </c>
      <c r="B1164" s="126" t="s">
        <v>3297</v>
      </c>
      <c r="C1164" s="53" t="s">
        <v>3169</v>
      </c>
      <c r="D1164" s="53" t="s">
        <v>3170</v>
      </c>
      <c r="E1164" s="131">
        <v>46007</v>
      </c>
      <c r="F1164" s="127" t="s">
        <v>375</v>
      </c>
      <c r="G1164" s="127" t="s">
        <v>2303</v>
      </c>
      <c r="H1164" s="54">
        <v>11541.849999999999</v>
      </c>
      <c r="I1164" s="138">
        <v>0.41099999999999998</v>
      </c>
      <c r="J1164" s="44" t="s">
        <v>831</v>
      </c>
      <c r="K1164" s="44" t="s">
        <v>1541</v>
      </c>
    </row>
    <row r="1165" spans="1:11" x14ac:dyDescent="0.3">
      <c r="A1165" s="126" t="s">
        <v>390</v>
      </c>
      <c r="B1165" s="126" t="s">
        <v>3297</v>
      </c>
      <c r="C1165" s="53" t="s">
        <v>3171</v>
      </c>
      <c r="D1165" s="53" t="s">
        <v>3172</v>
      </c>
      <c r="E1165" s="131">
        <v>46008</v>
      </c>
      <c r="F1165" s="127" t="s">
        <v>372</v>
      </c>
      <c r="G1165" s="127" t="s">
        <v>10</v>
      </c>
      <c r="H1165" s="54">
        <v>31571.54</v>
      </c>
      <c r="I1165" s="138">
        <v>0.21</v>
      </c>
      <c r="J1165" s="44" t="s">
        <v>831</v>
      </c>
      <c r="K1165" s="44" t="s">
        <v>1541</v>
      </c>
    </row>
    <row r="1166" spans="1:11" x14ac:dyDescent="0.3">
      <c r="A1166" s="126" t="s">
        <v>390</v>
      </c>
      <c r="B1166" s="126" t="s">
        <v>3297</v>
      </c>
      <c r="C1166" s="53" t="s">
        <v>3173</v>
      </c>
      <c r="D1166" s="53" t="s">
        <v>3174</v>
      </c>
      <c r="E1166" s="131">
        <v>46008</v>
      </c>
      <c r="F1166" s="127" t="s">
        <v>372</v>
      </c>
      <c r="G1166" s="127" t="s">
        <v>10</v>
      </c>
      <c r="H1166" s="54">
        <v>73254.009999999995</v>
      </c>
      <c r="I1166" s="138">
        <v>0.20200000000000001</v>
      </c>
      <c r="J1166" s="44" t="s">
        <v>831</v>
      </c>
      <c r="K1166" s="44" t="s">
        <v>1542</v>
      </c>
    </row>
    <row r="1167" spans="1:11" x14ac:dyDescent="0.3">
      <c r="A1167" s="126" t="s">
        <v>392</v>
      </c>
      <c r="B1167" s="126" t="s">
        <v>3297</v>
      </c>
      <c r="C1167" s="53" t="s">
        <v>3175</v>
      </c>
      <c r="D1167" s="53" t="s">
        <v>3176</v>
      </c>
      <c r="E1167" s="131">
        <v>46008</v>
      </c>
      <c r="F1167" s="127" t="s">
        <v>372</v>
      </c>
      <c r="G1167" s="127" t="s">
        <v>10</v>
      </c>
      <c r="H1167" s="54">
        <v>42000</v>
      </c>
      <c r="I1167" s="138">
        <v>0.41</v>
      </c>
      <c r="J1167" s="44" t="s">
        <v>2894</v>
      </c>
      <c r="K1167" s="44" t="s">
        <v>1540</v>
      </c>
    </row>
    <row r="1168" spans="1:11" x14ac:dyDescent="0.3">
      <c r="A1168" s="126" t="s">
        <v>392</v>
      </c>
      <c r="B1168" s="126" t="s">
        <v>3297</v>
      </c>
      <c r="C1168" s="53" t="s">
        <v>3177</v>
      </c>
      <c r="D1168" s="53" t="s">
        <v>3178</v>
      </c>
      <c r="E1168" s="131">
        <v>46008</v>
      </c>
      <c r="F1168" s="127" t="s">
        <v>370</v>
      </c>
      <c r="G1168" s="127" t="s">
        <v>63</v>
      </c>
      <c r="H1168" s="54">
        <v>4200</v>
      </c>
      <c r="I1168" s="138">
        <v>0.61899999999999999</v>
      </c>
      <c r="J1168" s="44" t="s">
        <v>1977</v>
      </c>
      <c r="K1168" s="44" t="s">
        <v>1540</v>
      </c>
    </row>
    <row r="1169" spans="1:11" x14ac:dyDescent="0.3">
      <c r="A1169" s="126" t="s">
        <v>392</v>
      </c>
      <c r="B1169" s="126" t="s">
        <v>3297</v>
      </c>
      <c r="C1169" s="53" t="s">
        <v>3179</v>
      </c>
      <c r="D1169" s="53" t="s">
        <v>3180</v>
      </c>
      <c r="E1169" s="131">
        <v>46008</v>
      </c>
      <c r="F1169" s="127" t="s">
        <v>370</v>
      </c>
      <c r="G1169" s="127" t="s">
        <v>63</v>
      </c>
      <c r="H1169" s="54">
        <v>4200</v>
      </c>
      <c r="I1169" s="138">
        <v>0.61899999999999999</v>
      </c>
      <c r="J1169" s="44" t="s">
        <v>1977</v>
      </c>
      <c r="K1169" s="44" t="s">
        <v>1540</v>
      </c>
    </row>
    <row r="1170" spans="1:11" x14ac:dyDescent="0.3">
      <c r="A1170" s="126" t="s">
        <v>392</v>
      </c>
      <c r="B1170" s="126" t="s">
        <v>3297</v>
      </c>
      <c r="C1170" s="53" t="s">
        <v>3181</v>
      </c>
      <c r="D1170" s="53" t="s">
        <v>3182</v>
      </c>
      <c r="E1170" s="131">
        <v>46008</v>
      </c>
      <c r="F1170" s="127" t="s">
        <v>370</v>
      </c>
      <c r="G1170" s="127" t="s">
        <v>63</v>
      </c>
      <c r="H1170" s="54">
        <v>4200</v>
      </c>
      <c r="I1170" s="138">
        <v>0.61899999999999999</v>
      </c>
      <c r="J1170" s="44" t="s">
        <v>1977</v>
      </c>
      <c r="K1170" s="44" t="s">
        <v>1540</v>
      </c>
    </row>
    <row r="1171" spans="1:11" x14ac:dyDescent="0.3">
      <c r="A1171" s="126" t="s">
        <v>390</v>
      </c>
      <c r="B1171" s="126" t="s">
        <v>3297</v>
      </c>
      <c r="C1171" s="53" t="s">
        <v>3183</v>
      </c>
      <c r="D1171" s="53" t="s">
        <v>3184</v>
      </c>
      <c r="E1171" s="131">
        <v>46008</v>
      </c>
      <c r="F1171" s="127" t="s">
        <v>371</v>
      </c>
      <c r="G1171" s="127" t="s">
        <v>864</v>
      </c>
      <c r="H1171" s="54">
        <v>23181.32</v>
      </c>
      <c r="I1171" s="138">
        <v>0.17199999999999999</v>
      </c>
      <c r="J1171" s="44" t="s">
        <v>3111</v>
      </c>
      <c r="K1171" s="44" t="s">
        <v>1541</v>
      </c>
    </row>
    <row r="1172" spans="1:11" x14ac:dyDescent="0.3">
      <c r="A1172" s="126" t="s">
        <v>390</v>
      </c>
      <c r="B1172" s="126" t="s">
        <v>3297</v>
      </c>
      <c r="C1172" s="53" t="s">
        <v>3185</v>
      </c>
      <c r="D1172" s="53" t="s">
        <v>3186</v>
      </c>
      <c r="E1172" s="131">
        <v>46008</v>
      </c>
      <c r="F1172" s="127" t="s">
        <v>371</v>
      </c>
      <c r="G1172" s="127" t="s">
        <v>864</v>
      </c>
      <c r="H1172" s="54">
        <v>24123.82</v>
      </c>
      <c r="I1172" s="138">
        <v>0.187</v>
      </c>
      <c r="J1172" s="44" t="s">
        <v>3111</v>
      </c>
      <c r="K1172" s="44" t="s">
        <v>1541</v>
      </c>
    </row>
    <row r="1173" spans="1:11" x14ac:dyDescent="0.3">
      <c r="A1173" s="126" t="s">
        <v>390</v>
      </c>
      <c r="B1173" s="126" t="s">
        <v>3297</v>
      </c>
      <c r="C1173" s="53" t="s">
        <v>3187</v>
      </c>
      <c r="D1173" s="53" t="s">
        <v>3188</v>
      </c>
      <c r="E1173" s="131">
        <v>46008</v>
      </c>
      <c r="F1173" s="127" t="s">
        <v>371</v>
      </c>
      <c r="G1173" s="127" t="s">
        <v>864</v>
      </c>
      <c r="H1173" s="54">
        <v>34062.75</v>
      </c>
      <c r="I1173" s="138">
        <v>0.17</v>
      </c>
      <c r="J1173" s="44" t="s">
        <v>3111</v>
      </c>
      <c r="K1173" s="44" t="s">
        <v>1541</v>
      </c>
    </row>
    <row r="1174" spans="1:11" x14ac:dyDescent="0.3">
      <c r="A1174" s="126" t="s">
        <v>390</v>
      </c>
      <c r="B1174" s="126" t="s">
        <v>3297</v>
      </c>
      <c r="C1174" s="53" t="s">
        <v>3189</v>
      </c>
      <c r="D1174" s="53" t="s">
        <v>3190</v>
      </c>
      <c r="E1174" s="131">
        <v>46008</v>
      </c>
      <c r="F1174" s="127" t="s">
        <v>371</v>
      </c>
      <c r="G1174" s="127" t="s">
        <v>864</v>
      </c>
      <c r="H1174" s="54">
        <v>20627.97</v>
      </c>
      <c r="I1174" s="138">
        <v>0.19600000000000001</v>
      </c>
      <c r="J1174" s="44" t="s">
        <v>3111</v>
      </c>
      <c r="K1174" s="44" t="s">
        <v>1541</v>
      </c>
    </row>
    <row r="1175" spans="1:11" x14ac:dyDescent="0.3">
      <c r="A1175" s="126" t="s">
        <v>390</v>
      </c>
      <c r="B1175" s="126" t="s">
        <v>3297</v>
      </c>
      <c r="C1175" s="53" t="s">
        <v>3191</v>
      </c>
      <c r="D1175" s="53" t="s">
        <v>3192</v>
      </c>
      <c r="E1175" s="131">
        <v>46008</v>
      </c>
      <c r="F1175" s="127" t="s">
        <v>370</v>
      </c>
      <c r="G1175" s="127" t="s">
        <v>63</v>
      </c>
      <c r="H1175" s="54">
        <v>7382</v>
      </c>
      <c r="I1175" s="138">
        <v>0.55300000000000005</v>
      </c>
      <c r="J1175" s="44" t="s">
        <v>1977</v>
      </c>
      <c r="K1175" s="44" t="s">
        <v>1541</v>
      </c>
    </row>
    <row r="1176" spans="1:11" x14ac:dyDescent="0.3">
      <c r="A1176" s="126" t="s">
        <v>390</v>
      </c>
      <c r="B1176" s="126" t="s">
        <v>3297</v>
      </c>
      <c r="C1176" s="53" t="s">
        <v>3193</v>
      </c>
      <c r="D1176" s="53" t="s">
        <v>3194</v>
      </c>
      <c r="E1176" s="131">
        <v>46008</v>
      </c>
      <c r="F1176" s="127" t="s">
        <v>370</v>
      </c>
      <c r="G1176" s="127" t="s">
        <v>63</v>
      </c>
      <c r="H1176" s="54">
        <v>7981</v>
      </c>
      <c r="I1176" s="138">
        <v>0.53100000000000003</v>
      </c>
      <c r="J1176" s="44" t="s">
        <v>1977</v>
      </c>
      <c r="K1176" s="44" t="s">
        <v>1541</v>
      </c>
    </row>
    <row r="1177" spans="1:11" x14ac:dyDescent="0.3">
      <c r="A1177" s="126" t="s">
        <v>390</v>
      </c>
      <c r="B1177" s="126" t="s">
        <v>3297</v>
      </c>
      <c r="C1177" s="53" t="s">
        <v>3195</v>
      </c>
      <c r="D1177" s="53" t="s">
        <v>3196</v>
      </c>
      <c r="E1177" s="131">
        <v>46008</v>
      </c>
      <c r="F1177" s="127" t="s">
        <v>372</v>
      </c>
      <c r="G1177" s="127" t="s">
        <v>10</v>
      </c>
      <c r="H1177" s="54">
        <v>116383.17</v>
      </c>
      <c r="I1177" s="138">
        <v>0.157</v>
      </c>
      <c r="J1177" s="44" t="s">
        <v>831</v>
      </c>
      <c r="K1177" s="44" t="s">
        <v>1542</v>
      </c>
    </row>
    <row r="1178" spans="1:11" x14ac:dyDescent="0.3">
      <c r="A1178" s="126" t="s">
        <v>390</v>
      </c>
      <c r="B1178" s="126" t="s">
        <v>3297</v>
      </c>
      <c r="C1178" s="53" t="s">
        <v>3197</v>
      </c>
      <c r="D1178" s="53" t="s">
        <v>3198</v>
      </c>
      <c r="E1178" s="131">
        <v>46009</v>
      </c>
      <c r="F1178" s="127" t="s">
        <v>370</v>
      </c>
      <c r="G1178" s="127" t="s">
        <v>63</v>
      </c>
      <c r="H1178" s="54">
        <v>10000</v>
      </c>
      <c r="I1178" s="138">
        <v>0.434</v>
      </c>
      <c r="J1178" s="44" t="s">
        <v>1977</v>
      </c>
      <c r="K1178" s="44" t="s">
        <v>1541</v>
      </c>
    </row>
    <row r="1179" spans="1:11" x14ac:dyDescent="0.3">
      <c r="A1179" s="126" t="s">
        <v>390</v>
      </c>
      <c r="B1179" s="126" t="s">
        <v>3297</v>
      </c>
      <c r="C1179" s="53" t="s">
        <v>3199</v>
      </c>
      <c r="D1179" s="53" t="s">
        <v>3200</v>
      </c>
      <c r="E1179" s="131">
        <v>46009</v>
      </c>
      <c r="F1179" s="127" t="s">
        <v>371</v>
      </c>
      <c r="G1179" s="127" t="s">
        <v>864</v>
      </c>
      <c r="H1179" s="54">
        <v>18159.36</v>
      </c>
      <c r="I1179" s="138">
        <v>0.41799999999999998</v>
      </c>
      <c r="J1179" s="44" t="s">
        <v>3111</v>
      </c>
      <c r="K1179" s="44" t="s">
        <v>1541</v>
      </c>
    </row>
    <row r="1180" spans="1:11" x14ac:dyDescent="0.3">
      <c r="A1180" s="126" t="s">
        <v>390</v>
      </c>
      <c r="B1180" s="126" t="s">
        <v>3297</v>
      </c>
      <c r="C1180" s="53" t="s">
        <v>3201</v>
      </c>
      <c r="D1180" s="53" t="s">
        <v>3202</v>
      </c>
      <c r="E1180" s="131">
        <v>46009</v>
      </c>
      <c r="F1180" s="127" t="s">
        <v>371</v>
      </c>
      <c r="G1180" s="127" t="s">
        <v>864</v>
      </c>
      <c r="H1180" s="54">
        <v>22296.03</v>
      </c>
      <c r="I1180" s="138">
        <v>0.33900000000000002</v>
      </c>
      <c r="J1180" s="44" t="s">
        <v>3111</v>
      </c>
      <c r="K1180" s="44" t="s">
        <v>1541</v>
      </c>
    </row>
    <row r="1181" spans="1:11" x14ac:dyDescent="0.3">
      <c r="A1181" s="126" t="s">
        <v>390</v>
      </c>
      <c r="B1181" s="126" t="s">
        <v>3297</v>
      </c>
      <c r="C1181" s="53" t="s">
        <v>3203</v>
      </c>
      <c r="D1181" s="53" t="s">
        <v>3204</v>
      </c>
      <c r="E1181" s="131">
        <v>46009</v>
      </c>
      <c r="F1181" s="127" t="s">
        <v>371</v>
      </c>
      <c r="G1181" s="127" t="s">
        <v>864</v>
      </c>
      <c r="H1181" s="54">
        <v>14026.99</v>
      </c>
      <c r="I1181" s="138">
        <v>0.503</v>
      </c>
      <c r="J1181" s="44" t="s">
        <v>3111</v>
      </c>
      <c r="K1181" s="44" t="s">
        <v>1541</v>
      </c>
    </row>
    <row r="1182" spans="1:11" x14ac:dyDescent="0.3">
      <c r="A1182" s="126" t="s">
        <v>390</v>
      </c>
      <c r="B1182" s="126" t="s">
        <v>3297</v>
      </c>
      <c r="C1182" s="53" t="s">
        <v>3205</v>
      </c>
      <c r="D1182" s="53" t="s">
        <v>3206</v>
      </c>
      <c r="E1182" s="131">
        <v>46009</v>
      </c>
      <c r="F1182" s="127" t="s">
        <v>371</v>
      </c>
      <c r="G1182" s="127" t="s">
        <v>864</v>
      </c>
      <c r="H1182" s="54">
        <v>15175.1</v>
      </c>
      <c r="I1182" s="138">
        <v>0.47399999999999998</v>
      </c>
      <c r="J1182" s="44" t="s">
        <v>3111</v>
      </c>
      <c r="K1182" s="44" t="s">
        <v>1541</v>
      </c>
    </row>
    <row r="1183" spans="1:11" x14ac:dyDescent="0.3">
      <c r="A1183" s="126" t="s">
        <v>390</v>
      </c>
      <c r="B1183" s="126" t="s">
        <v>3297</v>
      </c>
      <c r="C1183" s="53" t="s">
        <v>3207</v>
      </c>
      <c r="D1183" s="53" t="s">
        <v>3208</v>
      </c>
      <c r="E1183" s="131">
        <v>46009</v>
      </c>
      <c r="F1183" s="127" t="s">
        <v>371</v>
      </c>
      <c r="G1183" s="127" t="s">
        <v>864</v>
      </c>
      <c r="H1183" s="54">
        <v>15724.310000000001</v>
      </c>
      <c r="I1183" s="138">
        <v>0.502</v>
      </c>
      <c r="J1183" s="44" t="s">
        <v>3111</v>
      </c>
      <c r="K1183" s="44" t="s">
        <v>1541</v>
      </c>
    </row>
    <row r="1184" spans="1:11" x14ac:dyDescent="0.3">
      <c r="A1184" s="126" t="s">
        <v>390</v>
      </c>
      <c r="B1184" s="126" t="s">
        <v>3297</v>
      </c>
      <c r="C1184" s="53" t="s">
        <v>3209</v>
      </c>
      <c r="D1184" s="53" t="s">
        <v>3210</v>
      </c>
      <c r="E1184" s="131">
        <v>46009</v>
      </c>
      <c r="F1184" s="127" t="s">
        <v>371</v>
      </c>
      <c r="G1184" s="127" t="s">
        <v>864</v>
      </c>
      <c r="H1184" s="54">
        <v>14471.81</v>
      </c>
      <c r="I1184" s="138">
        <v>0.49099999999999999</v>
      </c>
      <c r="J1184" s="44" t="s">
        <v>3111</v>
      </c>
      <c r="K1184" s="44" t="s">
        <v>1541</v>
      </c>
    </row>
    <row r="1185" spans="1:11" x14ac:dyDescent="0.3">
      <c r="A1185" s="126" t="s">
        <v>390</v>
      </c>
      <c r="B1185" s="126" t="s">
        <v>3297</v>
      </c>
      <c r="C1185" s="53" t="s">
        <v>3211</v>
      </c>
      <c r="D1185" s="53" t="s">
        <v>3212</v>
      </c>
      <c r="E1185" s="131">
        <v>46010</v>
      </c>
      <c r="F1185" s="127" t="s">
        <v>371</v>
      </c>
      <c r="G1185" s="127" t="s">
        <v>864</v>
      </c>
      <c r="H1185" s="54">
        <v>14026.99</v>
      </c>
      <c r="I1185" s="138">
        <v>0.503</v>
      </c>
      <c r="J1185" s="44" t="s">
        <v>3111</v>
      </c>
      <c r="K1185" s="44" t="s">
        <v>1541</v>
      </c>
    </row>
    <row r="1186" spans="1:11" x14ac:dyDescent="0.3">
      <c r="A1186" s="126" t="s">
        <v>390</v>
      </c>
      <c r="B1186" s="126" t="s">
        <v>3297</v>
      </c>
      <c r="C1186" s="53" t="s">
        <v>3213</v>
      </c>
      <c r="D1186" s="53" t="s">
        <v>3214</v>
      </c>
      <c r="E1186" s="131">
        <v>46013</v>
      </c>
      <c r="F1186" s="127" t="s">
        <v>371</v>
      </c>
      <c r="G1186" s="127" t="s">
        <v>864</v>
      </c>
      <c r="H1186" s="54">
        <v>24091.759999999998</v>
      </c>
      <c r="I1186" s="138">
        <v>0.318</v>
      </c>
      <c r="J1186" s="44" t="s">
        <v>3111</v>
      </c>
      <c r="K1186" s="44" t="s">
        <v>1541</v>
      </c>
    </row>
    <row r="1187" spans="1:11" x14ac:dyDescent="0.3">
      <c r="A1187" s="126" t="s">
        <v>390</v>
      </c>
      <c r="B1187" s="126" t="s">
        <v>3297</v>
      </c>
      <c r="C1187" s="53" t="s">
        <v>3215</v>
      </c>
      <c r="D1187" s="53" t="s">
        <v>3216</v>
      </c>
      <c r="E1187" s="131">
        <v>46013</v>
      </c>
      <c r="F1187" s="127" t="s">
        <v>371</v>
      </c>
      <c r="G1187" s="127" t="s">
        <v>864</v>
      </c>
      <c r="H1187" s="54">
        <v>24136.98</v>
      </c>
      <c r="I1187" s="138">
        <v>0.187</v>
      </c>
      <c r="J1187" s="44" t="s">
        <v>3111</v>
      </c>
      <c r="K1187" s="44" t="s">
        <v>1541</v>
      </c>
    </row>
    <row r="1188" spans="1:11" x14ac:dyDescent="0.3">
      <c r="A1188" s="126" t="s">
        <v>390</v>
      </c>
      <c r="B1188" s="126" t="s">
        <v>3297</v>
      </c>
      <c r="C1188" s="53" t="s">
        <v>3217</v>
      </c>
      <c r="D1188" s="53" t="s">
        <v>3218</v>
      </c>
      <c r="E1188" s="131">
        <v>46013</v>
      </c>
      <c r="F1188" s="127" t="s">
        <v>371</v>
      </c>
      <c r="G1188" s="127" t="s">
        <v>864</v>
      </c>
      <c r="H1188" s="54">
        <v>16525.45</v>
      </c>
      <c r="I1188" s="138">
        <v>0.21299999999999999</v>
      </c>
      <c r="J1188" s="44" t="s">
        <v>3111</v>
      </c>
      <c r="K1188" s="44" t="s">
        <v>1541</v>
      </c>
    </row>
    <row r="1189" spans="1:11" x14ac:dyDescent="0.3">
      <c r="A1189" s="126" t="s">
        <v>390</v>
      </c>
      <c r="B1189" s="126" t="s">
        <v>3297</v>
      </c>
      <c r="C1189" s="53" t="s">
        <v>3219</v>
      </c>
      <c r="D1189" s="53" t="s">
        <v>3220</v>
      </c>
      <c r="E1189" s="131">
        <v>46013</v>
      </c>
      <c r="F1189" s="127" t="s">
        <v>371</v>
      </c>
      <c r="G1189" s="127" t="s">
        <v>864</v>
      </c>
      <c r="H1189" s="54">
        <v>10022.1</v>
      </c>
      <c r="I1189" s="138">
        <v>0.26600000000000001</v>
      </c>
      <c r="J1189" s="44" t="s">
        <v>3111</v>
      </c>
      <c r="K1189" s="44" t="s">
        <v>1541</v>
      </c>
    </row>
    <row r="1190" spans="1:11" x14ac:dyDescent="0.3">
      <c r="A1190" s="126" t="s">
        <v>392</v>
      </c>
      <c r="B1190" s="126" t="s">
        <v>3297</v>
      </c>
      <c r="C1190" s="53" t="s">
        <v>3221</v>
      </c>
      <c r="D1190" s="53" t="s">
        <v>3222</v>
      </c>
      <c r="E1190" s="131">
        <v>46013</v>
      </c>
      <c r="F1190" s="127" t="s">
        <v>370</v>
      </c>
      <c r="G1190" s="127" t="s">
        <v>63</v>
      </c>
      <c r="H1190" s="54">
        <v>4200</v>
      </c>
      <c r="I1190" s="138">
        <v>0.61899999999999999</v>
      </c>
      <c r="J1190" s="44" t="s">
        <v>1977</v>
      </c>
      <c r="K1190" s="44" t="s">
        <v>1540</v>
      </c>
    </row>
    <row r="1191" spans="1:11" x14ac:dyDescent="0.3">
      <c r="A1191" s="126" t="s">
        <v>392</v>
      </c>
      <c r="B1191" s="126" t="s">
        <v>3297</v>
      </c>
      <c r="C1191" s="53" t="s">
        <v>3223</v>
      </c>
      <c r="D1191" s="53" t="s">
        <v>3224</v>
      </c>
      <c r="E1191" s="131">
        <v>46013</v>
      </c>
      <c r="F1191" s="127" t="s">
        <v>370</v>
      </c>
      <c r="G1191" s="127" t="s">
        <v>63</v>
      </c>
      <c r="H1191" s="54">
        <v>4200</v>
      </c>
      <c r="I1191" s="138">
        <v>0.61899999999999999</v>
      </c>
      <c r="J1191" s="44" t="s">
        <v>1977</v>
      </c>
      <c r="K1191" s="44" t="s">
        <v>1540</v>
      </c>
    </row>
    <row r="1192" spans="1:11" x14ac:dyDescent="0.3">
      <c r="A1192" s="126" t="s">
        <v>390</v>
      </c>
      <c r="B1192" s="126" t="s">
        <v>3297</v>
      </c>
      <c r="C1192" s="53" t="s">
        <v>3225</v>
      </c>
      <c r="D1192" s="53" t="s">
        <v>3226</v>
      </c>
      <c r="E1192" s="131">
        <v>46014</v>
      </c>
      <c r="F1192" s="127" t="s">
        <v>371</v>
      </c>
      <c r="G1192" s="127" t="s">
        <v>864</v>
      </c>
      <c r="H1192" s="54">
        <v>53878.83</v>
      </c>
      <c r="I1192" s="138">
        <v>0.156</v>
      </c>
      <c r="J1192" s="44" t="s">
        <v>3111</v>
      </c>
      <c r="K1192" s="44" t="s">
        <v>1541</v>
      </c>
    </row>
    <row r="1193" spans="1:11" x14ac:dyDescent="0.3">
      <c r="A1193" s="126" t="s">
        <v>392</v>
      </c>
      <c r="B1193" s="126" t="s">
        <v>3297</v>
      </c>
      <c r="C1193" s="53" t="s">
        <v>3227</v>
      </c>
      <c r="D1193" s="53" t="s">
        <v>3228</v>
      </c>
      <c r="E1193" s="131">
        <v>46014</v>
      </c>
      <c r="F1193" s="127" t="s">
        <v>842</v>
      </c>
      <c r="G1193" s="127" t="s">
        <v>843</v>
      </c>
      <c r="H1193" s="54">
        <v>22000</v>
      </c>
      <c r="I1193" s="138">
        <v>0.46800000000000003</v>
      </c>
      <c r="J1193" s="44" t="s">
        <v>1977</v>
      </c>
      <c r="K1193" s="44" t="s">
        <v>1540</v>
      </c>
    </row>
    <row r="1194" spans="1:11" x14ac:dyDescent="0.3">
      <c r="A1194" s="126" t="s">
        <v>392</v>
      </c>
      <c r="B1194" s="126" t="s">
        <v>3297</v>
      </c>
      <c r="C1194" s="53" t="s">
        <v>3229</v>
      </c>
      <c r="D1194" s="53" t="s">
        <v>3230</v>
      </c>
      <c r="E1194" s="131">
        <v>46014</v>
      </c>
      <c r="F1194" s="127" t="s">
        <v>371</v>
      </c>
      <c r="G1194" s="127" t="s">
        <v>864</v>
      </c>
      <c r="H1194" s="54">
        <v>7400</v>
      </c>
      <c r="I1194" s="138">
        <v>0.48899999999999999</v>
      </c>
      <c r="J1194" s="44" t="s">
        <v>3111</v>
      </c>
      <c r="K1194" s="44" t="s">
        <v>1540</v>
      </c>
    </row>
    <row r="1195" spans="1:11" x14ac:dyDescent="0.3">
      <c r="A1195" s="126" t="s">
        <v>392</v>
      </c>
      <c r="B1195" s="126" t="s">
        <v>3297</v>
      </c>
      <c r="C1195" s="53" t="s">
        <v>3231</v>
      </c>
      <c r="D1195" s="53" t="s">
        <v>3232</v>
      </c>
      <c r="E1195" s="131">
        <v>46014</v>
      </c>
      <c r="F1195" s="127" t="s">
        <v>371</v>
      </c>
      <c r="G1195" s="127" t="s">
        <v>864</v>
      </c>
      <c r="H1195" s="54">
        <v>7400</v>
      </c>
      <c r="I1195" s="138">
        <v>0.75900000000000001</v>
      </c>
      <c r="J1195" s="44" t="s">
        <v>3111</v>
      </c>
      <c r="K1195" s="44" t="s">
        <v>1540</v>
      </c>
    </row>
    <row r="1196" spans="1:11" x14ac:dyDescent="0.3">
      <c r="A1196" s="126" t="s">
        <v>390</v>
      </c>
      <c r="B1196" s="126" t="s">
        <v>3297</v>
      </c>
      <c r="C1196" s="53" t="s">
        <v>3233</v>
      </c>
      <c r="D1196" s="53" t="s">
        <v>3234</v>
      </c>
      <c r="E1196" s="131">
        <v>46014</v>
      </c>
      <c r="F1196" s="127" t="s">
        <v>371</v>
      </c>
      <c r="G1196" s="127" t="s">
        <v>864</v>
      </c>
      <c r="H1196" s="54">
        <v>20110.64</v>
      </c>
      <c r="I1196" s="138">
        <v>0.19500000000000001</v>
      </c>
      <c r="J1196" s="44" t="s">
        <v>3111</v>
      </c>
      <c r="K1196" s="44" t="s">
        <v>1541</v>
      </c>
    </row>
    <row r="1197" spans="1:11" x14ac:dyDescent="0.3">
      <c r="A1197" s="126" t="s">
        <v>392</v>
      </c>
      <c r="B1197" s="126" t="s">
        <v>3297</v>
      </c>
      <c r="C1197" s="53" t="s">
        <v>3235</v>
      </c>
      <c r="D1197" s="53" t="s">
        <v>3236</v>
      </c>
      <c r="E1197" s="131">
        <v>46017</v>
      </c>
      <c r="F1197" s="127" t="s">
        <v>370</v>
      </c>
      <c r="G1197" s="127" t="s">
        <v>63</v>
      </c>
      <c r="H1197" s="54">
        <v>4200</v>
      </c>
      <c r="I1197" s="138">
        <v>0.61899999999999999</v>
      </c>
      <c r="J1197" s="44" t="s">
        <v>1977</v>
      </c>
      <c r="K1197" s="44" t="s">
        <v>1540</v>
      </c>
    </row>
    <row r="1198" spans="1:11" x14ac:dyDescent="0.3">
      <c r="A1198" s="126" t="s">
        <v>390</v>
      </c>
      <c r="B1198" s="126" t="s">
        <v>3297</v>
      </c>
      <c r="C1198" s="53" t="s">
        <v>3237</v>
      </c>
      <c r="D1198" s="53" t="s">
        <v>3238</v>
      </c>
      <c r="E1198" s="131">
        <v>46017</v>
      </c>
      <c r="F1198" s="127" t="s">
        <v>371</v>
      </c>
      <c r="G1198" s="127" t="s">
        <v>864</v>
      </c>
      <c r="H1198" s="54">
        <v>46463.320000000007</v>
      </c>
      <c r="I1198" s="138">
        <v>0.24199999999999999</v>
      </c>
      <c r="J1198" s="44" t="s">
        <v>3111</v>
      </c>
      <c r="K1198" s="44" t="s">
        <v>1541</v>
      </c>
    </row>
    <row r="1199" spans="1:11" x14ac:dyDescent="0.3">
      <c r="A1199" s="126" t="s">
        <v>392</v>
      </c>
      <c r="B1199" s="126" t="s">
        <v>3297</v>
      </c>
      <c r="C1199" s="53" t="s">
        <v>3239</v>
      </c>
      <c r="D1199" s="53" t="s">
        <v>3240</v>
      </c>
      <c r="E1199" s="131">
        <v>46017</v>
      </c>
      <c r="F1199" s="127" t="s">
        <v>370</v>
      </c>
      <c r="G1199" s="127" t="s">
        <v>63</v>
      </c>
      <c r="H1199" s="54">
        <v>14228</v>
      </c>
      <c r="I1199" s="138">
        <v>0.39400000000000002</v>
      </c>
      <c r="J1199" s="44" t="s">
        <v>1977</v>
      </c>
      <c r="K1199" s="44" t="s">
        <v>1540</v>
      </c>
    </row>
    <row r="1200" spans="1:11" x14ac:dyDescent="0.3">
      <c r="A1200" s="126" t="s">
        <v>390</v>
      </c>
      <c r="B1200" s="126" t="s">
        <v>3297</v>
      </c>
      <c r="C1200" s="53" t="s">
        <v>3241</v>
      </c>
      <c r="D1200" s="53" t="s">
        <v>3242</v>
      </c>
      <c r="E1200" s="131">
        <v>46020</v>
      </c>
      <c r="F1200" s="127" t="s">
        <v>371</v>
      </c>
      <c r="G1200" s="127" t="s">
        <v>864</v>
      </c>
      <c r="H1200" s="54">
        <v>25756.82</v>
      </c>
      <c r="I1200" s="138">
        <v>0.18099999999999999</v>
      </c>
      <c r="J1200" s="44" t="s">
        <v>3111</v>
      </c>
      <c r="K1200" s="44" t="s">
        <v>1541</v>
      </c>
    </row>
    <row r="1201" spans="1:11" x14ac:dyDescent="0.3">
      <c r="A1201" s="126" t="s">
        <v>392</v>
      </c>
      <c r="B1201" s="126" t="s">
        <v>3297</v>
      </c>
      <c r="C1201" s="53" t="s">
        <v>3243</v>
      </c>
      <c r="D1201" s="53" t="s">
        <v>3244</v>
      </c>
      <c r="E1201" s="131">
        <v>46020</v>
      </c>
      <c r="F1201" s="127" t="s">
        <v>371</v>
      </c>
      <c r="G1201" s="127" t="s">
        <v>864</v>
      </c>
      <c r="H1201" s="54">
        <v>92200</v>
      </c>
      <c r="I1201" s="138">
        <v>0.47</v>
      </c>
      <c r="J1201" s="44" t="s">
        <v>3111</v>
      </c>
      <c r="K1201" s="44" t="s">
        <v>1540</v>
      </c>
    </row>
    <row r="1202" spans="1:11" x14ac:dyDescent="0.3">
      <c r="A1202" s="126" t="s">
        <v>392</v>
      </c>
      <c r="B1202" s="126" t="s">
        <v>3297</v>
      </c>
      <c r="C1202" s="53" t="s">
        <v>3245</v>
      </c>
      <c r="D1202" s="53" t="s">
        <v>3246</v>
      </c>
      <c r="E1202" s="131">
        <v>46020</v>
      </c>
      <c r="F1202" s="127" t="s">
        <v>844</v>
      </c>
      <c r="G1202" s="127" t="s">
        <v>863</v>
      </c>
      <c r="H1202" s="54">
        <v>21000</v>
      </c>
      <c r="I1202" s="138">
        <v>0.35499999999999998</v>
      </c>
      <c r="J1202" s="44" t="s">
        <v>831</v>
      </c>
      <c r="K1202" s="44" t="s">
        <v>1540</v>
      </c>
    </row>
    <row r="1203" spans="1:11" x14ac:dyDescent="0.3">
      <c r="A1203" s="126" t="s">
        <v>392</v>
      </c>
      <c r="B1203" s="126" t="s">
        <v>3297</v>
      </c>
      <c r="C1203" s="53" t="s">
        <v>3247</v>
      </c>
      <c r="D1203" s="53" t="s">
        <v>3248</v>
      </c>
      <c r="E1203" s="131">
        <v>46020</v>
      </c>
      <c r="F1203" s="127" t="s">
        <v>371</v>
      </c>
      <c r="G1203" s="127" t="s">
        <v>864</v>
      </c>
      <c r="H1203" s="54">
        <v>83100</v>
      </c>
      <c r="I1203" s="138">
        <v>0.53300000000000003</v>
      </c>
      <c r="J1203" s="44" t="s">
        <v>3111</v>
      </c>
      <c r="K1203" s="44" t="s">
        <v>1540</v>
      </c>
    </row>
    <row r="1204" spans="1:11" x14ac:dyDescent="0.3">
      <c r="A1204" s="126" t="s">
        <v>390</v>
      </c>
      <c r="B1204" s="126" t="s">
        <v>3297</v>
      </c>
      <c r="C1204" s="53" t="s">
        <v>3249</v>
      </c>
      <c r="D1204" s="53" t="s">
        <v>3250</v>
      </c>
      <c r="E1204" s="131">
        <v>46020</v>
      </c>
      <c r="F1204" s="127" t="s">
        <v>371</v>
      </c>
      <c r="G1204" s="127" t="s">
        <v>864</v>
      </c>
      <c r="H1204" s="54">
        <v>390303.42</v>
      </c>
      <c r="I1204" s="138">
        <v>0.22</v>
      </c>
      <c r="J1204" s="44" t="s">
        <v>833</v>
      </c>
      <c r="K1204" s="44" t="s">
        <v>1542</v>
      </c>
    </row>
    <row r="1205" spans="1:11" x14ac:dyDescent="0.3">
      <c r="A1205" s="126" t="s">
        <v>392</v>
      </c>
      <c r="B1205" s="126" t="s">
        <v>3297</v>
      </c>
      <c r="C1205" s="53" t="s">
        <v>3251</v>
      </c>
      <c r="D1205" s="53" t="s">
        <v>3252</v>
      </c>
      <c r="E1205" s="131">
        <v>46020</v>
      </c>
      <c r="F1205" s="127" t="s">
        <v>371</v>
      </c>
      <c r="G1205" s="127" t="s">
        <v>864</v>
      </c>
      <c r="H1205" s="54">
        <v>7400</v>
      </c>
      <c r="I1205" s="138">
        <v>0.41699999999999998</v>
      </c>
      <c r="J1205" s="44" t="s">
        <v>3111</v>
      </c>
      <c r="K1205" s="44" t="s">
        <v>1540</v>
      </c>
    </row>
    <row r="1206" spans="1:11" x14ac:dyDescent="0.3">
      <c r="A1206" s="126" t="s">
        <v>392</v>
      </c>
      <c r="B1206" s="126" t="s">
        <v>3297</v>
      </c>
      <c r="C1206" s="53" t="s">
        <v>3253</v>
      </c>
      <c r="D1206" s="53" t="s">
        <v>3254</v>
      </c>
      <c r="E1206" s="131">
        <v>46020</v>
      </c>
      <c r="F1206" s="127" t="s">
        <v>371</v>
      </c>
      <c r="G1206" s="127" t="s">
        <v>864</v>
      </c>
      <c r="H1206" s="54">
        <v>7400</v>
      </c>
      <c r="I1206" s="138">
        <v>0.75900000000000001</v>
      </c>
      <c r="J1206" s="44" t="s">
        <v>3111</v>
      </c>
      <c r="K1206" s="44" t="s">
        <v>1540</v>
      </c>
    </row>
    <row r="1207" spans="1:11" x14ac:dyDescent="0.3">
      <c r="A1207" s="126" t="s">
        <v>390</v>
      </c>
      <c r="B1207" s="126" t="s">
        <v>3297</v>
      </c>
      <c r="C1207" s="53" t="s">
        <v>3255</v>
      </c>
      <c r="D1207" s="53" t="s">
        <v>3256</v>
      </c>
      <c r="E1207" s="131">
        <v>46021</v>
      </c>
      <c r="F1207" s="127" t="s">
        <v>371</v>
      </c>
      <c r="G1207" s="127" t="s">
        <v>864</v>
      </c>
      <c r="H1207" s="54">
        <v>72021.950000000012</v>
      </c>
      <c r="I1207" s="138">
        <v>0.08</v>
      </c>
      <c r="J1207" s="44" t="s">
        <v>833</v>
      </c>
      <c r="K1207" s="44" t="s">
        <v>1542</v>
      </c>
    </row>
    <row r="1208" spans="1:11" x14ac:dyDescent="0.3">
      <c r="A1208" s="126" t="s">
        <v>392</v>
      </c>
      <c r="B1208" s="126" t="s">
        <v>3297</v>
      </c>
      <c r="C1208" s="53" t="s">
        <v>3257</v>
      </c>
      <c r="D1208" s="53" t="s">
        <v>3258</v>
      </c>
      <c r="E1208" s="131">
        <v>46021</v>
      </c>
      <c r="F1208" s="127" t="s">
        <v>370</v>
      </c>
      <c r="G1208" s="127" t="s">
        <v>63</v>
      </c>
      <c r="H1208" s="54">
        <v>4200</v>
      </c>
      <c r="I1208" s="138">
        <v>0.61899999999999999</v>
      </c>
      <c r="J1208" s="44" t="s">
        <v>1977</v>
      </c>
      <c r="K1208" s="44" t="s">
        <v>1540</v>
      </c>
    </row>
    <row r="1209" spans="1:11" x14ac:dyDescent="0.3">
      <c r="A1209" s="126" t="s">
        <v>392</v>
      </c>
      <c r="B1209" s="126" t="s">
        <v>3297</v>
      </c>
      <c r="C1209" s="53" t="s">
        <v>3259</v>
      </c>
      <c r="D1209" s="53" t="s">
        <v>3260</v>
      </c>
      <c r="E1209" s="131">
        <v>46021</v>
      </c>
      <c r="F1209" s="127" t="s">
        <v>370</v>
      </c>
      <c r="G1209" s="127" t="s">
        <v>63</v>
      </c>
      <c r="H1209" s="54">
        <v>7761.6</v>
      </c>
      <c r="I1209" s="138">
        <v>0.70199999999999996</v>
      </c>
      <c r="J1209" s="44" t="s">
        <v>1977</v>
      </c>
      <c r="K1209" s="44" t="s">
        <v>1540</v>
      </c>
    </row>
    <row r="1210" spans="1:11" x14ac:dyDescent="0.3">
      <c r="A1210" s="126" t="s">
        <v>392</v>
      </c>
      <c r="B1210" s="126" t="s">
        <v>3297</v>
      </c>
      <c r="C1210" s="53" t="s">
        <v>3261</v>
      </c>
      <c r="D1210" s="53" t="s">
        <v>3262</v>
      </c>
      <c r="E1210" s="131">
        <v>46021</v>
      </c>
      <c r="F1210" s="127" t="s">
        <v>370</v>
      </c>
      <c r="G1210" s="127" t="s">
        <v>63</v>
      </c>
      <c r="H1210" s="54">
        <v>7200</v>
      </c>
      <c r="I1210" s="138">
        <v>0.73599999999999999</v>
      </c>
      <c r="J1210" s="44" t="s">
        <v>1977</v>
      </c>
      <c r="K1210" s="44" t="s">
        <v>1540</v>
      </c>
    </row>
    <row r="1211" spans="1:11" x14ac:dyDescent="0.3">
      <c r="A1211" s="126" t="s">
        <v>390</v>
      </c>
      <c r="B1211" s="126" t="s">
        <v>3297</v>
      </c>
      <c r="C1211" s="53" t="s">
        <v>3263</v>
      </c>
      <c r="D1211" s="53" t="s">
        <v>3264</v>
      </c>
      <c r="E1211" s="131">
        <v>46021</v>
      </c>
      <c r="F1211" s="127" t="s">
        <v>371</v>
      </c>
      <c r="G1211" s="127" t="s">
        <v>864</v>
      </c>
      <c r="H1211" s="54">
        <v>312676.78999999998</v>
      </c>
      <c r="I1211" s="138">
        <v>0.24</v>
      </c>
      <c r="J1211" s="44" t="s">
        <v>833</v>
      </c>
      <c r="K1211" s="44" t="s">
        <v>1542</v>
      </c>
    </row>
    <row r="1212" spans="1:11" x14ac:dyDescent="0.3">
      <c r="A1212" s="126" t="s">
        <v>392</v>
      </c>
      <c r="B1212" s="126" t="s">
        <v>3297</v>
      </c>
      <c r="C1212" s="53" t="s">
        <v>3265</v>
      </c>
      <c r="D1212" s="53" t="s">
        <v>3266</v>
      </c>
      <c r="E1212" s="131">
        <v>46021</v>
      </c>
      <c r="F1212" s="127" t="s">
        <v>370</v>
      </c>
      <c r="G1212" s="127" t="s">
        <v>63</v>
      </c>
      <c r="H1212" s="54">
        <v>7673</v>
      </c>
      <c r="I1212" s="138">
        <v>0.70699999999999996</v>
      </c>
      <c r="J1212" s="44" t="s">
        <v>1977</v>
      </c>
      <c r="K1212" s="44" t="s">
        <v>1540</v>
      </c>
    </row>
    <row r="1213" spans="1:11" x14ac:dyDescent="0.3">
      <c r="A1213" s="126" t="s">
        <v>392</v>
      </c>
      <c r="B1213" s="126" t="s">
        <v>3297</v>
      </c>
      <c r="C1213" s="53" t="s">
        <v>3267</v>
      </c>
      <c r="D1213" s="53" t="s">
        <v>3268</v>
      </c>
      <c r="E1213" s="131">
        <v>46021</v>
      </c>
      <c r="F1213" s="127" t="s">
        <v>371</v>
      </c>
      <c r="G1213" s="127" t="s">
        <v>864</v>
      </c>
      <c r="H1213" s="54">
        <v>21400</v>
      </c>
      <c r="I1213" s="138">
        <v>0.504</v>
      </c>
      <c r="J1213" s="44" t="s">
        <v>3111</v>
      </c>
      <c r="K1213" s="44" t="s">
        <v>1540</v>
      </c>
    </row>
    <row r="1214" spans="1:11" x14ac:dyDescent="0.3">
      <c r="A1214" s="126" t="s">
        <v>390</v>
      </c>
      <c r="B1214" s="126" t="s">
        <v>3297</v>
      </c>
      <c r="C1214" s="53" t="s">
        <v>3269</v>
      </c>
      <c r="D1214" s="53" t="s">
        <v>3270</v>
      </c>
      <c r="E1214" s="131">
        <v>46021</v>
      </c>
      <c r="F1214" s="127" t="s">
        <v>619</v>
      </c>
      <c r="G1214" s="127" t="s">
        <v>2086</v>
      </c>
      <c r="H1214" s="54">
        <v>118103.45000000001</v>
      </c>
      <c r="I1214" s="138">
        <v>0.26600000000000001</v>
      </c>
      <c r="J1214" s="44" t="s">
        <v>831</v>
      </c>
      <c r="K1214" s="44" t="s">
        <v>3299</v>
      </c>
    </row>
    <row r="1215" spans="1:11" x14ac:dyDescent="0.3">
      <c r="A1215" s="126" t="s">
        <v>392</v>
      </c>
      <c r="B1215" s="126" t="s">
        <v>3297</v>
      </c>
      <c r="C1215" s="53" t="s">
        <v>3271</v>
      </c>
      <c r="D1215" s="53" t="s">
        <v>3272</v>
      </c>
      <c r="E1215" s="131">
        <v>46021</v>
      </c>
      <c r="F1215" s="127" t="s">
        <v>371</v>
      </c>
      <c r="G1215" s="127" t="s">
        <v>864</v>
      </c>
      <c r="H1215" s="54">
        <v>21400</v>
      </c>
      <c r="I1215" s="138">
        <v>0.504</v>
      </c>
      <c r="J1215" s="44" t="s">
        <v>3111</v>
      </c>
      <c r="K1215" s="44" t="s">
        <v>1540</v>
      </c>
    </row>
    <row r="1216" spans="1:11" x14ac:dyDescent="0.3">
      <c r="A1216" s="126" t="s">
        <v>390</v>
      </c>
      <c r="B1216" s="126" t="s">
        <v>3297</v>
      </c>
      <c r="C1216" s="53" t="s">
        <v>3273</v>
      </c>
      <c r="D1216" s="53" t="s">
        <v>3274</v>
      </c>
      <c r="E1216" s="131">
        <v>46021</v>
      </c>
      <c r="F1216" s="127" t="s">
        <v>371</v>
      </c>
      <c r="G1216" s="127" t="s">
        <v>864</v>
      </c>
      <c r="H1216" s="54">
        <v>22425.64</v>
      </c>
      <c r="I1216" s="138">
        <v>0.188</v>
      </c>
      <c r="J1216" s="44" t="s">
        <v>3111</v>
      </c>
      <c r="K1216" s="44" t="s">
        <v>1541</v>
      </c>
    </row>
    <row r="1217" spans="1:11" x14ac:dyDescent="0.3">
      <c r="A1217" s="126" t="s">
        <v>390</v>
      </c>
      <c r="B1217" s="126" t="s">
        <v>3297</v>
      </c>
      <c r="C1217" s="53" t="s">
        <v>3275</v>
      </c>
      <c r="D1217" s="53" t="s">
        <v>3276</v>
      </c>
      <c r="E1217" s="131">
        <v>46021</v>
      </c>
      <c r="F1217" s="127" t="s">
        <v>371</v>
      </c>
      <c r="G1217" s="127" t="s">
        <v>864</v>
      </c>
      <c r="H1217" s="54">
        <v>50123.799999999988</v>
      </c>
      <c r="I1217" s="138">
        <v>0.15</v>
      </c>
      <c r="J1217" s="44" t="s">
        <v>833</v>
      </c>
      <c r="K1217" s="44" t="s">
        <v>1542</v>
      </c>
    </row>
    <row r="1218" spans="1:11" x14ac:dyDescent="0.3">
      <c r="A1218" s="126" t="s">
        <v>390</v>
      </c>
      <c r="B1218" s="126" t="s">
        <v>3297</v>
      </c>
      <c r="C1218" s="53" t="s">
        <v>3277</v>
      </c>
      <c r="D1218" s="53" t="s">
        <v>3278</v>
      </c>
      <c r="E1218" s="131">
        <v>46021</v>
      </c>
      <c r="F1218" s="127" t="s">
        <v>371</v>
      </c>
      <c r="G1218" s="127" t="s">
        <v>864</v>
      </c>
      <c r="H1218" s="54">
        <v>459804</v>
      </c>
      <c r="I1218" s="138">
        <v>0.155</v>
      </c>
      <c r="J1218" s="44" t="s">
        <v>833</v>
      </c>
      <c r="K1218" s="44" t="s">
        <v>1542</v>
      </c>
    </row>
    <row r="1219" spans="1:11" x14ac:dyDescent="0.3">
      <c r="A1219" s="126" t="s">
        <v>390</v>
      </c>
      <c r="B1219" s="126" t="s">
        <v>3297</v>
      </c>
      <c r="C1219" s="53" t="s">
        <v>3279</v>
      </c>
      <c r="D1219" s="53" t="s">
        <v>3280</v>
      </c>
      <c r="E1219" s="131">
        <v>46021</v>
      </c>
      <c r="F1219" s="127" t="s">
        <v>370</v>
      </c>
      <c r="G1219" s="127" t="s">
        <v>63</v>
      </c>
      <c r="H1219" s="54">
        <v>8152</v>
      </c>
      <c r="I1219" s="138">
        <v>0.52500000000000002</v>
      </c>
      <c r="J1219" s="44" t="s">
        <v>1977</v>
      </c>
      <c r="K1219" s="44" t="s">
        <v>1541</v>
      </c>
    </row>
    <row r="1220" spans="1:11" x14ac:dyDescent="0.3">
      <c r="A1220" s="126" t="s">
        <v>392</v>
      </c>
      <c r="B1220" s="126" t="s">
        <v>3297</v>
      </c>
      <c r="C1220" s="53" t="s">
        <v>3281</v>
      </c>
      <c r="D1220" s="53" t="s">
        <v>3282</v>
      </c>
      <c r="E1220" s="131">
        <v>46021</v>
      </c>
      <c r="F1220" s="127" t="s">
        <v>370</v>
      </c>
      <c r="G1220" s="127" t="s">
        <v>63</v>
      </c>
      <c r="H1220" s="54">
        <v>4200</v>
      </c>
      <c r="I1220" s="138">
        <v>0.61899999999999999</v>
      </c>
      <c r="J1220" s="44" t="s">
        <v>1977</v>
      </c>
      <c r="K1220" s="44" t="s">
        <v>1540</v>
      </c>
    </row>
    <row r="1221" spans="1:11" x14ac:dyDescent="0.3">
      <c r="A1221" s="126" t="s">
        <v>390</v>
      </c>
      <c r="B1221" s="126" t="s">
        <v>3297</v>
      </c>
      <c r="C1221" s="53" t="s">
        <v>3283</v>
      </c>
      <c r="D1221" s="53" t="s">
        <v>3284</v>
      </c>
      <c r="E1221" s="131">
        <v>46021</v>
      </c>
      <c r="F1221" s="127" t="s">
        <v>370</v>
      </c>
      <c r="G1221" s="127" t="s">
        <v>63</v>
      </c>
      <c r="H1221" s="54">
        <v>8380</v>
      </c>
      <c r="I1221" s="138">
        <v>0.19700000000000001</v>
      </c>
      <c r="J1221" s="44" t="s">
        <v>1977</v>
      </c>
      <c r="K1221" s="44" t="s">
        <v>1541</v>
      </c>
    </row>
    <row r="1222" spans="1:11" x14ac:dyDescent="0.3">
      <c r="A1222" s="126" t="s">
        <v>392</v>
      </c>
      <c r="B1222" s="126" t="s">
        <v>3297</v>
      </c>
      <c r="C1222" s="53" t="s">
        <v>3285</v>
      </c>
      <c r="D1222" s="53" t="s">
        <v>3286</v>
      </c>
      <c r="E1222" s="131">
        <v>46022</v>
      </c>
      <c r="F1222" s="127" t="s">
        <v>370</v>
      </c>
      <c r="G1222" s="127" t="s">
        <v>63</v>
      </c>
      <c r="H1222" s="54">
        <v>4200</v>
      </c>
      <c r="I1222" s="138">
        <v>0.61899999999999999</v>
      </c>
      <c r="J1222" s="44" t="s">
        <v>1977</v>
      </c>
      <c r="K1222" s="44" t="s">
        <v>1540</v>
      </c>
    </row>
    <row r="1223" spans="1:11" x14ac:dyDescent="0.3">
      <c r="A1223" s="126" t="s">
        <v>392</v>
      </c>
      <c r="B1223" s="126" t="s">
        <v>3297</v>
      </c>
      <c r="C1223" s="53" t="s">
        <v>3287</v>
      </c>
      <c r="D1223" s="53" t="s">
        <v>3288</v>
      </c>
      <c r="E1223" s="131">
        <v>46022</v>
      </c>
      <c r="F1223" s="127" t="s">
        <v>370</v>
      </c>
      <c r="G1223" s="127" t="s">
        <v>63</v>
      </c>
      <c r="H1223" s="54">
        <v>4200</v>
      </c>
      <c r="I1223" s="138">
        <v>0.61899999999999999</v>
      </c>
      <c r="J1223" s="44" t="s">
        <v>1977</v>
      </c>
      <c r="K1223" s="44" t="s">
        <v>1540</v>
      </c>
    </row>
    <row r="1224" spans="1:11" x14ac:dyDescent="0.3">
      <c r="A1224" s="126" t="s">
        <v>392</v>
      </c>
      <c r="B1224" s="126" t="s">
        <v>3297</v>
      </c>
      <c r="C1224" s="53" t="s">
        <v>3289</v>
      </c>
      <c r="D1224" s="53" t="s">
        <v>3290</v>
      </c>
      <c r="E1224" s="131">
        <v>46022</v>
      </c>
      <c r="F1224" s="127" t="s">
        <v>370</v>
      </c>
      <c r="G1224" s="127" t="s">
        <v>63</v>
      </c>
      <c r="H1224" s="54">
        <v>4200</v>
      </c>
      <c r="I1224" s="138">
        <v>0.61899999999999999</v>
      </c>
      <c r="J1224" s="44" t="s">
        <v>1977</v>
      </c>
      <c r="K1224" s="44" t="s">
        <v>1540</v>
      </c>
    </row>
    <row r="1225" spans="1:11" x14ac:dyDescent="0.3">
      <c r="A1225" s="126" t="s">
        <v>390</v>
      </c>
      <c r="B1225" s="126" t="s">
        <v>3297</v>
      </c>
      <c r="C1225" s="53" t="s">
        <v>3291</v>
      </c>
      <c r="D1225" s="53" t="s">
        <v>3292</v>
      </c>
      <c r="E1225" s="131">
        <v>46022</v>
      </c>
      <c r="F1225" s="127" t="s">
        <v>371</v>
      </c>
      <c r="G1225" s="127" t="s">
        <v>864</v>
      </c>
      <c r="H1225" s="54">
        <v>32439.56</v>
      </c>
      <c r="I1225" s="138">
        <v>0.158</v>
      </c>
      <c r="J1225" s="44" t="s">
        <v>3111</v>
      </c>
      <c r="K1225" s="44" t="s">
        <v>1541</v>
      </c>
    </row>
    <row r="1226" spans="1:11" x14ac:dyDescent="0.3">
      <c r="A1226" s="126" t="s">
        <v>390</v>
      </c>
      <c r="B1226" s="126" t="s">
        <v>3297</v>
      </c>
      <c r="C1226" s="53" t="s">
        <v>3293</v>
      </c>
      <c r="D1226" s="53" t="s">
        <v>3294</v>
      </c>
      <c r="E1226" s="131">
        <v>46022</v>
      </c>
      <c r="F1226" s="127" t="s">
        <v>371</v>
      </c>
      <c r="G1226" s="127" t="s">
        <v>864</v>
      </c>
      <c r="H1226" s="54">
        <v>23178.120000000003</v>
      </c>
      <c r="I1226" s="138">
        <v>0.189</v>
      </c>
      <c r="J1226" s="44" t="s">
        <v>3111</v>
      </c>
      <c r="K1226" s="44" t="s">
        <v>1541</v>
      </c>
    </row>
    <row r="1227" spans="1:11" x14ac:dyDescent="0.3">
      <c r="A1227" s="126" t="s">
        <v>392</v>
      </c>
      <c r="B1227" s="126" t="s">
        <v>3297</v>
      </c>
      <c r="C1227" s="53" t="s">
        <v>3295</v>
      </c>
      <c r="D1227" s="53" t="s">
        <v>3296</v>
      </c>
      <c r="E1227" s="131">
        <v>46022</v>
      </c>
      <c r="F1227" s="127" t="s">
        <v>374</v>
      </c>
      <c r="G1227" s="127" t="s">
        <v>2124</v>
      </c>
      <c r="H1227" s="54">
        <v>0.01</v>
      </c>
      <c r="I1227" s="138">
        <v>1</v>
      </c>
      <c r="J1227" s="44" t="s">
        <v>3109</v>
      </c>
      <c r="K1227" s="44" t="s">
        <v>1540</v>
      </c>
    </row>
    <row r="1228" spans="1:11" x14ac:dyDescent="0.3">
      <c r="A1228" s="126" t="s">
        <v>390</v>
      </c>
      <c r="B1228" s="126" t="s">
        <v>3297</v>
      </c>
      <c r="C1228" s="53" t="s">
        <v>3300</v>
      </c>
      <c r="D1228" s="53" t="s">
        <v>3301</v>
      </c>
      <c r="E1228" s="131">
        <v>46000</v>
      </c>
      <c r="F1228" s="127" t="s">
        <v>374</v>
      </c>
      <c r="G1228" s="127" t="s">
        <v>17</v>
      </c>
      <c r="H1228" s="54">
        <v>10577.286</v>
      </c>
      <c r="I1228" s="138">
        <v>0.254</v>
      </c>
      <c r="J1228" s="44" t="s">
        <v>831</v>
      </c>
      <c r="K1228" s="44" t="s">
        <v>1542</v>
      </c>
    </row>
    <row r="1229" spans="1:11" x14ac:dyDescent="0.3">
      <c r="A1229" s="126" t="s">
        <v>392</v>
      </c>
      <c r="B1229" s="126" t="s">
        <v>3297</v>
      </c>
      <c r="C1229" s="53" t="s">
        <v>3302</v>
      </c>
      <c r="D1229" s="53" t="s">
        <v>3303</v>
      </c>
      <c r="E1229" s="131">
        <v>46001</v>
      </c>
      <c r="F1229" s="127" t="s">
        <v>844</v>
      </c>
      <c r="G1229" s="127" t="s">
        <v>863</v>
      </c>
      <c r="H1229" s="54">
        <v>12036.222</v>
      </c>
      <c r="I1229" s="138">
        <v>0.246</v>
      </c>
      <c r="J1229" s="44" t="s">
        <v>1977</v>
      </c>
      <c r="K1229" s="44" t="s">
        <v>1540</v>
      </c>
    </row>
    <row r="1230" spans="1:11" x14ac:dyDescent="0.3">
      <c r="A1230" s="126" t="s">
        <v>390</v>
      </c>
      <c r="B1230" s="126" t="s">
        <v>3297</v>
      </c>
      <c r="C1230" s="53" t="s">
        <v>3304</v>
      </c>
      <c r="D1230" s="53" t="s">
        <v>3270</v>
      </c>
      <c r="E1230" s="131">
        <v>46008</v>
      </c>
      <c r="F1230" s="127" t="s">
        <v>619</v>
      </c>
      <c r="G1230" s="127" t="s">
        <v>2086</v>
      </c>
      <c r="H1230" s="54">
        <v>39495.5</v>
      </c>
      <c r="I1230" s="138">
        <v>0.183</v>
      </c>
      <c r="J1230" s="44" t="s">
        <v>831</v>
      </c>
      <c r="K1230" s="44" t="s">
        <v>1542</v>
      </c>
    </row>
    <row r="1231" spans="1:11" x14ac:dyDescent="0.3">
      <c r="A1231" s="126" t="s">
        <v>392</v>
      </c>
      <c r="B1231" s="126" t="s">
        <v>3297</v>
      </c>
      <c r="C1231" s="53" t="s">
        <v>3305</v>
      </c>
      <c r="D1231" s="53" t="s">
        <v>3306</v>
      </c>
      <c r="E1231" s="131">
        <v>46008</v>
      </c>
      <c r="F1231" s="127" t="s">
        <v>3327</v>
      </c>
      <c r="G1231" s="127" t="s">
        <v>3115</v>
      </c>
      <c r="H1231" s="54">
        <v>31775.924999999999</v>
      </c>
      <c r="I1231" s="138">
        <v>0.21199999999999999</v>
      </c>
      <c r="J1231" s="44" t="s">
        <v>831</v>
      </c>
      <c r="K1231" s="44" t="s">
        <v>1540</v>
      </c>
    </row>
    <row r="1232" spans="1:11" x14ac:dyDescent="0.3">
      <c r="A1232" s="126" t="s">
        <v>392</v>
      </c>
      <c r="B1232" s="126" t="s">
        <v>3297</v>
      </c>
      <c r="C1232" s="53" t="s">
        <v>3307</v>
      </c>
      <c r="D1232" s="53" t="s">
        <v>3308</v>
      </c>
      <c r="E1232" s="131">
        <v>46008</v>
      </c>
      <c r="F1232" s="127" t="s">
        <v>3328</v>
      </c>
      <c r="G1232" s="127" t="s">
        <v>3114</v>
      </c>
      <c r="H1232" s="54">
        <v>153493.875</v>
      </c>
      <c r="I1232" s="138">
        <v>0.13300000000000001</v>
      </c>
      <c r="J1232" s="44" t="s">
        <v>831</v>
      </c>
      <c r="K1232" s="44" t="s">
        <v>1540</v>
      </c>
    </row>
    <row r="1233" spans="1:11" x14ac:dyDescent="0.3">
      <c r="A1233" s="126" t="s">
        <v>392</v>
      </c>
      <c r="B1233" s="126" t="s">
        <v>3297</v>
      </c>
      <c r="C1233" s="53" t="s">
        <v>3309</v>
      </c>
      <c r="D1233" s="53" t="s">
        <v>3310</v>
      </c>
      <c r="E1233" s="131">
        <v>46008</v>
      </c>
      <c r="F1233" s="127" t="s">
        <v>3328</v>
      </c>
      <c r="G1233" s="127" t="s">
        <v>3114</v>
      </c>
      <c r="H1233" s="54">
        <v>170548.75</v>
      </c>
      <c r="I1233" s="138">
        <v>0.20300000000000001</v>
      </c>
      <c r="J1233" s="44" t="s">
        <v>831</v>
      </c>
      <c r="K1233" s="44" t="s">
        <v>1540</v>
      </c>
    </row>
    <row r="1234" spans="1:11" x14ac:dyDescent="0.3">
      <c r="A1234" s="126" t="s">
        <v>392</v>
      </c>
      <c r="B1234" s="126" t="s">
        <v>3297</v>
      </c>
      <c r="C1234" s="53" t="s">
        <v>3311</v>
      </c>
      <c r="D1234" s="53" t="s">
        <v>3312</v>
      </c>
      <c r="E1234" s="131">
        <v>46008</v>
      </c>
      <c r="F1234" s="127" t="s">
        <v>844</v>
      </c>
      <c r="G1234" s="127" t="s">
        <v>863</v>
      </c>
      <c r="H1234" s="54">
        <v>107715</v>
      </c>
      <c r="I1234" s="138">
        <v>0.189</v>
      </c>
      <c r="J1234" s="44" t="s">
        <v>1977</v>
      </c>
      <c r="K1234" s="44" t="s">
        <v>1540</v>
      </c>
    </row>
    <row r="1235" spans="1:11" x14ac:dyDescent="0.3">
      <c r="A1235" s="126" t="s">
        <v>390</v>
      </c>
      <c r="B1235" s="126" t="s">
        <v>3297</v>
      </c>
      <c r="C1235" s="53" t="s">
        <v>3313</v>
      </c>
      <c r="D1235" s="53" t="s">
        <v>3314</v>
      </c>
      <c r="E1235" s="131">
        <v>46020</v>
      </c>
      <c r="F1235" s="127" t="s">
        <v>2281</v>
      </c>
      <c r="G1235" s="127" t="s">
        <v>2305</v>
      </c>
      <c r="H1235" s="54">
        <v>2506.5879999999997</v>
      </c>
      <c r="I1235" s="138">
        <v>1</v>
      </c>
      <c r="J1235" s="44" t="s">
        <v>831</v>
      </c>
      <c r="K1235" s="44" t="s">
        <v>1542</v>
      </c>
    </row>
    <row r="1236" spans="1:11" x14ac:dyDescent="0.3">
      <c r="A1236" s="126" t="s">
        <v>390</v>
      </c>
      <c r="B1236" s="126" t="s">
        <v>3297</v>
      </c>
      <c r="C1236" s="53" t="s">
        <v>3315</v>
      </c>
      <c r="D1236" s="53" t="s">
        <v>3316</v>
      </c>
      <c r="E1236" s="131">
        <v>46020</v>
      </c>
      <c r="F1236" s="127" t="s">
        <v>2281</v>
      </c>
      <c r="G1236" s="127" t="s">
        <v>2305</v>
      </c>
      <c r="H1236" s="54">
        <v>6266.47</v>
      </c>
      <c r="I1236" s="138">
        <v>1</v>
      </c>
      <c r="J1236" s="44" t="s">
        <v>831</v>
      </c>
      <c r="K1236" s="44" t="s">
        <v>1542</v>
      </c>
    </row>
    <row r="1237" spans="1:11" x14ac:dyDescent="0.3">
      <c r="A1237" s="126" t="s">
        <v>390</v>
      </c>
      <c r="B1237" s="126" t="s">
        <v>3297</v>
      </c>
      <c r="C1237" s="53" t="s">
        <v>3317</v>
      </c>
      <c r="D1237" s="53" t="s">
        <v>3270</v>
      </c>
      <c r="E1237" s="131">
        <v>46021</v>
      </c>
      <c r="F1237" s="127" t="s">
        <v>619</v>
      </c>
      <c r="G1237" s="127" t="s">
        <v>2086</v>
      </c>
      <c r="H1237" s="54">
        <v>5749.3440000000001</v>
      </c>
      <c r="I1237" s="138">
        <v>0.26600000000000001</v>
      </c>
      <c r="J1237" s="44" t="s">
        <v>831</v>
      </c>
      <c r="K1237" s="44" t="s">
        <v>1542</v>
      </c>
    </row>
    <row r="1238" spans="1:11" x14ac:dyDescent="0.3">
      <c r="A1238" s="126" t="s">
        <v>390</v>
      </c>
      <c r="B1238" s="126" t="s">
        <v>3297</v>
      </c>
      <c r="C1238" s="53" t="s">
        <v>3318</v>
      </c>
      <c r="D1238" s="53" t="s">
        <v>3319</v>
      </c>
      <c r="E1238" s="131">
        <v>46021</v>
      </c>
      <c r="F1238" s="127" t="s">
        <v>2292</v>
      </c>
      <c r="G1238" s="127" t="s">
        <v>3329</v>
      </c>
      <c r="H1238" s="54">
        <v>8624.0159999999996</v>
      </c>
      <c r="I1238" s="138">
        <v>0.68100000000000005</v>
      </c>
      <c r="J1238" s="44" t="s">
        <v>831</v>
      </c>
      <c r="K1238" s="44" t="s">
        <v>1542</v>
      </c>
    </row>
    <row r="1239" spans="1:11" x14ac:dyDescent="0.3">
      <c r="A1239" s="126" t="s">
        <v>392</v>
      </c>
      <c r="B1239" s="126" t="s">
        <v>3297</v>
      </c>
      <c r="C1239" s="53" t="s">
        <v>3320</v>
      </c>
      <c r="D1239" s="53" t="s">
        <v>3321</v>
      </c>
      <c r="E1239" s="131">
        <v>46021</v>
      </c>
      <c r="F1239" s="127" t="s">
        <v>3108</v>
      </c>
      <c r="G1239" s="127" t="s">
        <v>3330</v>
      </c>
      <c r="H1239" s="54">
        <v>16529.363999999998</v>
      </c>
      <c r="I1239" s="138">
        <v>0.51300000000000001</v>
      </c>
      <c r="J1239" s="44" t="s">
        <v>831</v>
      </c>
      <c r="K1239" s="44" t="s">
        <v>1540</v>
      </c>
    </row>
    <row r="1240" spans="1:11" x14ac:dyDescent="0.3">
      <c r="A1240" s="126" t="s">
        <v>392</v>
      </c>
      <c r="B1240" s="126" t="s">
        <v>3297</v>
      </c>
      <c r="C1240" s="53" t="s">
        <v>3322</v>
      </c>
      <c r="D1240" s="53" t="s">
        <v>3323</v>
      </c>
      <c r="E1240" s="131">
        <v>46022</v>
      </c>
      <c r="F1240" s="127" t="s">
        <v>3328</v>
      </c>
      <c r="G1240" s="127" t="s">
        <v>3114</v>
      </c>
      <c r="H1240" s="54">
        <v>21543.360000000001</v>
      </c>
      <c r="I1240" s="154">
        <v>-7.0000000000000007E-2</v>
      </c>
      <c r="J1240" s="155" t="s">
        <v>831</v>
      </c>
      <c r="K1240" s="155" t="s">
        <v>1540</v>
      </c>
    </row>
    <row r="1241" spans="1:11" x14ac:dyDescent="0.3">
      <c r="A1241" s="126" t="s">
        <v>392</v>
      </c>
      <c r="B1241" s="126" t="s">
        <v>3297</v>
      </c>
      <c r="C1241" s="53" t="s">
        <v>3324</v>
      </c>
      <c r="D1241" s="53" t="s">
        <v>3325</v>
      </c>
      <c r="E1241" s="131">
        <v>46022</v>
      </c>
      <c r="F1241" s="127" t="s">
        <v>3327</v>
      </c>
      <c r="G1241" s="127" t="s">
        <v>3115</v>
      </c>
      <c r="H1241" s="54">
        <v>36803.24</v>
      </c>
      <c r="I1241" s="138">
        <v>0.155</v>
      </c>
      <c r="J1241" s="44" t="s">
        <v>831</v>
      </c>
      <c r="K1241" s="44" t="s">
        <v>1540</v>
      </c>
    </row>
    <row r="1242" spans="1:11" x14ac:dyDescent="0.3">
      <c r="A1242" s="126" t="s">
        <v>392</v>
      </c>
      <c r="B1242" s="126" t="s">
        <v>3297</v>
      </c>
      <c r="C1242" s="53" t="s">
        <v>3326</v>
      </c>
      <c r="D1242" s="53" t="s">
        <v>3323</v>
      </c>
      <c r="E1242" s="131">
        <v>46022</v>
      </c>
      <c r="F1242" s="127" t="s">
        <v>3331</v>
      </c>
      <c r="G1242" s="127" t="s">
        <v>3116</v>
      </c>
      <c r="H1242" s="54">
        <v>136441.28</v>
      </c>
      <c r="I1242" s="154">
        <v>-7.0000000000000007E-2</v>
      </c>
      <c r="J1242" s="155" t="s">
        <v>831</v>
      </c>
      <c r="K1242" s="155" t="s">
        <v>1540</v>
      </c>
    </row>
    <row r="1243" spans="1:11" x14ac:dyDescent="0.3">
      <c r="A1243" s="126"/>
      <c r="B1243" s="126"/>
      <c r="C1243" s="53"/>
      <c r="D1243" s="53"/>
      <c r="E1243" s="131"/>
      <c r="F1243" s="127"/>
      <c r="G1243" s="127"/>
      <c r="H1243" s="54"/>
      <c r="I1243" s="138"/>
    </row>
    <row r="1244" spans="1:11" x14ac:dyDescent="0.3">
      <c r="A1244" s="126"/>
      <c r="B1244" s="126"/>
      <c r="C1244" s="53"/>
      <c r="D1244" s="53"/>
      <c r="E1244" s="131"/>
      <c r="F1244" s="127"/>
      <c r="G1244" s="127"/>
      <c r="H1244" s="54"/>
      <c r="I1244" s="138"/>
    </row>
    <row r="1245" spans="1:11" x14ac:dyDescent="0.3">
      <c r="A1245" s="126"/>
      <c r="B1245" s="126"/>
      <c r="C1245" s="53"/>
      <c r="D1245" s="53"/>
      <c r="E1245" s="131"/>
      <c r="F1245" s="127"/>
      <c r="G1245" s="127"/>
      <c r="H1245" s="54"/>
      <c r="I1245" s="138"/>
    </row>
    <row r="1246" spans="1:11" x14ac:dyDescent="0.3">
      <c r="A1246" s="126"/>
      <c r="B1246" s="126"/>
      <c r="C1246" s="53"/>
      <c r="D1246" s="53"/>
      <c r="E1246" s="131"/>
      <c r="F1246" s="127"/>
      <c r="G1246" s="127"/>
      <c r="H1246" s="54"/>
      <c r="I1246" s="138"/>
    </row>
    <row r="1247" spans="1:11" x14ac:dyDescent="0.3">
      <c r="A1247" s="126"/>
      <c r="B1247" s="126"/>
      <c r="C1247" s="53"/>
      <c r="D1247" s="53"/>
      <c r="E1247" s="131"/>
      <c r="F1247" s="127"/>
      <c r="G1247" s="127"/>
      <c r="H1247" s="54"/>
      <c r="I1247" s="138"/>
    </row>
    <row r="1248" spans="1:11" x14ac:dyDescent="0.3">
      <c r="A1248" s="126"/>
      <c r="B1248" s="126"/>
      <c r="C1248" s="53"/>
      <c r="D1248" s="53"/>
      <c r="E1248" s="131"/>
      <c r="F1248" s="127"/>
      <c r="G1248" s="127"/>
      <c r="H1248" s="54"/>
      <c r="I1248" s="138"/>
    </row>
    <row r="1249" spans="1:9" x14ac:dyDescent="0.3">
      <c r="A1249" s="126"/>
      <c r="B1249" s="126"/>
      <c r="C1249" s="53"/>
      <c r="D1249" s="53"/>
      <c r="E1249" s="131"/>
      <c r="F1249" s="127"/>
      <c r="G1249" s="127"/>
      <c r="H1249" s="54"/>
      <c r="I1249" s="138"/>
    </row>
    <row r="1250" spans="1:9" x14ac:dyDescent="0.3">
      <c r="A1250" s="126"/>
      <c r="B1250" s="126"/>
      <c r="C1250" s="53"/>
      <c r="D1250" s="53"/>
      <c r="E1250" s="131"/>
      <c r="F1250" s="127"/>
      <c r="G1250" s="127"/>
      <c r="H1250" s="54"/>
      <c r="I1250" s="138"/>
    </row>
    <row r="1251" spans="1:9" x14ac:dyDescent="0.3">
      <c r="A1251" s="126"/>
      <c r="B1251" s="126"/>
      <c r="C1251" s="53"/>
      <c r="D1251" s="53"/>
      <c r="E1251" s="131"/>
      <c r="F1251" s="127"/>
      <c r="G1251" s="127"/>
      <c r="H1251" s="54"/>
      <c r="I1251" s="138"/>
    </row>
    <row r="1252" spans="1:9" x14ac:dyDescent="0.3">
      <c r="A1252" s="126"/>
      <c r="B1252" s="126"/>
      <c r="C1252" s="53"/>
      <c r="D1252" s="53"/>
      <c r="E1252" s="131"/>
      <c r="F1252" s="127"/>
      <c r="G1252" s="127"/>
      <c r="H1252" s="54"/>
      <c r="I1252" s="138"/>
    </row>
    <row r="1253" spans="1:9" x14ac:dyDescent="0.3">
      <c r="A1253" s="126"/>
      <c r="B1253" s="126"/>
      <c r="C1253" s="53"/>
      <c r="D1253" s="53"/>
      <c r="E1253" s="131"/>
      <c r="F1253" s="127"/>
      <c r="G1253" s="127"/>
      <c r="H1253" s="54"/>
      <c r="I1253" s="138"/>
    </row>
    <row r="1254" spans="1:9" x14ac:dyDescent="0.3">
      <c r="A1254" s="126"/>
      <c r="B1254" s="126"/>
      <c r="C1254" s="53"/>
      <c r="D1254" s="53"/>
      <c r="E1254" s="131"/>
      <c r="F1254" s="127"/>
      <c r="G1254" s="127"/>
      <c r="H1254" s="54"/>
      <c r="I1254" s="138"/>
    </row>
    <row r="1255" spans="1:9" x14ac:dyDescent="0.3">
      <c r="A1255" s="126"/>
      <c r="B1255" s="126"/>
      <c r="C1255" s="53"/>
      <c r="D1255" s="53"/>
      <c r="E1255" s="131"/>
      <c r="F1255" s="127"/>
      <c r="G1255" s="127"/>
      <c r="H1255" s="54"/>
      <c r="I1255" s="138"/>
    </row>
    <row r="1256" spans="1:9" x14ac:dyDescent="0.3">
      <c r="A1256" s="126"/>
      <c r="B1256" s="126"/>
      <c r="C1256" s="53"/>
      <c r="D1256" s="53"/>
      <c r="E1256" s="131"/>
      <c r="F1256" s="127"/>
      <c r="G1256" s="127"/>
      <c r="H1256" s="54"/>
      <c r="I1256" s="138"/>
    </row>
    <row r="1257" spans="1:9" x14ac:dyDescent="0.3">
      <c r="A1257" s="126"/>
      <c r="B1257" s="126"/>
      <c r="C1257" s="53"/>
      <c r="D1257" s="53"/>
      <c r="E1257" s="131"/>
      <c r="F1257" s="127"/>
      <c r="G1257" s="127"/>
      <c r="H1257" s="54"/>
      <c r="I1257" s="138"/>
    </row>
    <row r="1258" spans="1:9" x14ac:dyDescent="0.3">
      <c r="A1258" s="126"/>
      <c r="B1258" s="126"/>
      <c r="C1258" s="53"/>
      <c r="D1258" s="53"/>
      <c r="E1258" s="131"/>
      <c r="F1258" s="127"/>
      <c r="G1258" s="127"/>
      <c r="H1258" s="54"/>
      <c r="I1258" s="138"/>
    </row>
    <row r="1259" spans="1:9" x14ac:dyDescent="0.3">
      <c r="A1259" s="126"/>
      <c r="B1259" s="126"/>
      <c r="C1259" s="53"/>
      <c r="D1259" s="53"/>
      <c r="E1259" s="131"/>
      <c r="F1259" s="127"/>
      <c r="G1259" s="127"/>
      <c r="H1259" s="54"/>
      <c r="I1259" s="138"/>
    </row>
    <row r="1260" spans="1:9" x14ac:dyDescent="0.3">
      <c r="A1260" s="126"/>
      <c r="B1260" s="126"/>
      <c r="C1260" s="53"/>
      <c r="D1260" s="53"/>
      <c r="E1260" s="131"/>
      <c r="F1260" s="127"/>
      <c r="G1260" s="127"/>
      <c r="H1260" s="54"/>
      <c r="I1260" s="138"/>
    </row>
    <row r="1261" spans="1:9" x14ac:dyDescent="0.3">
      <c r="A1261" s="126"/>
      <c r="B1261" s="126"/>
      <c r="C1261" s="53"/>
      <c r="D1261" s="53"/>
      <c r="E1261" s="131"/>
      <c r="F1261" s="127"/>
      <c r="G1261" s="127"/>
      <c r="H1261" s="54"/>
      <c r="I1261" s="138"/>
    </row>
    <row r="1262" spans="1:9" x14ac:dyDescent="0.3">
      <c r="A1262" s="126"/>
      <c r="B1262" s="126"/>
      <c r="C1262" s="53"/>
      <c r="D1262" s="53"/>
      <c r="E1262" s="131"/>
      <c r="F1262" s="127"/>
      <c r="G1262" s="127"/>
      <c r="H1262" s="54"/>
      <c r="I1262" s="138"/>
    </row>
    <row r="1263" spans="1:9" x14ac:dyDescent="0.3">
      <c r="A1263" s="126"/>
      <c r="B1263" s="126"/>
      <c r="C1263" s="53"/>
      <c r="D1263" s="53"/>
      <c r="E1263" s="131"/>
      <c r="F1263" s="127"/>
      <c r="G1263" s="127"/>
      <c r="H1263" s="54"/>
      <c r="I1263" s="138"/>
    </row>
    <row r="1264" spans="1:9" x14ac:dyDescent="0.3">
      <c r="A1264" s="126"/>
      <c r="B1264" s="126"/>
      <c r="C1264" s="53"/>
      <c r="D1264" s="53"/>
      <c r="E1264" s="131"/>
      <c r="F1264" s="127"/>
      <c r="G1264" s="127"/>
      <c r="H1264" s="54"/>
      <c r="I1264" s="138"/>
    </row>
    <row r="1265" spans="1:9" x14ac:dyDescent="0.3">
      <c r="A1265" s="126"/>
      <c r="B1265" s="126"/>
      <c r="C1265" s="53"/>
      <c r="D1265" s="53"/>
      <c r="E1265" s="131"/>
      <c r="F1265" s="127"/>
      <c r="G1265" s="127"/>
      <c r="H1265" s="54"/>
      <c r="I1265" s="138"/>
    </row>
    <row r="1266" spans="1:9" x14ac:dyDescent="0.3">
      <c r="A1266" s="126"/>
      <c r="B1266" s="126"/>
      <c r="C1266" s="53"/>
      <c r="D1266" s="53"/>
      <c r="E1266" s="131"/>
      <c r="F1266" s="127"/>
      <c r="G1266" s="127"/>
      <c r="H1266" s="54"/>
      <c r="I1266" s="138"/>
    </row>
    <row r="1267" spans="1:9" x14ac:dyDescent="0.3">
      <c r="A1267" s="126"/>
      <c r="B1267" s="126"/>
      <c r="C1267" s="53"/>
      <c r="D1267" s="53"/>
      <c r="E1267" s="131"/>
      <c r="F1267" s="127"/>
      <c r="G1267" s="127"/>
      <c r="H1267" s="54"/>
      <c r="I1267" s="138"/>
    </row>
    <row r="1268" spans="1:9" x14ac:dyDescent="0.3">
      <c r="A1268" s="126"/>
      <c r="B1268" s="126"/>
      <c r="C1268" s="53"/>
      <c r="D1268" s="53"/>
      <c r="E1268" s="131"/>
      <c r="F1268" s="127"/>
      <c r="G1268" s="127"/>
      <c r="H1268" s="54"/>
      <c r="I1268" s="138"/>
    </row>
    <row r="1269" spans="1:9" x14ac:dyDescent="0.3">
      <c r="A1269" s="126"/>
      <c r="B1269" s="126"/>
      <c r="C1269" s="53"/>
      <c r="D1269" s="53"/>
      <c r="E1269" s="131"/>
      <c r="F1269" s="127"/>
      <c r="G1269" s="127"/>
      <c r="H1269" s="54"/>
      <c r="I1269" s="138"/>
    </row>
    <row r="1270" spans="1:9" x14ac:dyDescent="0.3">
      <c r="A1270" s="126"/>
      <c r="B1270" s="126"/>
      <c r="C1270" s="53"/>
      <c r="D1270" s="53"/>
      <c r="E1270" s="131"/>
      <c r="F1270" s="127"/>
      <c r="G1270" s="127"/>
      <c r="H1270" s="54"/>
      <c r="I1270" s="138"/>
    </row>
    <row r="1271" spans="1:9" x14ac:dyDescent="0.3">
      <c r="A1271" s="126"/>
      <c r="B1271" s="126"/>
      <c r="C1271" s="53"/>
      <c r="D1271" s="53"/>
      <c r="E1271" s="131"/>
      <c r="F1271" s="127"/>
      <c r="G1271" s="127"/>
      <c r="H1271" s="54"/>
      <c r="I1271" s="138"/>
    </row>
    <row r="1272" spans="1:9" x14ac:dyDescent="0.3">
      <c r="A1272" s="126"/>
      <c r="B1272" s="126"/>
      <c r="C1272" s="53"/>
      <c r="D1272" s="53"/>
      <c r="E1272" s="131"/>
      <c r="F1272" s="127"/>
      <c r="G1272" s="127"/>
      <c r="H1272" s="54"/>
      <c r="I1272" s="138"/>
    </row>
    <row r="1273" spans="1:9" x14ac:dyDescent="0.3">
      <c r="A1273" s="126"/>
      <c r="B1273" s="126"/>
      <c r="C1273" s="53"/>
      <c r="D1273" s="53"/>
      <c r="E1273" s="131"/>
      <c r="F1273" s="127"/>
      <c r="G1273" s="127"/>
      <c r="H1273" s="54"/>
      <c r="I1273" s="138"/>
    </row>
    <row r="1274" spans="1:9" x14ac:dyDescent="0.3">
      <c r="A1274" s="126"/>
      <c r="B1274" s="126"/>
      <c r="C1274" s="53"/>
      <c r="D1274" s="53"/>
      <c r="E1274" s="131"/>
      <c r="F1274" s="127"/>
      <c r="G1274" s="127"/>
      <c r="H1274" s="54"/>
      <c r="I1274" s="138"/>
    </row>
    <row r="1275" spans="1:9" x14ac:dyDescent="0.3">
      <c r="A1275" s="126"/>
      <c r="B1275" s="126"/>
      <c r="C1275" s="53"/>
      <c r="D1275" s="53"/>
      <c r="E1275" s="131"/>
      <c r="F1275" s="127"/>
      <c r="G1275" s="127"/>
      <c r="H1275" s="54"/>
      <c r="I1275" s="138"/>
    </row>
    <row r="1276" spans="1:9" x14ac:dyDescent="0.3">
      <c r="A1276" s="126"/>
      <c r="B1276" s="126"/>
      <c r="C1276" s="53"/>
      <c r="D1276" s="53"/>
      <c r="E1276" s="131"/>
      <c r="F1276" s="127"/>
      <c r="G1276" s="127"/>
      <c r="H1276" s="54"/>
      <c r="I1276" s="138"/>
    </row>
    <row r="1277" spans="1:9" x14ac:dyDescent="0.3">
      <c r="A1277" s="126"/>
      <c r="B1277" s="126"/>
      <c r="C1277" s="53"/>
      <c r="D1277" s="53"/>
      <c r="E1277" s="131"/>
      <c r="F1277" s="127"/>
      <c r="G1277" s="127"/>
      <c r="H1277" s="54"/>
      <c r="I1277" s="138"/>
    </row>
    <row r="1278" spans="1:9" x14ac:dyDescent="0.3">
      <c r="A1278" s="126"/>
      <c r="B1278" s="126"/>
      <c r="C1278" s="53"/>
      <c r="D1278" s="53"/>
      <c r="E1278" s="131"/>
      <c r="F1278" s="127"/>
      <c r="G1278" s="127"/>
      <c r="H1278" s="54"/>
      <c r="I1278" s="138"/>
    </row>
    <row r="1279" spans="1:9" x14ac:dyDescent="0.3">
      <c r="A1279" s="126"/>
      <c r="B1279" s="126"/>
      <c r="C1279" s="53"/>
      <c r="D1279" s="53"/>
      <c r="E1279" s="131"/>
      <c r="F1279" s="127"/>
      <c r="G1279" s="127"/>
      <c r="H1279" s="54"/>
      <c r="I1279" s="138"/>
    </row>
    <row r="1280" spans="1:9" x14ac:dyDescent="0.3">
      <c r="A1280" s="126"/>
      <c r="B1280" s="126"/>
      <c r="C1280" s="53"/>
      <c r="D1280" s="53"/>
      <c r="E1280" s="131"/>
      <c r="F1280" s="127"/>
      <c r="G1280" s="127"/>
      <c r="H1280" s="54"/>
      <c r="I1280" s="138"/>
    </row>
    <row r="1281" spans="1:9" x14ac:dyDescent="0.3">
      <c r="A1281" s="126"/>
      <c r="B1281" s="126"/>
      <c r="C1281" s="53"/>
      <c r="D1281" s="53"/>
      <c r="E1281" s="131"/>
      <c r="F1281" s="127"/>
      <c r="G1281" s="127"/>
      <c r="H1281" s="54"/>
      <c r="I1281" s="138"/>
    </row>
    <row r="1282" spans="1:9" x14ac:dyDescent="0.3">
      <c r="A1282" s="126"/>
      <c r="B1282" s="126"/>
      <c r="C1282" s="53"/>
      <c r="D1282" s="53"/>
      <c r="E1282" s="131"/>
      <c r="F1282" s="127"/>
      <c r="G1282" s="127"/>
      <c r="H1282" s="54"/>
      <c r="I1282" s="138"/>
    </row>
    <row r="1283" spans="1:9" x14ac:dyDescent="0.3">
      <c r="A1283" s="126"/>
      <c r="B1283" s="126"/>
      <c r="C1283" s="53"/>
      <c r="D1283" s="53"/>
      <c r="E1283" s="131"/>
      <c r="F1283" s="127"/>
      <c r="G1283" s="127"/>
      <c r="H1283" s="54"/>
      <c r="I1283" s="138"/>
    </row>
    <row r="1284" spans="1:9" x14ac:dyDescent="0.3">
      <c r="A1284" s="126"/>
      <c r="B1284" s="126"/>
      <c r="C1284" s="53"/>
      <c r="D1284" s="53"/>
      <c r="E1284" s="131"/>
      <c r="F1284" s="127"/>
      <c r="G1284" s="127"/>
      <c r="H1284" s="54"/>
      <c r="I1284" s="138"/>
    </row>
    <row r="1285" spans="1:9" x14ac:dyDescent="0.3">
      <c r="A1285" s="126"/>
      <c r="B1285" s="126"/>
      <c r="C1285" s="53"/>
      <c r="D1285" s="53"/>
      <c r="E1285" s="131"/>
      <c r="F1285" s="127"/>
      <c r="G1285" s="127"/>
      <c r="H1285" s="54"/>
      <c r="I1285" s="138"/>
    </row>
    <row r="1286" spans="1:9" x14ac:dyDescent="0.3">
      <c r="A1286" s="126"/>
      <c r="B1286" s="126"/>
      <c r="C1286" s="53"/>
      <c r="D1286" s="53"/>
      <c r="E1286" s="131"/>
      <c r="F1286" s="127"/>
      <c r="G1286" s="127"/>
      <c r="H1286" s="54"/>
      <c r="I1286" s="138"/>
    </row>
    <row r="1287" spans="1:9" x14ac:dyDescent="0.3">
      <c r="A1287" s="126"/>
      <c r="B1287" s="126"/>
      <c r="C1287" s="53"/>
      <c r="D1287" s="53"/>
      <c r="E1287" s="131"/>
      <c r="F1287" s="127"/>
      <c r="G1287" s="127"/>
      <c r="H1287" s="54"/>
      <c r="I1287" s="138"/>
    </row>
    <row r="1288" spans="1:9" x14ac:dyDescent="0.3">
      <c r="A1288" s="126"/>
      <c r="B1288" s="126"/>
      <c r="C1288" s="53"/>
      <c r="D1288" s="53"/>
      <c r="E1288" s="131"/>
      <c r="F1288" s="127"/>
      <c r="G1288" s="127"/>
      <c r="H1288" s="54"/>
      <c r="I1288" s="138"/>
    </row>
    <row r="1289" spans="1:9" x14ac:dyDescent="0.3">
      <c r="A1289" s="126"/>
      <c r="B1289" s="126"/>
      <c r="C1289" s="53"/>
      <c r="D1289" s="53"/>
      <c r="E1289" s="131"/>
      <c r="F1289" s="127"/>
      <c r="G1289" s="127"/>
      <c r="H1289" s="54"/>
      <c r="I1289" s="138"/>
    </row>
    <row r="1290" spans="1:9" x14ac:dyDescent="0.3">
      <c r="A1290" s="126"/>
      <c r="B1290" s="126"/>
      <c r="C1290" s="53"/>
      <c r="D1290" s="53"/>
      <c r="E1290" s="131"/>
      <c r="F1290" s="127"/>
      <c r="G1290" s="127"/>
      <c r="H1290" s="54"/>
      <c r="I1290" s="138"/>
    </row>
    <row r="1291" spans="1:9" x14ac:dyDescent="0.3">
      <c r="A1291" s="126"/>
      <c r="B1291" s="126"/>
      <c r="C1291" s="53"/>
      <c r="D1291" s="53"/>
      <c r="E1291" s="131"/>
      <c r="F1291" s="127"/>
      <c r="G1291" s="127"/>
      <c r="H1291" s="54"/>
      <c r="I1291" s="138"/>
    </row>
    <row r="1292" spans="1:9" x14ac:dyDescent="0.3">
      <c r="A1292" s="126"/>
      <c r="B1292" s="126"/>
      <c r="C1292" s="53"/>
      <c r="D1292" s="53"/>
      <c r="E1292" s="131"/>
      <c r="F1292" s="127"/>
      <c r="G1292" s="127"/>
      <c r="H1292" s="54"/>
      <c r="I1292" s="138"/>
    </row>
    <row r="1293" spans="1:9" x14ac:dyDescent="0.3">
      <c r="A1293" s="126"/>
      <c r="B1293" s="126"/>
      <c r="C1293" s="53"/>
      <c r="D1293" s="53"/>
      <c r="E1293" s="131"/>
      <c r="F1293" s="127"/>
      <c r="G1293" s="127"/>
      <c r="H1293" s="54"/>
      <c r="I1293" s="138"/>
    </row>
    <row r="1294" spans="1:9" x14ac:dyDescent="0.3">
      <c r="A1294" s="126"/>
      <c r="B1294" s="126"/>
      <c r="C1294" s="53"/>
      <c r="D1294" s="53"/>
      <c r="E1294" s="131"/>
      <c r="F1294" s="127"/>
      <c r="G1294" s="127"/>
      <c r="H1294" s="54"/>
      <c r="I1294" s="138"/>
    </row>
    <row r="1295" spans="1:9" x14ac:dyDescent="0.3">
      <c r="A1295" s="126"/>
      <c r="B1295" s="126"/>
      <c r="C1295" s="53"/>
      <c r="D1295" s="53"/>
      <c r="E1295" s="131"/>
      <c r="F1295" s="127"/>
      <c r="G1295" s="127"/>
      <c r="H1295" s="54"/>
      <c r="I1295" s="138"/>
    </row>
    <row r="1296" spans="1:9" x14ac:dyDescent="0.3">
      <c r="A1296" s="126"/>
      <c r="B1296" s="126"/>
      <c r="C1296" s="53"/>
      <c r="D1296" s="53"/>
      <c r="E1296" s="131"/>
      <c r="F1296" s="127"/>
      <c r="G1296" s="127"/>
      <c r="H1296" s="54"/>
      <c r="I1296" s="138"/>
    </row>
    <row r="1297" spans="1:9" x14ac:dyDescent="0.3">
      <c r="A1297" s="126"/>
      <c r="B1297" s="126"/>
      <c r="C1297" s="53"/>
      <c r="D1297" s="53"/>
      <c r="E1297" s="131"/>
      <c r="F1297" s="127"/>
      <c r="G1297" s="127"/>
      <c r="H1297" s="54"/>
      <c r="I1297" s="138"/>
    </row>
    <row r="1298" spans="1:9" x14ac:dyDescent="0.3">
      <c r="A1298" s="126"/>
      <c r="B1298" s="126"/>
      <c r="C1298" s="53"/>
      <c r="D1298" s="53"/>
      <c r="E1298" s="131"/>
      <c r="F1298" s="127"/>
      <c r="G1298" s="127"/>
      <c r="H1298" s="54"/>
      <c r="I1298" s="138"/>
    </row>
    <row r="1299" spans="1:9" x14ac:dyDescent="0.3">
      <c r="A1299" s="126"/>
      <c r="B1299" s="126"/>
      <c r="C1299" s="53"/>
      <c r="D1299" s="53"/>
      <c r="E1299" s="131"/>
      <c r="F1299" s="127"/>
      <c r="G1299" s="127"/>
      <c r="H1299" s="54"/>
      <c r="I1299" s="138"/>
    </row>
    <row r="1300" spans="1:9" x14ac:dyDescent="0.3">
      <c r="A1300" s="126"/>
      <c r="B1300" s="126"/>
      <c r="C1300" s="53"/>
      <c r="D1300" s="53"/>
      <c r="E1300" s="131"/>
      <c r="F1300" s="127"/>
      <c r="G1300" s="127"/>
      <c r="H1300" s="54"/>
      <c r="I1300" s="138"/>
    </row>
    <row r="1301" spans="1:9" x14ac:dyDescent="0.3">
      <c r="A1301" s="126"/>
      <c r="B1301" s="126"/>
      <c r="C1301" s="53"/>
      <c r="D1301" s="53"/>
      <c r="E1301" s="131"/>
      <c r="F1301" s="127"/>
      <c r="G1301" s="127"/>
      <c r="H1301" s="54"/>
      <c r="I1301" s="138"/>
    </row>
    <row r="1302" spans="1:9" x14ac:dyDescent="0.3">
      <c r="A1302" s="126"/>
      <c r="B1302" s="126"/>
      <c r="C1302" s="53"/>
      <c r="D1302" s="53"/>
      <c r="E1302" s="131"/>
      <c r="F1302" s="127"/>
      <c r="G1302" s="127"/>
      <c r="H1302" s="54"/>
      <c r="I1302" s="138"/>
    </row>
    <row r="1303" spans="1:9" x14ac:dyDescent="0.3">
      <c r="A1303" s="126"/>
      <c r="B1303" s="126"/>
      <c r="C1303" s="53"/>
      <c r="D1303" s="53"/>
      <c r="E1303" s="131"/>
      <c r="F1303" s="127"/>
      <c r="G1303" s="127"/>
      <c r="H1303" s="54"/>
      <c r="I1303" s="138"/>
    </row>
    <row r="1304" spans="1:9" x14ac:dyDescent="0.3">
      <c r="A1304" s="126"/>
      <c r="B1304" s="126"/>
      <c r="C1304" s="53"/>
      <c r="D1304" s="53"/>
      <c r="E1304" s="131"/>
      <c r="F1304" s="127"/>
      <c r="G1304" s="127"/>
      <c r="H1304" s="54"/>
      <c r="I1304" s="138"/>
    </row>
    <row r="1305" spans="1:9" x14ac:dyDescent="0.3">
      <c r="A1305" s="126"/>
      <c r="B1305" s="126"/>
      <c r="C1305" s="53"/>
      <c r="D1305" s="53"/>
      <c r="E1305" s="131"/>
      <c r="F1305" s="127"/>
      <c r="G1305" s="127"/>
      <c r="H1305" s="54"/>
      <c r="I1305" s="138"/>
    </row>
    <row r="1306" spans="1:9" x14ac:dyDescent="0.3">
      <c r="A1306" s="126"/>
      <c r="B1306" s="126"/>
      <c r="C1306" s="53"/>
      <c r="D1306" s="53"/>
      <c r="E1306" s="131"/>
      <c r="F1306" s="127"/>
      <c r="G1306" s="127"/>
      <c r="H1306" s="54"/>
      <c r="I1306" s="138"/>
    </row>
    <row r="1307" spans="1:9" x14ac:dyDescent="0.3">
      <c r="A1307" s="126"/>
      <c r="B1307" s="126"/>
      <c r="C1307" s="53"/>
      <c r="D1307" s="53"/>
      <c r="E1307" s="131"/>
      <c r="F1307" s="127"/>
      <c r="G1307" s="127"/>
      <c r="H1307" s="54"/>
      <c r="I1307" s="138"/>
    </row>
    <row r="1308" spans="1:9" x14ac:dyDescent="0.3">
      <c r="A1308" s="126"/>
      <c r="B1308" s="126"/>
      <c r="C1308" s="53"/>
      <c r="D1308" s="53"/>
      <c r="E1308" s="131"/>
      <c r="F1308" s="127"/>
      <c r="G1308" s="127"/>
      <c r="H1308" s="54"/>
      <c r="I1308" s="138"/>
    </row>
    <row r="1309" spans="1:9" x14ac:dyDescent="0.3">
      <c r="A1309" s="126"/>
      <c r="B1309" s="126"/>
      <c r="C1309" s="53"/>
      <c r="D1309" s="53"/>
      <c r="E1309" s="131"/>
      <c r="F1309" s="127"/>
      <c r="G1309" s="127"/>
      <c r="H1309" s="54"/>
      <c r="I1309" s="138"/>
    </row>
    <row r="1310" spans="1:9" x14ac:dyDescent="0.3">
      <c r="A1310" s="126"/>
      <c r="B1310" s="126"/>
      <c r="C1310" s="53"/>
      <c r="D1310" s="53"/>
      <c r="E1310" s="131"/>
      <c r="F1310" s="127"/>
      <c r="G1310" s="127"/>
      <c r="H1310" s="54"/>
      <c r="I1310" s="138"/>
    </row>
    <row r="1311" spans="1:9" x14ac:dyDescent="0.3">
      <c r="A1311" s="126"/>
      <c r="B1311" s="126"/>
      <c r="C1311" s="53"/>
      <c r="D1311" s="53"/>
      <c r="E1311" s="131"/>
      <c r="F1311" s="127"/>
      <c r="G1311" s="127"/>
      <c r="H1311" s="54"/>
      <c r="I1311" s="138"/>
    </row>
    <row r="1312" spans="1:9" x14ac:dyDescent="0.3">
      <c r="A1312" s="126"/>
      <c r="B1312" s="126"/>
      <c r="C1312" s="53"/>
      <c r="D1312" s="53"/>
      <c r="E1312" s="131"/>
      <c r="F1312" s="127"/>
      <c r="G1312" s="127"/>
      <c r="H1312" s="54"/>
      <c r="I1312" s="138"/>
    </row>
    <row r="1313" spans="1:9" x14ac:dyDescent="0.3">
      <c r="A1313" s="126"/>
      <c r="B1313" s="126"/>
      <c r="C1313" s="53"/>
      <c r="D1313" s="53"/>
      <c r="E1313" s="131"/>
      <c r="F1313" s="127"/>
      <c r="G1313" s="127"/>
      <c r="H1313" s="54"/>
      <c r="I1313" s="138"/>
    </row>
    <row r="1314" spans="1:9" x14ac:dyDescent="0.3">
      <c r="A1314" s="126"/>
      <c r="B1314" s="126"/>
      <c r="C1314" s="53"/>
      <c r="D1314" s="53"/>
      <c r="E1314" s="131"/>
      <c r="F1314" s="127"/>
      <c r="G1314" s="127"/>
      <c r="H1314" s="54"/>
      <c r="I1314" s="138"/>
    </row>
    <row r="1315" spans="1:9" x14ac:dyDescent="0.3">
      <c r="A1315" s="126"/>
      <c r="B1315" s="126"/>
      <c r="C1315" s="53"/>
      <c r="D1315" s="53"/>
      <c r="E1315" s="131"/>
      <c r="F1315" s="127"/>
      <c r="G1315" s="127"/>
      <c r="H1315" s="54"/>
      <c r="I1315" s="138"/>
    </row>
    <row r="1316" spans="1:9" x14ac:dyDescent="0.3">
      <c r="A1316" s="126"/>
      <c r="B1316" s="126"/>
      <c r="C1316" s="53"/>
      <c r="D1316" s="53"/>
      <c r="E1316" s="131"/>
      <c r="F1316" s="127"/>
      <c r="G1316" s="127"/>
      <c r="H1316" s="54"/>
      <c r="I1316" s="138"/>
    </row>
    <row r="1317" spans="1:9" x14ac:dyDescent="0.3">
      <c r="A1317" s="126"/>
      <c r="B1317" s="126"/>
      <c r="C1317" s="53"/>
      <c r="D1317" s="53"/>
      <c r="E1317" s="131"/>
      <c r="F1317" s="127"/>
      <c r="G1317" s="127"/>
      <c r="H1317" s="54"/>
      <c r="I1317" s="138"/>
    </row>
    <row r="1318" spans="1:9" x14ac:dyDescent="0.3">
      <c r="A1318" s="126"/>
      <c r="B1318" s="126"/>
      <c r="C1318" s="53"/>
      <c r="D1318" s="53"/>
      <c r="E1318" s="131"/>
      <c r="F1318" s="127"/>
      <c r="G1318" s="127"/>
      <c r="H1318" s="54"/>
      <c r="I1318" s="138"/>
    </row>
    <row r="1319" spans="1:9" x14ac:dyDescent="0.3">
      <c r="A1319" s="126"/>
      <c r="B1319" s="126"/>
      <c r="C1319" s="53"/>
      <c r="D1319" s="53"/>
      <c r="E1319" s="131"/>
      <c r="F1319" s="127"/>
      <c r="G1319" s="127"/>
      <c r="H1319" s="54"/>
      <c r="I1319" s="138"/>
    </row>
    <row r="1320" spans="1:9" x14ac:dyDescent="0.3">
      <c r="A1320" s="126"/>
      <c r="B1320" s="126"/>
      <c r="C1320" s="53"/>
      <c r="D1320" s="53"/>
      <c r="E1320" s="131"/>
      <c r="F1320" s="127"/>
      <c r="G1320" s="127"/>
      <c r="H1320" s="54"/>
      <c r="I1320" s="138"/>
    </row>
    <row r="1321" spans="1:9" x14ac:dyDescent="0.3">
      <c r="A1321" s="126"/>
      <c r="B1321" s="126"/>
      <c r="C1321" s="53"/>
      <c r="D1321" s="53"/>
      <c r="E1321" s="131"/>
      <c r="F1321" s="127"/>
      <c r="G1321" s="127"/>
      <c r="H1321" s="54"/>
      <c r="I1321" s="138"/>
    </row>
    <row r="1322" spans="1:9" x14ac:dyDescent="0.3">
      <c r="A1322" s="126"/>
      <c r="B1322" s="126"/>
      <c r="C1322" s="53"/>
      <c r="D1322" s="53"/>
      <c r="E1322" s="131"/>
      <c r="F1322" s="127"/>
      <c r="G1322" s="127"/>
      <c r="H1322" s="54"/>
      <c r="I1322" s="138"/>
    </row>
    <row r="1323" spans="1:9" x14ac:dyDescent="0.3">
      <c r="A1323" s="126"/>
      <c r="B1323" s="126"/>
      <c r="C1323" s="53"/>
      <c r="D1323" s="53"/>
      <c r="E1323" s="131"/>
      <c r="F1323" s="127"/>
      <c r="G1323" s="127"/>
      <c r="H1323" s="54"/>
      <c r="I1323" s="138"/>
    </row>
    <row r="1324" spans="1:9" x14ac:dyDescent="0.3">
      <c r="A1324" s="126"/>
      <c r="B1324" s="126"/>
      <c r="C1324" s="53"/>
      <c r="D1324" s="53"/>
      <c r="E1324" s="131"/>
      <c r="F1324" s="127"/>
      <c r="G1324" s="127"/>
      <c r="H1324" s="54"/>
      <c r="I1324" s="138"/>
    </row>
    <row r="1325" spans="1:9" x14ac:dyDescent="0.3">
      <c r="A1325" s="126"/>
      <c r="B1325" s="126"/>
      <c r="C1325" s="53"/>
      <c r="D1325" s="53"/>
      <c r="E1325" s="131"/>
      <c r="F1325" s="127"/>
      <c r="G1325" s="127"/>
      <c r="H1325" s="54"/>
      <c r="I1325" s="138"/>
    </row>
    <row r="1326" spans="1:9" x14ac:dyDescent="0.3">
      <c r="A1326" s="126"/>
      <c r="B1326" s="126"/>
      <c r="C1326" s="53"/>
      <c r="D1326" s="53"/>
      <c r="E1326" s="131"/>
      <c r="F1326" s="127"/>
      <c r="G1326" s="127"/>
      <c r="H1326" s="54"/>
      <c r="I1326" s="138"/>
    </row>
    <row r="1327" spans="1:9" x14ac:dyDescent="0.3">
      <c r="A1327" s="126"/>
      <c r="B1327" s="126"/>
      <c r="C1327" s="53"/>
      <c r="D1327" s="53"/>
      <c r="E1327" s="131"/>
      <c r="F1327" s="127"/>
      <c r="G1327" s="127"/>
      <c r="H1327" s="54"/>
      <c r="I1327" s="138"/>
    </row>
    <row r="1328" spans="1:9" x14ac:dyDescent="0.3">
      <c r="A1328" s="126"/>
      <c r="B1328" s="126"/>
      <c r="C1328" s="53"/>
      <c r="D1328" s="53"/>
      <c r="E1328" s="131"/>
      <c r="F1328" s="127"/>
      <c r="G1328" s="127"/>
      <c r="H1328" s="54"/>
      <c r="I1328" s="138"/>
    </row>
    <row r="1329" spans="1:9" x14ac:dyDescent="0.3">
      <c r="A1329" s="126"/>
      <c r="B1329" s="126"/>
      <c r="C1329" s="53"/>
      <c r="D1329" s="53"/>
      <c r="E1329" s="131"/>
      <c r="F1329" s="127"/>
      <c r="G1329" s="127"/>
      <c r="H1329" s="54"/>
      <c r="I1329" s="138"/>
    </row>
    <row r="1330" spans="1:9" x14ac:dyDescent="0.3">
      <c r="A1330" s="126"/>
      <c r="B1330" s="126"/>
      <c r="C1330" s="53"/>
      <c r="D1330" s="53"/>
      <c r="E1330" s="131"/>
      <c r="F1330" s="127"/>
      <c r="G1330" s="127"/>
      <c r="H1330" s="54"/>
      <c r="I1330" s="138"/>
    </row>
    <row r="1331" spans="1:9" x14ac:dyDescent="0.3">
      <c r="A1331" s="126"/>
      <c r="B1331" s="126"/>
      <c r="C1331" s="53"/>
      <c r="D1331" s="53"/>
      <c r="E1331" s="131"/>
      <c r="F1331" s="127"/>
      <c r="G1331" s="127"/>
      <c r="H1331" s="54"/>
      <c r="I1331" s="138"/>
    </row>
    <row r="1332" spans="1:9" x14ac:dyDescent="0.3">
      <c r="A1332" s="126"/>
      <c r="B1332" s="126"/>
      <c r="C1332" s="53"/>
      <c r="D1332" s="53"/>
      <c r="E1332" s="131"/>
      <c r="F1332" s="127"/>
      <c r="G1332" s="127"/>
      <c r="H1332" s="54"/>
      <c r="I1332" s="138"/>
    </row>
    <row r="1333" spans="1:9" x14ac:dyDescent="0.3">
      <c r="A1333" s="126"/>
      <c r="B1333" s="126"/>
      <c r="C1333" s="53"/>
      <c r="D1333" s="53"/>
      <c r="E1333" s="131"/>
      <c r="F1333" s="127"/>
      <c r="G1333" s="127"/>
      <c r="H1333" s="54"/>
      <c r="I1333" s="138"/>
    </row>
    <row r="1334" spans="1:9" x14ac:dyDescent="0.3">
      <c r="A1334" s="126"/>
      <c r="B1334" s="126"/>
      <c r="C1334" s="53"/>
      <c r="D1334" s="53"/>
      <c r="E1334" s="131"/>
      <c r="F1334" s="127"/>
      <c r="G1334" s="127"/>
      <c r="H1334" s="54"/>
      <c r="I1334" s="138"/>
    </row>
    <row r="1335" spans="1:9" x14ac:dyDescent="0.3">
      <c r="A1335" s="126"/>
      <c r="B1335" s="126"/>
      <c r="C1335" s="53"/>
      <c r="D1335" s="53"/>
      <c r="E1335" s="131"/>
      <c r="F1335" s="127"/>
      <c r="G1335" s="127"/>
      <c r="H1335" s="54"/>
      <c r="I1335" s="138"/>
    </row>
    <row r="1336" spans="1:9" x14ac:dyDescent="0.3">
      <c r="A1336" s="126"/>
      <c r="B1336" s="126"/>
      <c r="C1336" s="53"/>
      <c r="D1336" s="53"/>
      <c r="E1336" s="131"/>
      <c r="F1336" s="127"/>
      <c r="G1336" s="127"/>
      <c r="H1336" s="54"/>
      <c r="I1336" s="138"/>
    </row>
    <row r="1337" spans="1:9" x14ac:dyDescent="0.3">
      <c r="A1337" s="126"/>
      <c r="B1337" s="126"/>
      <c r="C1337" s="53"/>
      <c r="D1337" s="53"/>
      <c r="E1337" s="131"/>
      <c r="F1337" s="127"/>
      <c r="G1337" s="127"/>
      <c r="H1337" s="54"/>
      <c r="I1337" s="138"/>
    </row>
    <row r="1338" spans="1:9" x14ac:dyDescent="0.3">
      <c r="A1338" s="126"/>
      <c r="B1338" s="126"/>
      <c r="C1338" s="53"/>
      <c r="D1338" s="53"/>
      <c r="E1338" s="131"/>
      <c r="F1338" s="127"/>
      <c r="G1338" s="127"/>
      <c r="H1338" s="54"/>
      <c r="I1338" s="138"/>
    </row>
    <row r="1339" spans="1:9" x14ac:dyDescent="0.3">
      <c r="A1339" s="126"/>
      <c r="B1339" s="126"/>
      <c r="C1339" s="53"/>
      <c r="D1339" s="53"/>
      <c r="E1339" s="131"/>
      <c r="F1339" s="127"/>
      <c r="G1339" s="127"/>
      <c r="H1339" s="54"/>
      <c r="I1339" s="138"/>
    </row>
    <row r="1340" spans="1:9" x14ac:dyDescent="0.3">
      <c r="A1340" s="126"/>
      <c r="B1340" s="126"/>
      <c r="C1340" s="53"/>
      <c r="D1340" s="53"/>
      <c r="E1340" s="131"/>
      <c r="F1340" s="127"/>
      <c r="G1340" s="127"/>
      <c r="H1340" s="54"/>
      <c r="I1340" s="138"/>
    </row>
    <row r="1341" spans="1:9" x14ac:dyDescent="0.3">
      <c r="A1341" s="126"/>
      <c r="B1341" s="126"/>
      <c r="C1341" s="53"/>
      <c r="D1341" s="53"/>
      <c r="E1341" s="131"/>
      <c r="F1341" s="127"/>
      <c r="G1341" s="127"/>
      <c r="H1341" s="54"/>
      <c r="I1341" s="138"/>
    </row>
    <row r="1342" spans="1:9" x14ac:dyDescent="0.3">
      <c r="A1342" s="126"/>
      <c r="B1342" s="126"/>
      <c r="C1342" s="53"/>
      <c r="D1342" s="53"/>
      <c r="E1342" s="131"/>
      <c r="F1342" s="127"/>
      <c r="G1342" s="127"/>
      <c r="H1342" s="54"/>
      <c r="I1342" s="138"/>
    </row>
    <row r="1343" spans="1:9" x14ac:dyDescent="0.3">
      <c r="A1343" s="126"/>
      <c r="B1343" s="126"/>
      <c r="C1343" s="53"/>
      <c r="D1343" s="53"/>
      <c r="E1343" s="131"/>
      <c r="F1343" s="127"/>
      <c r="G1343" s="127"/>
      <c r="H1343" s="54"/>
      <c r="I1343" s="138"/>
    </row>
    <row r="1344" spans="1:9" x14ac:dyDescent="0.3">
      <c r="A1344" s="126"/>
      <c r="B1344" s="126"/>
      <c r="C1344" s="53"/>
      <c r="D1344" s="53"/>
      <c r="E1344" s="131"/>
      <c r="F1344" s="127"/>
      <c r="G1344" s="127"/>
      <c r="H1344" s="54"/>
      <c r="I1344" s="138"/>
    </row>
    <row r="1345" spans="1:9" x14ac:dyDescent="0.3">
      <c r="A1345" s="126"/>
      <c r="B1345" s="126"/>
      <c r="C1345" s="53"/>
      <c r="D1345" s="53"/>
      <c r="E1345" s="131"/>
      <c r="F1345" s="127"/>
      <c r="G1345" s="127"/>
      <c r="H1345" s="54"/>
      <c r="I1345" s="138"/>
    </row>
    <row r="1346" spans="1:9" x14ac:dyDescent="0.3">
      <c r="A1346" s="126"/>
      <c r="B1346" s="126"/>
      <c r="C1346" s="53"/>
      <c r="D1346" s="53"/>
      <c r="E1346" s="131"/>
      <c r="F1346" s="127"/>
      <c r="G1346" s="127"/>
      <c r="H1346" s="54"/>
      <c r="I1346" s="138"/>
    </row>
    <row r="1347" spans="1:9" x14ac:dyDescent="0.3">
      <c r="A1347" s="126"/>
      <c r="B1347" s="126"/>
      <c r="C1347" s="53"/>
      <c r="D1347" s="53"/>
      <c r="E1347" s="131"/>
      <c r="F1347" s="127"/>
      <c r="G1347" s="127"/>
      <c r="H1347" s="54"/>
      <c r="I1347" s="138"/>
    </row>
    <row r="1348" spans="1:9" x14ac:dyDescent="0.3">
      <c r="A1348" s="126"/>
      <c r="B1348" s="126"/>
      <c r="C1348" s="53"/>
      <c r="D1348" s="53"/>
      <c r="E1348" s="131"/>
      <c r="F1348" s="127"/>
      <c r="G1348" s="127"/>
      <c r="H1348" s="54"/>
      <c r="I1348" s="138"/>
    </row>
    <row r="1349" spans="1:9" x14ac:dyDescent="0.3">
      <c r="A1349" s="126"/>
      <c r="B1349" s="126"/>
      <c r="C1349" s="53"/>
      <c r="D1349" s="53"/>
      <c r="E1349" s="131"/>
      <c r="F1349" s="127"/>
      <c r="G1349" s="127"/>
      <c r="H1349" s="54"/>
      <c r="I1349" s="138"/>
    </row>
    <row r="1350" spans="1:9" x14ac:dyDescent="0.3">
      <c r="A1350" s="126"/>
      <c r="B1350" s="126"/>
      <c r="C1350" s="53"/>
      <c r="D1350" s="53"/>
      <c r="E1350" s="131"/>
      <c r="F1350" s="127"/>
      <c r="G1350" s="127"/>
      <c r="H1350" s="54"/>
      <c r="I1350" s="138"/>
    </row>
    <row r="1351" spans="1:9" x14ac:dyDescent="0.3">
      <c r="A1351" s="126"/>
      <c r="B1351" s="126"/>
      <c r="C1351" s="53"/>
      <c r="D1351" s="53"/>
      <c r="E1351" s="131"/>
      <c r="F1351" s="127"/>
      <c r="G1351" s="127"/>
      <c r="H1351" s="54"/>
      <c r="I1351" s="138"/>
    </row>
    <row r="1352" spans="1:9" x14ac:dyDescent="0.3">
      <c r="A1352" s="126"/>
      <c r="B1352" s="126"/>
      <c r="C1352" s="53"/>
      <c r="D1352" s="53"/>
      <c r="E1352" s="131"/>
      <c r="F1352" s="127"/>
      <c r="G1352" s="127"/>
      <c r="H1352" s="54"/>
      <c r="I1352" s="138"/>
    </row>
    <row r="1353" spans="1:9" x14ac:dyDescent="0.3">
      <c r="A1353" s="126"/>
      <c r="B1353" s="126"/>
      <c r="C1353" s="53"/>
      <c r="D1353" s="53"/>
      <c r="E1353" s="131"/>
      <c r="F1353" s="127"/>
      <c r="G1353" s="127"/>
      <c r="H1353" s="54"/>
      <c r="I1353" s="138"/>
    </row>
    <row r="1354" spans="1:9" x14ac:dyDescent="0.3">
      <c r="A1354" s="126"/>
      <c r="B1354" s="126"/>
      <c r="C1354" s="53"/>
      <c r="D1354" s="53"/>
      <c r="E1354" s="131"/>
      <c r="F1354" s="127"/>
      <c r="G1354" s="127"/>
      <c r="H1354" s="54"/>
      <c r="I1354" s="138"/>
    </row>
    <row r="1355" spans="1:9" x14ac:dyDescent="0.3">
      <c r="A1355" s="126"/>
      <c r="B1355" s="126"/>
      <c r="C1355" s="53"/>
      <c r="D1355" s="53"/>
      <c r="E1355" s="131"/>
      <c r="F1355" s="127"/>
      <c r="G1355" s="127"/>
      <c r="H1355" s="54"/>
      <c r="I1355" s="138"/>
    </row>
    <row r="1356" spans="1:9" x14ac:dyDescent="0.3">
      <c r="A1356" s="126"/>
      <c r="B1356" s="126"/>
      <c r="C1356" s="53"/>
      <c r="D1356" s="53"/>
      <c r="E1356" s="131"/>
      <c r="F1356" s="127"/>
      <c r="G1356" s="127"/>
      <c r="H1356" s="54"/>
      <c r="I1356" s="138"/>
    </row>
    <row r="1357" spans="1:9" x14ac:dyDescent="0.3">
      <c r="A1357" s="126"/>
      <c r="B1357" s="126"/>
      <c r="C1357" s="53"/>
      <c r="D1357" s="53"/>
      <c r="E1357" s="131"/>
      <c r="F1357" s="127"/>
      <c r="G1357" s="127"/>
      <c r="H1357" s="54"/>
      <c r="I1357" s="138"/>
    </row>
    <row r="1358" spans="1:9" x14ac:dyDescent="0.3">
      <c r="A1358" s="126"/>
      <c r="B1358" s="126"/>
      <c r="C1358" s="53"/>
      <c r="D1358" s="53"/>
      <c r="E1358" s="131"/>
      <c r="F1358" s="127"/>
      <c r="G1358" s="127"/>
      <c r="H1358" s="54"/>
      <c r="I1358" s="138"/>
    </row>
    <row r="1359" spans="1:9" x14ac:dyDescent="0.3">
      <c r="A1359" s="126"/>
      <c r="B1359" s="126"/>
      <c r="C1359" s="53"/>
      <c r="D1359" s="53"/>
      <c r="E1359" s="131"/>
      <c r="F1359" s="127"/>
      <c r="G1359" s="127"/>
      <c r="H1359" s="54"/>
      <c r="I1359" s="138"/>
    </row>
    <row r="1360" spans="1:9" x14ac:dyDescent="0.3">
      <c r="A1360" s="126"/>
      <c r="B1360" s="126"/>
      <c r="C1360" s="53"/>
      <c r="D1360" s="53"/>
      <c r="E1360" s="131"/>
      <c r="F1360" s="127"/>
      <c r="G1360" s="127"/>
      <c r="H1360" s="54"/>
      <c r="I1360" s="138"/>
    </row>
    <row r="1361" spans="1:9" x14ac:dyDescent="0.3">
      <c r="A1361" s="126"/>
      <c r="B1361" s="126"/>
      <c r="C1361" s="53"/>
      <c r="D1361" s="53"/>
      <c r="E1361" s="131"/>
      <c r="F1361" s="127"/>
      <c r="G1361" s="127"/>
      <c r="H1361" s="54"/>
      <c r="I1361" s="138"/>
    </row>
    <row r="1362" spans="1:9" x14ac:dyDescent="0.3">
      <c r="A1362" s="126"/>
      <c r="B1362" s="126"/>
      <c r="C1362" s="53"/>
      <c r="D1362" s="53"/>
      <c r="E1362" s="131"/>
      <c r="F1362" s="127"/>
      <c r="G1362" s="127"/>
      <c r="H1362" s="54"/>
      <c r="I1362" s="138"/>
    </row>
    <row r="1363" spans="1:9" x14ac:dyDescent="0.3">
      <c r="A1363" s="126"/>
      <c r="B1363" s="126"/>
      <c r="C1363" s="53"/>
      <c r="D1363" s="53"/>
      <c r="E1363" s="131"/>
      <c r="F1363" s="127"/>
      <c r="G1363" s="127"/>
      <c r="H1363" s="54"/>
      <c r="I1363" s="138"/>
    </row>
    <row r="1364" spans="1:9" x14ac:dyDescent="0.3">
      <c r="A1364" s="126"/>
      <c r="B1364" s="126"/>
      <c r="C1364" s="53"/>
      <c r="D1364" s="53"/>
      <c r="E1364" s="131"/>
      <c r="F1364" s="127"/>
      <c r="G1364" s="127"/>
      <c r="H1364" s="54"/>
      <c r="I1364" s="138"/>
    </row>
    <row r="1365" spans="1:9" x14ac:dyDescent="0.3">
      <c r="A1365" s="126"/>
      <c r="B1365" s="126"/>
      <c r="C1365" s="53"/>
      <c r="D1365" s="53"/>
      <c r="E1365" s="131"/>
      <c r="F1365" s="127"/>
      <c r="G1365" s="127"/>
      <c r="H1365" s="54"/>
      <c r="I1365" s="138"/>
    </row>
    <row r="1366" spans="1:9" x14ac:dyDescent="0.3">
      <c r="A1366" s="126"/>
      <c r="B1366" s="126"/>
      <c r="C1366" s="53"/>
      <c r="D1366" s="53"/>
      <c r="E1366" s="131"/>
      <c r="F1366" s="127"/>
      <c r="G1366" s="127"/>
      <c r="H1366" s="54"/>
      <c r="I1366" s="138"/>
    </row>
    <row r="1367" spans="1:9" x14ac:dyDescent="0.3">
      <c r="A1367" s="126"/>
      <c r="B1367" s="126"/>
      <c r="C1367" s="53"/>
      <c r="D1367" s="53"/>
      <c r="E1367" s="131"/>
      <c r="F1367" s="127"/>
      <c r="G1367" s="127"/>
      <c r="H1367" s="54"/>
      <c r="I1367" s="138"/>
    </row>
    <row r="1368" spans="1:9" x14ac:dyDescent="0.3">
      <c r="A1368" s="126"/>
      <c r="B1368" s="126"/>
      <c r="C1368" s="53"/>
      <c r="D1368" s="53"/>
      <c r="E1368" s="131"/>
      <c r="F1368" s="127"/>
      <c r="G1368" s="127"/>
      <c r="H1368" s="54"/>
      <c r="I1368" s="138"/>
    </row>
    <row r="1369" spans="1:9" x14ac:dyDescent="0.3">
      <c r="A1369" s="126"/>
      <c r="B1369" s="126"/>
      <c r="C1369" s="53"/>
      <c r="D1369" s="53"/>
      <c r="E1369" s="131"/>
      <c r="F1369" s="127"/>
      <c r="G1369" s="127"/>
      <c r="H1369" s="54"/>
      <c r="I1369" s="138"/>
    </row>
    <row r="1370" spans="1:9" x14ac:dyDescent="0.3">
      <c r="A1370" s="126"/>
      <c r="B1370" s="126"/>
      <c r="C1370" s="53"/>
      <c r="D1370" s="53"/>
      <c r="E1370" s="131"/>
      <c r="F1370" s="127"/>
      <c r="G1370" s="127"/>
      <c r="H1370" s="54"/>
      <c r="I1370" s="138"/>
    </row>
    <row r="1371" spans="1:9" x14ac:dyDescent="0.3">
      <c r="A1371" s="126"/>
      <c r="B1371" s="126"/>
      <c r="C1371" s="53"/>
      <c r="D1371" s="53"/>
      <c r="E1371" s="131"/>
      <c r="F1371" s="127"/>
      <c r="G1371" s="127"/>
      <c r="H1371" s="54"/>
      <c r="I1371" s="138"/>
    </row>
    <row r="1372" spans="1:9" x14ac:dyDescent="0.3">
      <c r="A1372" s="126"/>
      <c r="B1372" s="126"/>
      <c r="C1372" s="53"/>
      <c r="D1372" s="53"/>
      <c r="E1372" s="131"/>
      <c r="F1372" s="127"/>
      <c r="G1372" s="127"/>
      <c r="H1372" s="54"/>
      <c r="I1372" s="138"/>
    </row>
    <row r="1373" spans="1:9" x14ac:dyDescent="0.3">
      <c r="A1373" s="126"/>
      <c r="B1373" s="126"/>
      <c r="C1373" s="53"/>
      <c r="D1373" s="53"/>
      <c r="E1373" s="131"/>
      <c r="F1373" s="127"/>
      <c r="G1373" s="127"/>
      <c r="H1373" s="54"/>
      <c r="I1373" s="138"/>
    </row>
    <row r="1374" spans="1:9" x14ac:dyDescent="0.3">
      <c r="A1374" s="126"/>
      <c r="B1374" s="126"/>
      <c r="C1374" s="53"/>
      <c r="D1374" s="53"/>
      <c r="E1374" s="131"/>
      <c r="F1374" s="127"/>
      <c r="G1374" s="127"/>
      <c r="H1374" s="54"/>
      <c r="I1374" s="138"/>
    </row>
    <row r="1375" spans="1:9" x14ac:dyDescent="0.3">
      <c r="A1375" s="126"/>
      <c r="B1375" s="126"/>
      <c r="C1375" s="53"/>
      <c r="D1375" s="53"/>
      <c r="E1375" s="131"/>
      <c r="F1375" s="127"/>
      <c r="G1375" s="127"/>
      <c r="H1375" s="54"/>
      <c r="I1375" s="138"/>
    </row>
    <row r="1376" spans="1:9" x14ac:dyDescent="0.3">
      <c r="A1376" s="126"/>
      <c r="B1376" s="126"/>
      <c r="C1376" s="53"/>
      <c r="D1376" s="53"/>
      <c r="E1376" s="131"/>
      <c r="F1376" s="127"/>
      <c r="G1376" s="127"/>
      <c r="H1376" s="54"/>
      <c r="I1376" s="138"/>
    </row>
    <row r="1377" spans="1:9" x14ac:dyDescent="0.3">
      <c r="A1377" s="126"/>
      <c r="B1377" s="126"/>
      <c r="C1377" s="53"/>
      <c r="D1377" s="53"/>
      <c r="E1377" s="131"/>
      <c r="F1377" s="127"/>
      <c r="G1377" s="127"/>
      <c r="H1377" s="54"/>
      <c r="I1377" s="138"/>
    </row>
    <row r="1378" spans="1:9" x14ac:dyDescent="0.3">
      <c r="A1378" s="126"/>
      <c r="B1378" s="126"/>
      <c r="C1378" s="53"/>
      <c r="D1378" s="53"/>
      <c r="E1378" s="131"/>
      <c r="F1378" s="127"/>
      <c r="G1378" s="127"/>
      <c r="H1378" s="54"/>
      <c r="I1378" s="138"/>
    </row>
    <row r="1379" spans="1:9" x14ac:dyDescent="0.3">
      <c r="A1379" s="126"/>
      <c r="B1379" s="126"/>
      <c r="C1379" s="53"/>
      <c r="D1379" s="53"/>
      <c r="E1379" s="131"/>
      <c r="F1379" s="127"/>
      <c r="G1379" s="127"/>
      <c r="H1379" s="54"/>
      <c r="I1379" s="138"/>
    </row>
    <row r="1380" spans="1:9" x14ac:dyDescent="0.3">
      <c r="A1380" s="126"/>
      <c r="B1380" s="126"/>
      <c r="C1380" s="53"/>
      <c r="D1380" s="53"/>
      <c r="E1380" s="131"/>
      <c r="F1380" s="127"/>
      <c r="G1380" s="127"/>
      <c r="H1380" s="54"/>
      <c r="I1380" s="138"/>
    </row>
    <row r="1381" spans="1:9" x14ac:dyDescent="0.3">
      <c r="A1381" s="126"/>
      <c r="B1381" s="126"/>
      <c r="C1381" s="53"/>
      <c r="D1381" s="53"/>
      <c r="E1381" s="131"/>
      <c r="F1381" s="127"/>
      <c r="G1381" s="127"/>
      <c r="H1381" s="54"/>
      <c r="I1381" s="138"/>
    </row>
    <row r="1382" spans="1:9" x14ac:dyDescent="0.3">
      <c r="A1382" s="126"/>
      <c r="B1382" s="126"/>
      <c r="C1382" s="53"/>
      <c r="D1382" s="53"/>
      <c r="E1382" s="131"/>
      <c r="F1382" s="127"/>
      <c r="G1382" s="127"/>
      <c r="H1382" s="54"/>
      <c r="I1382" s="138"/>
    </row>
    <row r="1383" spans="1:9" x14ac:dyDescent="0.3">
      <c r="A1383" s="126"/>
      <c r="B1383" s="126"/>
      <c r="C1383" s="53"/>
      <c r="D1383" s="53"/>
      <c r="E1383" s="131"/>
      <c r="F1383" s="127"/>
      <c r="G1383" s="127"/>
      <c r="H1383" s="54"/>
      <c r="I1383" s="138"/>
    </row>
    <row r="1384" spans="1:9" x14ac:dyDescent="0.3">
      <c r="A1384" s="126"/>
      <c r="B1384" s="126"/>
      <c r="C1384" s="53"/>
      <c r="D1384" s="53"/>
      <c r="E1384" s="131"/>
      <c r="F1384" s="127"/>
      <c r="G1384" s="127"/>
      <c r="H1384" s="54"/>
      <c r="I1384" s="138"/>
    </row>
    <row r="1385" spans="1:9" x14ac:dyDescent="0.3">
      <c r="A1385" s="126"/>
      <c r="B1385" s="126"/>
      <c r="C1385" s="53"/>
      <c r="D1385" s="53"/>
      <c r="E1385" s="131"/>
      <c r="F1385" s="127"/>
      <c r="G1385" s="127"/>
      <c r="H1385" s="54"/>
      <c r="I1385" s="138"/>
    </row>
    <row r="1386" spans="1:9" x14ac:dyDescent="0.3">
      <c r="A1386" s="126"/>
      <c r="B1386" s="126"/>
      <c r="C1386" s="53"/>
      <c r="D1386" s="53"/>
      <c r="E1386" s="131"/>
      <c r="F1386" s="127"/>
      <c r="G1386" s="127"/>
      <c r="H1386" s="54"/>
      <c r="I1386" s="138"/>
    </row>
    <row r="1387" spans="1:9" x14ac:dyDescent="0.3">
      <c r="A1387" s="126"/>
      <c r="B1387" s="126"/>
      <c r="C1387" s="53"/>
      <c r="D1387" s="53"/>
      <c r="E1387" s="131"/>
      <c r="F1387" s="127"/>
      <c r="G1387" s="127"/>
      <c r="H1387" s="54"/>
      <c r="I1387" s="138"/>
    </row>
    <row r="1388" spans="1:9" x14ac:dyDescent="0.3">
      <c r="A1388" s="126"/>
      <c r="B1388" s="126"/>
      <c r="C1388" s="53"/>
      <c r="D1388" s="53"/>
      <c r="E1388" s="131"/>
      <c r="F1388" s="127"/>
      <c r="G1388" s="127"/>
      <c r="H1388" s="54"/>
      <c r="I1388" s="138"/>
    </row>
    <row r="1389" spans="1:9" x14ac:dyDescent="0.3">
      <c r="A1389" s="126"/>
      <c r="B1389" s="126"/>
      <c r="C1389" s="53"/>
      <c r="D1389" s="53"/>
      <c r="E1389" s="131"/>
      <c r="F1389" s="127"/>
      <c r="G1389" s="127"/>
      <c r="H1389" s="54"/>
      <c r="I1389" s="138"/>
    </row>
    <row r="1390" spans="1:9" x14ac:dyDescent="0.3">
      <c r="A1390" s="126"/>
      <c r="B1390" s="126"/>
      <c r="C1390" s="53"/>
      <c r="D1390" s="53"/>
      <c r="E1390" s="131"/>
      <c r="F1390" s="127"/>
      <c r="G1390" s="127"/>
      <c r="H1390" s="54"/>
      <c r="I1390" s="138"/>
    </row>
    <row r="1391" spans="1:9" x14ac:dyDescent="0.3">
      <c r="A1391" s="126"/>
      <c r="B1391" s="126"/>
      <c r="C1391" s="53"/>
      <c r="D1391" s="53"/>
      <c r="E1391" s="131"/>
      <c r="F1391" s="127"/>
      <c r="G1391" s="127"/>
      <c r="H1391" s="54"/>
      <c r="I1391" s="138"/>
    </row>
    <row r="1392" spans="1:9" x14ac:dyDescent="0.3">
      <c r="A1392" s="126"/>
      <c r="B1392" s="126"/>
      <c r="C1392" s="53"/>
      <c r="D1392" s="53"/>
      <c r="E1392" s="131"/>
      <c r="F1392" s="127"/>
      <c r="G1392" s="127"/>
      <c r="H1392" s="54"/>
      <c r="I1392" s="138"/>
    </row>
    <row r="1393" spans="1:9" x14ac:dyDescent="0.3">
      <c r="A1393" s="126"/>
      <c r="B1393" s="126"/>
      <c r="C1393" s="53"/>
      <c r="D1393" s="53"/>
      <c r="E1393" s="131"/>
      <c r="F1393" s="127"/>
      <c r="G1393" s="127"/>
      <c r="H1393" s="54"/>
      <c r="I1393" s="138"/>
    </row>
    <row r="1394" spans="1:9" x14ac:dyDescent="0.3">
      <c r="A1394" s="126"/>
      <c r="B1394" s="126"/>
      <c r="C1394" s="53"/>
      <c r="D1394" s="53"/>
      <c r="E1394" s="131"/>
      <c r="F1394" s="127"/>
      <c r="G1394" s="127"/>
      <c r="H1394" s="54"/>
      <c r="I1394" s="138"/>
    </row>
    <row r="1395" spans="1:9" x14ac:dyDescent="0.3">
      <c r="A1395" s="126"/>
      <c r="B1395" s="126"/>
      <c r="C1395" s="53"/>
      <c r="D1395" s="53"/>
      <c r="E1395" s="131"/>
      <c r="F1395" s="127"/>
      <c r="G1395" s="127"/>
      <c r="H1395" s="54"/>
      <c r="I1395" s="138"/>
    </row>
    <row r="1396" spans="1:9" x14ac:dyDescent="0.3">
      <c r="A1396" s="126"/>
      <c r="B1396" s="126"/>
      <c r="C1396" s="53"/>
      <c r="D1396" s="53"/>
      <c r="E1396" s="131"/>
      <c r="F1396" s="127"/>
      <c r="G1396" s="127"/>
      <c r="H1396" s="54"/>
      <c r="I1396" s="138"/>
    </row>
    <row r="1397" spans="1:9" x14ac:dyDescent="0.3">
      <c r="A1397" s="126"/>
      <c r="B1397" s="126"/>
      <c r="C1397" s="53"/>
      <c r="D1397" s="53"/>
      <c r="E1397" s="131"/>
      <c r="F1397" s="127"/>
      <c r="G1397" s="127"/>
      <c r="H1397" s="54"/>
      <c r="I1397" s="138"/>
    </row>
    <row r="1398" spans="1:9" x14ac:dyDescent="0.3">
      <c r="A1398" s="126"/>
      <c r="B1398" s="126"/>
      <c r="C1398" s="53"/>
      <c r="D1398" s="53"/>
      <c r="E1398" s="131"/>
      <c r="F1398" s="127"/>
      <c r="G1398" s="127"/>
      <c r="H1398" s="54"/>
      <c r="I1398" s="138"/>
    </row>
    <row r="1399" spans="1:9" x14ac:dyDescent="0.3">
      <c r="A1399" s="126"/>
      <c r="B1399" s="126"/>
      <c r="C1399" s="53"/>
      <c r="D1399" s="53"/>
      <c r="E1399" s="131"/>
      <c r="F1399" s="127"/>
      <c r="G1399" s="127"/>
      <c r="H1399" s="54"/>
      <c r="I1399" s="138"/>
    </row>
    <row r="1400" spans="1:9" x14ac:dyDescent="0.3">
      <c r="A1400" s="126"/>
      <c r="B1400" s="126"/>
      <c r="C1400" s="53"/>
      <c r="D1400" s="53"/>
      <c r="E1400" s="131"/>
      <c r="F1400" s="127"/>
      <c r="G1400" s="127"/>
      <c r="H1400" s="54"/>
      <c r="I1400" s="138"/>
    </row>
    <row r="1401" spans="1:9" x14ac:dyDescent="0.3">
      <c r="A1401" s="126"/>
      <c r="B1401" s="126"/>
      <c r="C1401" s="53"/>
      <c r="D1401" s="53"/>
      <c r="E1401" s="131"/>
      <c r="F1401" s="127"/>
      <c r="G1401" s="127"/>
      <c r="H1401" s="54"/>
      <c r="I1401" s="138"/>
    </row>
    <row r="1402" spans="1:9" x14ac:dyDescent="0.3">
      <c r="A1402" s="126"/>
      <c r="B1402" s="126"/>
      <c r="C1402" s="53"/>
      <c r="D1402" s="53"/>
      <c r="E1402" s="131"/>
      <c r="F1402" s="127"/>
      <c r="G1402" s="127"/>
      <c r="H1402" s="54"/>
      <c r="I1402" s="138"/>
    </row>
    <row r="1403" spans="1:9" x14ac:dyDescent="0.3">
      <c r="A1403" s="126"/>
      <c r="B1403" s="126"/>
      <c r="C1403" s="53"/>
      <c r="D1403" s="53"/>
      <c r="E1403" s="131"/>
      <c r="F1403" s="127"/>
      <c r="G1403" s="127"/>
      <c r="H1403" s="54"/>
      <c r="I1403" s="138"/>
    </row>
    <row r="1404" spans="1:9" x14ac:dyDescent="0.3">
      <c r="A1404" s="126"/>
      <c r="B1404" s="126"/>
      <c r="C1404" s="53"/>
      <c r="D1404" s="53"/>
      <c r="E1404" s="131"/>
      <c r="F1404" s="127"/>
      <c r="G1404" s="127"/>
      <c r="H1404" s="54"/>
      <c r="I1404" s="138"/>
    </row>
    <row r="1405" spans="1:9" x14ac:dyDescent="0.3">
      <c r="A1405" s="126"/>
      <c r="B1405" s="126"/>
      <c r="C1405" s="53"/>
      <c r="D1405" s="53"/>
      <c r="E1405" s="131"/>
      <c r="F1405" s="127"/>
      <c r="G1405" s="127"/>
      <c r="H1405" s="54"/>
      <c r="I1405" s="138"/>
    </row>
    <row r="1406" spans="1:9" x14ac:dyDescent="0.3">
      <c r="A1406" s="126"/>
      <c r="B1406" s="126"/>
      <c r="C1406" s="53"/>
      <c r="D1406" s="53"/>
      <c r="E1406" s="131"/>
      <c r="F1406" s="127"/>
      <c r="G1406" s="127"/>
      <c r="H1406" s="54"/>
      <c r="I1406" s="138"/>
    </row>
    <row r="1407" spans="1:9" x14ac:dyDescent="0.3">
      <c r="A1407" s="126"/>
      <c r="B1407" s="126"/>
      <c r="C1407" s="53"/>
      <c r="D1407" s="53"/>
      <c r="E1407" s="131"/>
      <c r="F1407" s="127"/>
      <c r="G1407" s="127"/>
      <c r="H1407" s="54"/>
      <c r="I1407" s="138"/>
    </row>
    <row r="1408" spans="1:9" x14ac:dyDescent="0.3">
      <c r="A1408" s="126"/>
      <c r="B1408" s="126"/>
      <c r="C1408" s="53"/>
      <c r="D1408" s="53"/>
      <c r="E1408" s="131"/>
      <c r="F1408" s="127"/>
      <c r="G1408" s="127"/>
      <c r="H1408" s="54"/>
      <c r="I1408" s="138"/>
    </row>
    <row r="1409" spans="1:9" x14ac:dyDescent="0.3">
      <c r="A1409" s="126"/>
      <c r="B1409" s="126"/>
      <c r="C1409" s="53"/>
      <c r="D1409" s="53"/>
      <c r="E1409" s="131"/>
      <c r="F1409" s="127"/>
      <c r="G1409" s="127"/>
      <c r="H1409" s="54"/>
      <c r="I1409" s="138"/>
    </row>
    <row r="1410" spans="1:9" x14ac:dyDescent="0.3">
      <c r="A1410" s="126"/>
      <c r="B1410" s="126"/>
      <c r="C1410" s="53"/>
      <c r="D1410" s="53"/>
      <c r="E1410" s="131"/>
      <c r="F1410" s="127"/>
      <c r="G1410" s="127"/>
      <c r="H1410" s="54"/>
      <c r="I1410" s="138"/>
    </row>
    <row r="1411" spans="1:9" x14ac:dyDescent="0.3">
      <c r="A1411" s="126"/>
      <c r="B1411" s="126"/>
      <c r="C1411" s="53"/>
      <c r="D1411" s="53"/>
      <c r="E1411" s="131"/>
      <c r="F1411" s="127"/>
      <c r="G1411" s="127"/>
      <c r="H1411" s="54"/>
      <c r="I1411" s="138"/>
    </row>
    <row r="1412" spans="1:9" x14ac:dyDescent="0.3">
      <c r="A1412" s="126"/>
      <c r="B1412" s="126"/>
      <c r="C1412" s="53"/>
      <c r="D1412" s="53"/>
      <c r="E1412" s="131"/>
      <c r="F1412" s="127"/>
      <c r="G1412" s="127"/>
      <c r="H1412" s="54"/>
      <c r="I1412" s="138"/>
    </row>
    <row r="1413" spans="1:9" x14ac:dyDescent="0.3">
      <c r="A1413" s="126"/>
      <c r="B1413" s="126"/>
      <c r="C1413" s="53"/>
      <c r="D1413" s="53"/>
      <c r="E1413" s="131"/>
      <c r="F1413" s="127"/>
      <c r="G1413" s="127"/>
      <c r="H1413" s="54"/>
      <c r="I1413" s="138"/>
    </row>
    <row r="1414" spans="1:9" x14ac:dyDescent="0.3">
      <c r="A1414" s="126"/>
      <c r="B1414" s="126"/>
      <c r="C1414" s="53"/>
      <c r="D1414" s="53"/>
      <c r="E1414" s="131"/>
      <c r="F1414" s="127"/>
      <c r="G1414" s="127"/>
      <c r="H1414" s="54"/>
      <c r="I1414" s="138"/>
    </row>
    <row r="1415" spans="1:9" x14ac:dyDescent="0.3">
      <c r="A1415" s="126"/>
      <c r="B1415" s="126"/>
      <c r="C1415" s="53"/>
      <c r="D1415" s="53"/>
      <c r="E1415" s="131"/>
      <c r="F1415" s="127"/>
      <c r="G1415" s="127"/>
      <c r="H1415" s="54"/>
      <c r="I1415" s="138"/>
    </row>
    <row r="1416" spans="1:9" x14ac:dyDescent="0.3">
      <c r="A1416" s="126"/>
      <c r="B1416" s="126"/>
      <c r="C1416" s="53"/>
      <c r="D1416" s="53"/>
      <c r="E1416" s="131"/>
      <c r="F1416" s="127"/>
      <c r="G1416" s="127"/>
      <c r="H1416" s="54"/>
      <c r="I1416" s="138"/>
    </row>
    <row r="1417" spans="1:9" x14ac:dyDescent="0.3">
      <c r="A1417" s="126"/>
      <c r="B1417" s="126"/>
      <c r="C1417" s="53"/>
      <c r="D1417" s="53"/>
      <c r="E1417" s="131"/>
      <c r="F1417" s="127"/>
      <c r="G1417" s="127"/>
      <c r="H1417" s="54"/>
      <c r="I1417" s="138"/>
    </row>
    <row r="1418" spans="1:9" x14ac:dyDescent="0.3">
      <c r="A1418" s="126"/>
      <c r="B1418" s="126"/>
      <c r="C1418" s="53"/>
      <c r="D1418" s="53"/>
      <c r="E1418" s="131"/>
      <c r="F1418" s="127"/>
      <c r="G1418" s="127"/>
      <c r="H1418" s="54"/>
      <c r="I1418" s="138"/>
    </row>
    <row r="1419" spans="1:9" x14ac:dyDescent="0.3">
      <c r="A1419" s="126"/>
      <c r="B1419" s="126"/>
      <c r="C1419" s="53"/>
      <c r="D1419" s="53"/>
      <c r="E1419" s="131"/>
      <c r="F1419" s="127"/>
      <c r="G1419" s="127"/>
      <c r="H1419" s="54"/>
      <c r="I1419" s="138"/>
    </row>
    <row r="1420" spans="1:9" x14ac:dyDescent="0.3">
      <c r="A1420" s="126"/>
      <c r="B1420" s="126"/>
      <c r="C1420" s="53"/>
      <c r="D1420" s="53"/>
      <c r="E1420" s="131"/>
      <c r="F1420" s="127"/>
      <c r="G1420" s="127"/>
      <c r="H1420" s="54"/>
      <c r="I1420" s="138"/>
    </row>
    <row r="1421" spans="1:9" x14ac:dyDescent="0.3">
      <c r="A1421" s="126"/>
      <c r="B1421" s="126"/>
      <c r="C1421" s="53"/>
      <c r="D1421" s="53"/>
      <c r="E1421" s="131"/>
      <c r="F1421" s="127"/>
      <c r="G1421" s="127"/>
      <c r="H1421" s="54"/>
      <c r="I1421" s="138"/>
    </row>
    <row r="1422" spans="1:9" x14ac:dyDescent="0.3">
      <c r="A1422" s="126"/>
      <c r="B1422" s="126"/>
      <c r="C1422" s="53"/>
      <c r="D1422" s="53"/>
      <c r="E1422" s="131"/>
      <c r="F1422" s="127"/>
      <c r="G1422" s="127"/>
      <c r="H1422" s="54"/>
      <c r="I1422" s="138"/>
    </row>
    <row r="1423" spans="1:9" x14ac:dyDescent="0.3">
      <c r="A1423" s="126"/>
      <c r="B1423" s="126"/>
      <c r="C1423" s="53"/>
      <c r="D1423" s="53"/>
      <c r="E1423" s="131"/>
      <c r="F1423" s="127"/>
      <c r="G1423" s="127"/>
      <c r="H1423" s="54"/>
      <c r="I1423" s="138"/>
    </row>
    <row r="1424" spans="1:9" x14ac:dyDescent="0.3">
      <c r="A1424" s="126"/>
      <c r="B1424" s="126"/>
      <c r="C1424" s="53"/>
      <c r="D1424" s="53"/>
      <c r="E1424" s="131"/>
      <c r="F1424" s="127"/>
      <c r="G1424" s="127"/>
      <c r="H1424" s="54"/>
      <c r="I1424" s="138"/>
    </row>
    <row r="1425" spans="1:9" x14ac:dyDescent="0.3">
      <c r="A1425" s="126"/>
      <c r="B1425" s="126"/>
      <c r="C1425" s="53"/>
      <c r="D1425" s="53"/>
      <c r="E1425" s="131"/>
      <c r="F1425" s="127"/>
      <c r="G1425" s="127"/>
      <c r="H1425" s="54"/>
      <c r="I1425" s="138"/>
    </row>
    <row r="1426" spans="1:9" x14ac:dyDescent="0.3">
      <c r="A1426" s="126"/>
      <c r="B1426" s="126"/>
      <c r="C1426" s="53"/>
      <c r="D1426" s="53"/>
      <c r="E1426" s="131"/>
      <c r="F1426" s="127"/>
      <c r="G1426" s="127"/>
      <c r="H1426" s="54"/>
      <c r="I1426" s="138"/>
    </row>
    <row r="1427" spans="1:9" x14ac:dyDescent="0.3">
      <c r="A1427" s="126"/>
      <c r="B1427" s="126"/>
      <c r="C1427" s="53"/>
      <c r="D1427" s="53"/>
      <c r="E1427" s="131"/>
      <c r="F1427" s="127"/>
      <c r="G1427" s="127"/>
      <c r="H1427" s="54"/>
      <c r="I1427" s="138"/>
    </row>
    <row r="1428" spans="1:9" x14ac:dyDescent="0.3">
      <c r="A1428" s="126"/>
      <c r="B1428" s="126"/>
      <c r="C1428" s="53"/>
      <c r="D1428" s="53"/>
      <c r="E1428" s="131"/>
      <c r="F1428" s="127"/>
      <c r="G1428" s="127"/>
      <c r="H1428" s="54"/>
      <c r="I1428" s="138"/>
    </row>
    <row r="1429" spans="1:9" x14ac:dyDescent="0.3">
      <c r="A1429" s="126"/>
      <c r="B1429" s="126"/>
      <c r="C1429" s="53"/>
      <c r="D1429" s="53"/>
      <c r="E1429" s="131"/>
      <c r="F1429" s="127"/>
      <c r="G1429" s="127"/>
      <c r="H1429" s="54"/>
      <c r="I1429" s="138"/>
    </row>
    <row r="1430" spans="1:9" x14ac:dyDescent="0.3">
      <c r="A1430" s="126"/>
      <c r="B1430" s="126"/>
      <c r="C1430" s="53"/>
      <c r="D1430" s="53"/>
      <c r="E1430" s="131"/>
      <c r="F1430" s="127"/>
      <c r="G1430" s="127"/>
      <c r="H1430" s="54"/>
      <c r="I1430" s="138"/>
    </row>
    <row r="1431" spans="1:9" x14ac:dyDescent="0.3">
      <c r="A1431" s="126"/>
      <c r="B1431" s="126"/>
      <c r="C1431" s="53"/>
      <c r="D1431" s="53"/>
      <c r="E1431" s="131"/>
      <c r="F1431" s="127"/>
      <c r="G1431" s="127"/>
      <c r="H1431" s="54"/>
      <c r="I1431" s="138"/>
    </row>
    <row r="1432" spans="1:9" x14ac:dyDescent="0.3">
      <c r="A1432" s="126"/>
      <c r="B1432" s="126"/>
      <c r="C1432" s="53"/>
      <c r="D1432" s="53"/>
      <c r="E1432" s="131"/>
      <c r="F1432" s="127"/>
      <c r="G1432" s="127"/>
      <c r="H1432" s="54"/>
      <c r="I1432" s="138"/>
    </row>
    <row r="1433" spans="1:9" x14ac:dyDescent="0.3">
      <c r="A1433" s="126"/>
      <c r="B1433" s="126"/>
      <c r="C1433" s="53"/>
      <c r="D1433" s="53"/>
      <c r="E1433" s="131"/>
      <c r="F1433" s="127"/>
      <c r="G1433" s="127"/>
      <c r="H1433" s="54"/>
      <c r="I1433" s="138"/>
    </row>
    <row r="1434" spans="1:9" x14ac:dyDescent="0.3">
      <c r="A1434" s="126"/>
      <c r="B1434" s="126"/>
      <c r="C1434" s="53"/>
      <c r="D1434" s="53"/>
      <c r="E1434" s="131"/>
      <c r="F1434" s="127"/>
      <c r="G1434" s="127"/>
      <c r="H1434" s="54"/>
      <c r="I1434" s="138"/>
    </row>
    <row r="1435" spans="1:9" x14ac:dyDescent="0.3">
      <c r="A1435" s="126"/>
      <c r="B1435" s="126"/>
      <c r="C1435" s="53"/>
      <c r="D1435" s="53"/>
      <c r="E1435" s="131"/>
      <c r="F1435" s="127"/>
      <c r="G1435" s="127"/>
      <c r="H1435" s="54"/>
      <c r="I1435" s="138"/>
    </row>
    <row r="1436" spans="1:9" x14ac:dyDescent="0.3">
      <c r="A1436" s="126"/>
      <c r="B1436" s="126"/>
      <c r="C1436" s="53"/>
      <c r="D1436" s="53"/>
      <c r="E1436" s="131"/>
      <c r="F1436" s="127"/>
      <c r="G1436" s="127"/>
      <c r="H1436" s="54"/>
      <c r="I1436" s="138"/>
    </row>
    <row r="1437" spans="1:9" x14ac:dyDescent="0.3">
      <c r="A1437" s="126"/>
      <c r="B1437" s="126"/>
      <c r="C1437" s="53"/>
      <c r="D1437" s="53"/>
      <c r="E1437" s="131"/>
      <c r="F1437" s="127"/>
      <c r="G1437" s="127"/>
      <c r="H1437" s="54"/>
      <c r="I1437" s="138"/>
    </row>
    <row r="1438" spans="1:9" x14ac:dyDescent="0.3">
      <c r="A1438" s="126"/>
      <c r="B1438" s="126"/>
      <c r="C1438" s="53"/>
      <c r="D1438" s="53"/>
      <c r="E1438" s="131"/>
      <c r="F1438" s="127"/>
      <c r="G1438" s="127"/>
      <c r="H1438" s="54"/>
      <c r="I1438" s="138"/>
    </row>
    <row r="1439" spans="1:9" x14ac:dyDescent="0.3">
      <c r="A1439" s="126"/>
      <c r="B1439" s="126"/>
      <c r="C1439" s="53"/>
      <c r="D1439" s="53"/>
      <c r="E1439" s="131"/>
      <c r="F1439" s="127"/>
      <c r="G1439" s="127"/>
      <c r="H1439" s="54"/>
      <c r="I1439" s="138"/>
    </row>
    <row r="1440" spans="1:9" x14ac:dyDescent="0.3">
      <c r="A1440" s="126"/>
      <c r="B1440" s="126"/>
      <c r="C1440" s="53"/>
      <c r="D1440" s="53"/>
      <c r="E1440" s="131"/>
      <c r="F1440" s="127"/>
      <c r="G1440" s="127"/>
      <c r="H1440" s="54"/>
      <c r="I1440" s="138"/>
    </row>
    <row r="1441" spans="1:9" x14ac:dyDescent="0.3">
      <c r="A1441" s="126"/>
      <c r="B1441" s="126"/>
      <c r="C1441" s="53"/>
      <c r="D1441" s="53"/>
      <c r="E1441" s="131"/>
      <c r="F1441" s="127"/>
      <c r="G1441" s="127"/>
      <c r="H1441" s="54"/>
      <c r="I1441" s="138"/>
    </row>
    <row r="1442" spans="1:9" x14ac:dyDescent="0.3">
      <c r="A1442" s="126"/>
      <c r="B1442" s="126"/>
      <c r="C1442" s="53"/>
      <c r="D1442" s="53"/>
      <c r="E1442" s="131"/>
      <c r="F1442" s="127"/>
      <c r="G1442" s="127"/>
      <c r="H1442" s="54"/>
      <c r="I1442" s="138"/>
    </row>
    <row r="1443" spans="1:9" x14ac:dyDescent="0.3">
      <c r="A1443" s="126"/>
      <c r="B1443" s="126"/>
      <c r="C1443" s="53"/>
      <c r="D1443" s="53"/>
      <c r="E1443" s="131"/>
      <c r="F1443" s="127"/>
      <c r="G1443" s="127"/>
      <c r="H1443" s="54"/>
      <c r="I1443" s="138"/>
    </row>
    <row r="1444" spans="1:9" x14ac:dyDescent="0.3">
      <c r="A1444" s="126"/>
      <c r="B1444" s="126"/>
      <c r="C1444" s="53"/>
      <c r="D1444" s="53"/>
      <c r="E1444" s="131"/>
      <c r="F1444" s="127"/>
      <c r="G1444" s="127"/>
      <c r="H1444" s="54"/>
      <c r="I1444" s="138"/>
    </row>
    <row r="1445" spans="1:9" x14ac:dyDescent="0.3">
      <c r="A1445" s="126"/>
      <c r="B1445" s="126"/>
      <c r="C1445" s="53"/>
      <c r="D1445" s="53"/>
      <c r="E1445" s="131"/>
      <c r="F1445" s="127"/>
      <c r="G1445" s="127"/>
      <c r="H1445" s="54"/>
      <c r="I1445" s="138"/>
    </row>
    <row r="1446" spans="1:9" x14ac:dyDescent="0.3">
      <c r="A1446" s="126"/>
      <c r="B1446" s="126"/>
      <c r="C1446" s="53"/>
      <c r="D1446" s="53"/>
      <c r="E1446" s="131"/>
      <c r="F1446" s="127"/>
      <c r="G1446" s="127"/>
      <c r="H1446" s="54"/>
      <c r="I1446" s="138"/>
    </row>
    <row r="1447" spans="1:9" x14ac:dyDescent="0.3">
      <c r="A1447" s="126"/>
      <c r="B1447" s="126"/>
      <c r="C1447" s="53"/>
      <c r="D1447" s="53"/>
      <c r="E1447" s="131"/>
      <c r="F1447" s="127"/>
      <c r="G1447" s="127"/>
      <c r="H1447" s="54"/>
      <c r="I1447" s="138"/>
    </row>
    <row r="1448" spans="1:9" x14ac:dyDescent="0.3">
      <c r="A1448" s="126"/>
      <c r="B1448" s="126"/>
      <c r="C1448" s="53"/>
      <c r="D1448" s="53"/>
      <c r="E1448" s="131"/>
      <c r="F1448" s="127"/>
      <c r="G1448" s="127"/>
      <c r="H1448" s="54"/>
      <c r="I1448" s="138"/>
    </row>
    <row r="1449" spans="1:9" x14ac:dyDescent="0.3">
      <c r="A1449" s="126"/>
      <c r="B1449" s="126"/>
      <c r="C1449" s="53"/>
      <c r="D1449" s="53"/>
      <c r="E1449" s="131"/>
      <c r="F1449" s="127"/>
      <c r="G1449" s="127"/>
      <c r="H1449" s="54"/>
      <c r="I1449" s="138"/>
    </row>
    <row r="1450" spans="1:9" x14ac:dyDescent="0.3">
      <c r="A1450" s="126"/>
      <c r="B1450" s="126"/>
      <c r="C1450" s="53"/>
      <c r="D1450" s="53"/>
      <c r="E1450" s="131"/>
      <c r="F1450" s="127"/>
      <c r="G1450" s="127"/>
      <c r="H1450" s="54"/>
      <c r="I1450" s="138"/>
    </row>
    <row r="1451" spans="1:9" x14ac:dyDescent="0.3">
      <c r="A1451" s="126"/>
      <c r="B1451" s="126"/>
      <c r="C1451" s="53"/>
      <c r="D1451" s="53"/>
      <c r="E1451" s="131"/>
      <c r="F1451" s="127"/>
      <c r="G1451" s="127"/>
      <c r="H1451" s="54"/>
      <c r="I1451" s="138"/>
    </row>
    <row r="1452" spans="1:9" x14ac:dyDescent="0.3">
      <c r="A1452" s="126"/>
      <c r="B1452" s="126"/>
      <c r="C1452" s="53"/>
      <c r="D1452" s="53"/>
      <c r="E1452" s="131"/>
      <c r="F1452" s="127"/>
      <c r="G1452" s="127"/>
      <c r="H1452" s="54"/>
      <c r="I1452" s="138"/>
    </row>
    <row r="1453" spans="1:9" x14ac:dyDescent="0.3">
      <c r="A1453" s="126"/>
      <c r="B1453" s="126"/>
      <c r="C1453" s="53"/>
      <c r="D1453" s="53"/>
      <c r="E1453" s="131"/>
      <c r="F1453" s="127"/>
      <c r="G1453" s="127"/>
      <c r="H1453" s="54"/>
      <c r="I1453" s="138"/>
    </row>
    <row r="1454" spans="1:9" x14ac:dyDescent="0.3">
      <c r="A1454" s="126"/>
      <c r="B1454" s="126"/>
      <c r="C1454" s="53"/>
      <c r="D1454" s="53"/>
      <c r="E1454" s="131"/>
      <c r="F1454" s="127"/>
      <c r="G1454" s="127"/>
      <c r="H1454" s="54"/>
      <c r="I1454" s="138"/>
    </row>
    <row r="1455" spans="1:9" x14ac:dyDescent="0.3">
      <c r="A1455" s="126"/>
      <c r="B1455" s="126"/>
      <c r="C1455" s="53"/>
      <c r="D1455" s="53"/>
      <c r="E1455" s="131"/>
      <c r="F1455" s="127"/>
      <c r="G1455" s="127"/>
      <c r="H1455" s="54"/>
      <c r="I1455" s="138"/>
    </row>
    <row r="1456" spans="1:9" x14ac:dyDescent="0.3">
      <c r="A1456" s="126"/>
      <c r="B1456" s="126"/>
      <c r="C1456" s="53"/>
      <c r="D1456" s="53"/>
      <c r="E1456" s="131"/>
      <c r="F1456" s="127"/>
      <c r="G1456" s="127"/>
      <c r="H1456" s="54"/>
      <c r="I1456" s="138"/>
    </row>
    <row r="1457" spans="1:9" x14ac:dyDescent="0.3">
      <c r="A1457" s="126"/>
      <c r="B1457" s="126"/>
      <c r="C1457" s="53"/>
      <c r="D1457" s="53"/>
      <c r="E1457" s="131"/>
      <c r="F1457" s="127"/>
      <c r="G1457" s="127"/>
      <c r="H1457" s="54"/>
      <c r="I1457" s="138"/>
    </row>
    <row r="1458" spans="1:9" x14ac:dyDescent="0.3">
      <c r="A1458" s="126"/>
      <c r="B1458" s="126"/>
      <c r="C1458" s="53"/>
      <c r="D1458" s="53"/>
      <c r="E1458" s="131"/>
      <c r="F1458" s="127"/>
      <c r="G1458" s="127"/>
      <c r="H1458" s="54"/>
      <c r="I1458" s="138"/>
    </row>
    <row r="1459" spans="1:9" x14ac:dyDescent="0.3">
      <c r="A1459" s="126"/>
      <c r="B1459" s="126"/>
      <c r="C1459" s="53"/>
      <c r="D1459" s="53"/>
      <c r="E1459" s="131"/>
      <c r="F1459" s="127"/>
      <c r="G1459" s="127"/>
      <c r="H1459" s="54"/>
      <c r="I1459" s="138"/>
    </row>
    <row r="1460" spans="1:9" x14ac:dyDescent="0.3">
      <c r="A1460" s="126"/>
      <c r="B1460" s="126"/>
      <c r="C1460" s="53"/>
      <c r="D1460" s="53"/>
      <c r="E1460" s="131"/>
      <c r="F1460" s="127"/>
      <c r="G1460" s="127"/>
      <c r="H1460" s="54"/>
      <c r="I1460" s="138"/>
    </row>
    <row r="1461" spans="1:9" x14ac:dyDescent="0.3">
      <c r="A1461" s="126"/>
      <c r="B1461" s="126"/>
      <c r="C1461" s="53"/>
      <c r="D1461" s="53"/>
      <c r="E1461" s="131"/>
      <c r="F1461" s="127"/>
      <c r="G1461" s="127"/>
      <c r="H1461" s="54"/>
      <c r="I1461" s="138"/>
    </row>
    <row r="1462" spans="1:9" x14ac:dyDescent="0.3">
      <c r="A1462" s="126"/>
      <c r="B1462" s="126"/>
      <c r="C1462" s="53"/>
      <c r="D1462" s="53"/>
      <c r="E1462" s="131"/>
      <c r="F1462" s="127"/>
      <c r="G1462" s="127"/>
      <c r="H1462" s="54"/>
      <c r="I1462" s="138"/>
    </row>
    <row r="1463" spans="1:9" x14ac:dyDescent="0.3">
      <c r="A1463" s="126"/>
      <c r="B1463" s="126"/>
      <c r="C1463" s="53"/>
      <c r="D1463" s="53"/>
      <c r="E1463" s="131"/>
      <c r="F1463" s="127"/>
      <c r="G1463" s="127"/>
      <c r="H1463" s="54"/>
      <c r="I1463" s="138"/>
    </row>
    <row r="1464" spans="1:9" x14ac:dyDescent="0.3">
      <c r="A1464" s="126"/>
      <c r="B1464" s="126"/>
      <c r="C1464" s="53"/>
      <c r="D1464" s="53"/>
      <c r="E1464" s="131"/>
      <c r="F1464" s="127"/>
      <c r="G1464" s="127"/>
      <c r="H1464" s="54"/>
      <c r="I1464" s="138"/>
    </row>
    <row r="1465" spans="1:9" x14ac:dyDescent="0.3">
      <c r="A1465" s="126"/>
      <c r="B1465" s="126"/>
      <c r="C1465" s="53"/>
      <c r="D1465" s="53"/>
      <c r="E1465" s="131"/>
      <c r="F1465" s="127"/>
      <c r="G1465" s="127"/>
      <c r="H1465" s="54"/>
      <c r="I1465" s="138"/>
    </row>
    <row r="1466" spans="1:9" x14ac:dyDescent="0.3">
      <c r="A1466" s="126"/>
      <c r="B1466" s="126"/>
      <c r="C1466" s="53"/>
      <c r="D1466" s="53"/>
      <c r="E1466" s="131"/>
      <c r="F1466" s="127"/>
      <c r="G1466" s="127"/>
      <c r="H1466" s="54"/>
      <c r="I1466" s="138"/>
    </row>
    <row r="1467" spans="1:9" x14ac:dyDescent="0.3">
      <c r="A1467" s="126"/>
      <c r="B1467" s="126"/>
      <c r="C1467" s="53"/>
      <c r="D1467" s="53"/>
      <c r="E1467" s="131"/>
      <c r="F1467" s="127"/>
      <c r="G1467" s="127"/>
      <c r="H1467" s="54"/>
      <c r="I1467" s="138"/>
    </row>
    <row r="1468" spans="1:9" x14ac:dyDescent="0.3">
      <c r="A1468" s="126"/>
      <c r="B1468" s="126"/>
      <c r="C1468" s="53"/>
      <c r="D1468" s="53"/>
      <c r="E1468" s="131"/>
      <c r="F1468" s="127"/>
      <c r="G1468" s="127"/>
      <c r="H1468" s="54"/>
      <c r="I1468" s="138"/>
    </row>
    <row r="1469" spans="1:9" x14ac:dyDescent="0.3">
      <c r="A1469" s="126"/>
      <c r="B1469" s="126"/>
      <c r="C1469" s="53"/>
      <c r="D1469" s="53"/>
      <c r="E1469" s="131"/>
      <c r="F1469" s="127"/>
      <c r="G1469" s="127"/>
      <c r="H1469" s="54"/>
      <c r="I1469" s="138"/>
    </row>
    <row r="1470" spans="1:9" x14ac:dyDescent="0.3">
      <c r="A1470" s="126"/>
      <c r="B1470" s="126"/>
      <c r="C1470" s="53"/>
      <c r="D1470" s="53"/>
      <c r="E1470" s="131"/>
      <c r="F1470" s="127"/>
      <c r="G1470" s="127"/>
      <c r="H1470" s="54"/>
      <c r="I1470" s="138"/>
    </row>
    <row r="1471" spans="1:9" x14ac:dyDescent="0.3">
      <c r="A1471" s="126"/>
      <c r="B1471" s="126"/>
      <c r="C1471" s="53"/>
      <c r="D1471" s="53"/>
      <c r="E1471" s="131"/>
      <c r="F1471" s="127"/>
      <c r="G1471" s="127"/>
      <c r="H1471" s="54"/>
      <c r="I1471" s="138"/>
    </row>
    <row r="1472" spans="1:9" x14ac:dyDescent="0.3">
      <c r="A1472" s="126"/>
      <c r="B1472" s="126"/>
      <c r="C1472" s="53"/>
      <c r="D1472" s="53"/>
      <c r="E1472" s="131"/>
      <c r="F1472" s="127"/>
      <c r="G1472" s="127"/>
      <c r="H1472" s="54"/>
      <c r="I1472" s="138"/>
    </row>
    <row r="1473" spans="1:9" x14ac:dyDescent="0.3">
      <c r="A1473" s="126"/>
      <c r="B1473" s="126"/>
      <c r="C1473" s="53"/>
      <c r="D1473" s="53"/>
      <c r="E1473" s="131"/>
      <c r="F1473" s="127"/>
      <c r="G1473" s="127"/>
      <c r="H1473" s="54"/>
      <c r="I1473" s="138"/>
    </row>
    <row r="1474" spans="1:9" x14ac:dyDescent="0.3">
      <c r="A1474" s="126"/>
      <c r="B1474" s="126"/>
      <c r="C1474" s="53"/>
      <c r="D1474" s="53"/>
      <c r="E1474" s="131"/>
      <c r="F1474" s="127"/>
      <c r="G1474" s="127"/>
      <c r="H1474" s="54"/>
      <c r="I1474" s="138"/>
    </row>
    <row r="1475" spans="1:9" x14ac:dyDescent="0.3">
      <c r="A1475" s="126"/>
      <c r="B1475" s="126"/>
      <c r="C1475" s="53"/>
      <c r="D1475" s="53"/>
      <c r="E1475" s="131"/>
      <c r="F1475" s="127"/>
      <c r="G1475" s="127"/>
      <c r="H1475" s="54"/>
      <c r="I1475" s="138"/>
    </row>
    <row r="1476" spans="1:9" x14ac:dyDescent="0.3">
      <c r="A1476" s="126"/>
      <c r="B1476" s="126"/>
      <c r="C1476" s="53"/>
      <c r="D1476" s="53"/>
      <c r="E1476" s="131"/>
      <c r="F1476" s="127"/>
      <c r="G1476" s="127"/>
      <c r="H1476" s="54"/>
      <c r="I1476" s="138"/>
    </row>
    <row r="1477" spans="1:9" x14ac:dyDescent="0.3">
      <c r="A1477" s="126"/>
      <c r="B1477" s="126"/>
      <c r="C1477" s="53"/>
      <c r="D1477" s="53"/>
      <c r="E1477" s="131"/>
      <c r="F1477" s="127"/>
      <c r="G1477" s="127"/>
      <c r="H1477" s="54"/>
      <c r="I1477" s="138"/>
    </row>
    <row r="1478" spans="1:9" x14ac:dyDescent="0.3">
      <c r="A1478" s="126"/>
      <c r="B1478" s="126"/>
      <c r="C1478" s="53"/>
      <c r="D1478" s="53"/>
      <c r="E1478" s="131"/>
      <c r="F1478" s="127"/>
      <c r="G1478" s="127"/>
      <c r="H1478" s="54"/>
      <c r="I1478" s="138"/>
    </row>
    <row r="1479" spans="1:9" x14ac:dyDescent="0.3">
      <c r="A1479" s="126"/>
      <c r="B1479" s="126"/>
      <c r="C1479" s="53"/>
      <c r="D1479" s="53"/>
      <c r="E1479" s="131"/>
      <c r="F1479" s="127"/>
      <c r="G1479" s="127"/>
      <c r="H1479" s="54"/>
      <c r="I1479" s="138"/>
    </row>
    <row r="1480" spans="1:9" x14ac:dyDescent="0.3">
      <c r="A1480" s="126"/>
      <c r="B1480" s="126"/>
      <c r="C1480" s="53"/>
      <c r="D1480" s="53"/>
      <c r="E1480" s="131"/>
      <c r="F1480" s="127"/>
      <c r="G1480" s="127"/>
      <c r="H1480" s="54"/>
      <c r="I1480" s="138"/>
    </row>
    <row r="1481" spans="1:9" x14ac:dyDescent="0.3">
      <c r="A1481" s="126"/>
      <c r="B1481" s="126"/>
      <c r="C1481" s="53"/>
      <c r="D1481" s="53"/>
      <c r="E1481" s="131"/>
      <c r="F1481" s="127"/>
      <c r="G1481" s="127"/>
      <c r="H1481" s="54"/>
      <c r="I1481" s="138"/>
    </row>
    <row r="1482" spans="1:9" x14ac:dyDescent="0.3">
      <c r="A1482" s="126"/>
      <c r="B1482" s="126"/>
      <c r="C1482" s="53"/>
      <c r="D1482" s="53"/>
      <c r="E1482" s="131"/>
      <c r="F1482" s="127"/>
      <c r="G1482" s="127"/>
      <c r="H1482" s="54"/>
      <c r="I1482" s="138"/>
    </row>
    <row r="1483" spans="1:9" x14ac:dyDescent="0.3">
      <c r="A1483" s="126"/>
      <c r="B1483" s="126"/>
      <c r="C1483" s="53"/>
      <c r="D1483" s="53"/>
      <c r="E1483" s="131"/>
      <c r="F1483" s="127"/>
      <c r="G1483" s="127"/>
      <c r="H1483" s="54"/>
      <c r="I1483" s="138"/>
    </row>
    <row r="1484" spans="1:9" x14ac:dyDescent="0.3">
      <c r="A1484" s="126"/>
      <c r="B1484" s="126"/>
      <c r="C1484" s="53"/>
      <c r="D1484" s="53"/>
      <c r="E1484" s="131"/>
      <c r="F1484" s="127"/>
      <c r="G1484" s="127"/>
      <c r="H1484" s="54"/>
      <c r="I1484" s="138"/>
    </row>
    <row r="1485" spans="1:9" x14ac:dyDescent="0.3">
      <c r="A1485" s="126"/>
      <c r="B1485" s="126"/>
      <c r="C1485" s="53"/>
      <c r="D1485" s="53"/>
      <c r="E1485" s="131"/>
      <c r="F1485" s="127"/>
      <c r="G1485" s="127"/>
      <c r="H1485" s="54"/>
      <c r="I1485" s="138"/>
    </row>
    <row r="1486" spans="1:9" x14ac:dyDescent="0.3">
      <c r="A1486" s="126"/>
      <c r="B1486" s="126"/>
      <c r="C1486" s="53"/>
      <c r="D1486" s="53"/>
      <c r="E1486" s="131"/>
      <c r="F1486" s="127"/>
      <c r="G1486" s="127"/>
      <c r="H1486" s="54"/>
      <c r="I1486" s="138"/>
    </row>
    <row r="1487" spans="1:9" x14ac:dyDescent="0.3">
      <c r="A1487" s="126"/>
      <c r="B1487" s="126"/>
      <c r="C1487" s="53"/>
      <c r="D1487" s="53"/>
      <c r="E1487" s="131"/>
      <c r="F1487" s="127"/>
      <c r="G1487" s="127"/>
      <c r="H1487" s="54"/>
      <c r="I1487" s="138"/>
    </row>
    <row r="1488" spans="1:9" x14ac:dyDescent="0.3">
      <c r="A1488" s="126"/>
      <c r="B1488" s="126"/>
      <c r="C1488" s="53"/>
      <c r="D1488" s="53"/>
      <c r="E1488" s="131"/>
      <c r="F1488" s="127"/>
      <c r="G1488" s="127"/>
      <c r="H1488" s="54"/>
      <c r="I1488" s="138"/>
    </row>
    <row r="1489" spans="1:9" x14ac:dyDescent="0.3">
      <c r="A1489" s="126"/>
      <c r="B1489" s="126"/>
      <c r="C1489" s="53"/>
      <c r="D1489" s="53"/>
      <c r="E1489" s="131"/>
      <c r="F1489" s="127"/>
      <c r="G1489" s="127"/>
      <c r="H1489" s="54"/>
      <c r="I1489" s="138"/>
    </row>
    <row r="1490" spans="1:9" x14ac:dyDescent="0.3">
      <c r="A1490" s="126"/>
      <c r="B1490" s="126"/>
      <c r="C1490" s="53"/>
      <c r="D1490" s="53"/>
      <c r="E1490" s="131"/>
      <c r="F1490" s="127"/>
      <c r="G1490" s="127"/>
      <c r="H1490" s="54"/>
      <c r="I1490" s="138"/>
    </row>
    <row r="1491" spans="1:9" x14ac:dyDescent="0.3">
      <c r="A1491" s="126"/>
      <c r="B1491" s="126"/>
      <c r="C1491" s="53"/>
      <c r="D1491" s="53"/>
      <c r="E1491" s="131"/>
      <c r="F1491" s="127"/>
      <c r="G1491" s="127"/>
      <c r="H1491" s="54"/>
      <c r="I1491" s="138"/>
    </row>
    <row r="1492" spans="1:9" x14ac:dyDescent="0.3">
      <c r="A1492" s="126"/>
      <c r="B1492" s="126"/>
      <c r="C1492" s="53"/>
      <c r="D1492" s="53"/>
      <c r="E1492" s="131"/>
      <c r="F1492" s="127"/>
      <c r="G1492" s="127"/>
      <c r="H1492" s="54"/>
      <c r="I1492" s="138"/>
    </row>
    <row r="1493" spans="1:9" x14ac:dyDescent="0.3">
      <c r="A1493" s="126"/>
      <c r="B1493" s="126"/>
      <c r="C1493" s="53"/>
      <c r="D1493" s="53"/>
      <c r="E1493" s="131"/>
      <c r="F1493" s="127"/>
      <c r="G1493" s="127"/>
      <c r="H1493" s="54"/>
      <c r="I1493" s="138"/>
    </row>
    <row r="1494" spans="1:9" x14ac:dyDescent="0.3">
      <c r="A1494" s="126"/>
      <c r="B1494" s="126"/>
      <c r="C1494" s="53"/>
      <c r="D1494" s="53"/>
      <c r="E1494" s="131"/>
      <c r="F1494" s="127"/>
      <c r="G1494" s="127"/>
      <c r="H1494" s="54"/>
      <c r="I1494" s="138"/>
    </row>
    <row r="1495" spans="1:9" x14ac:dyDescent="0.3">
      <c r="A1495" s="126"/>
      <c r="B1495" s="126"/>
      <c r="C1495" s="53"/>
      <c r="D1495" s="53"/>
      <c r="E1495" s="131"/>
      <c r="F1495" s="127"/>
      <c r="G1495" s="127"/>
      <c r="H1495" s="54"/>
      <c r="I1495" s="138"/>
    </row>
    <row r="1496" spans="1:9" x14ac:dyDescent="0.3">
      <c r="A1496" s="126"/>
      <c r="B1496" s="126"/>
      <c r="C1496" s="53"/>
      <c r="D1496" s="53"/>
      <c r="E1496" s="131"/>
      <c r="F1496" s="127"/>
      <c r="G1496" s="127"/>
      <c r="H1496" s="54"/>
      <c r="I1496" s="138"/>
    </row>
    <row r="1497" spans="1:9" x14ac:dyDescent="0.3">
      <c r="A1497" s="126"/>
      <c r="B1497" s="126"/>
      <c r="C1497" s="53"/>
      <c r="D1497" s="53"/>
      <c r="E1497" s="131"/>
      <c r="F1497" s="127"/>
      <c r="G1497" s="127"/>
      <c r="H1497" s="54"/>
      <c r="I1497" s="138"/>
    </row>
    <row r="1498" spans="1:9" x14ac:dyDescent="0.3">
      <c r="A1498" s="126"/>
      <c r="B1498" s="126"/>
      <c r="C1498" s="53"/>
      <c r="D1498" s="53"/>
      <c r="E1498" s="131"/>
      <c r="F1498" s="127"/>
      <c r="G1498" s="127"/>
      <c r="H1498" s="54"/>
      <c r="I1498" s="138"/>
    </row>
    <row r="1499" spans="1:9" x14ac:dyDescent="0.3">
      <c r="A1499" s="126"/>
      <c r="B1499" s="126"/>
      <c r="C1499" s="53"/>
      <c r="D1499" s="53"/>
      <c r="E1499" s="131"/>
      <c r="F1499" s="127"/>
      <c r="G1499" s="127"/>
      <c r="H1499" s="54"/>
      <c r="I1499" s="138"/>
    </row>
    <row r="1500" spans="1:9" x14ac:dyDescent="0.3">
      <c r="A1500" s="126"/>
      <c r="B1500" s="126"/>
      <c r="C1500" s="53"/>
      <c r="D1500" s="53"/>
      <c r="E1500" s="131"/>
      <c r="F1500" s="127"/>
      <c r="G1500" s="127"/>
      <c r="H1500" s="54"/>
      <c r="I1500" s="138"/>
    </row>
    <row r="1501" spans="1:9" x14ac:dyDescent="0.3">
      <c r="A1501" s="126"/>
      <c r="B1501" s="126"/>
      <c r="C1501" s="53"/>
      <c r="D1501" s="53"/>
      <c r="E1501" s="131"/>
      <c r="F1501" s="127"/>
      <c r="G1501" s="127"/>
      <c r="H1501" s="54"/>
      <c r="I1501" s="138"/>
    </row>
    <row r="1502" spans="1:9" x14ac:dyDescent="0.3">
      <c r="A1502" s="126"/>
      <c r="B1502" s="126"/>
      <c r="C1502" s="53"/>
      <c r="D1502" s="53"/>
      <c r="E1502" s="131"/>
      <c r="F1502" s="127"/>
      <c r="G1502" s="127"/>
      <c r="H1502" s="54"/>
      <c r="I1502" s="138"/>
    </row>
    <row r="1503" spans="1:9" x14ac:dyDescent="0.3">
      <c r="A1503" s="126"/>
      <c r="B1503" s="126"/>
      <c r="C1503" s="53"/>
      <c r="D1503" s="53"/>
      <c r="E1503" s="131"/>
      <c r="F1503" s="127"/>
      <c r="G1503" s="127"/>
      <c r="H1503" s="54"/>
      <c r="I1503" s="138"/>
    </row>
    <row r="1504" spans="1:9" x14ac:dyDescent="0.3">
      <c r="A1504" s="126"/>
      <c r="B1504" s="126"/>
      <c r="C1504" s="53"/>
      <c r="D1504" s="53"/>
      <c r="E1504" s="131"/>
      <c r="F1504" s="127"/>
      <c r="G1504" s="127"/>
      <c r="H1504" s="54"/>
      <c r="I1504" s="138"/>
    </row>
    <row r="1505" spans="1:9" x14ac:dyDescent="0.3">
      <c r="A1505" s="126"/>
      <c r="B1505" s="126"/>
      <c r="C1505" s="53"/>
      <c r="D1505" s="53"/>
      <c r="E1505" s="131"/>
      <c r="F1505" s="127"/>
      <c r="G1505" s="127"/>
      <c r="H1505" s="54"/>
      <c r="I1505" s="138"/>
    </row>
    <row r="1506" spans="1:9" x14ac:dyDescent="0.3">
      <c r="A1506" s="126"/>
      <c r="B1506" s="126"/>
      <c r="C1506" s="53"/>
      <c r="D1506" s="53"/>
      <c r="E1506" s="131"/>
      <c r="F1506" s="127"/>
      <c r="G1506" s="127"/>
      <c r="H1506" s="54"/>
      <c r="I1506" s="138"/>
    </row>
    <row r="1507" spans="1:9" x14ac:dyDescent="0.3">
      <c r="A1507" s="126"/>
      <c r="B1507" s="126"/>
      <c r="C1507" s="53"/>
      <c r="D1507" s="53"/>
      <c r="E1507" s="131"/>
      <c r="F1507" s="127"/>
      <c r="G1507" s="127"/>
      <c r="H1507" s="54"/>
      <c r="I1507" s="138"/>
    </row>
    <row r="1508" spans="1:9" x14ac:dyDescent="0.3">
      <c r="A1508" s="126"/>
      <c r="B1508" s="126"/>
      <c r="C1508" s="53"/>
      <c r="D1508" s="53"/>
      <c r="E1508" s="131"/>
      <c r="F1508" s="127"/>
      <c r="G1508" s="127"/>
      <c r="H1508" s="54"/>
      <c r="I1508" s="138"/>
    </row>
    <row r="1509" spans="1:9" x14ac:dyDescent="0.3">
      <c r="A1509" s="126"/>
      <c r="B1509" s="126"/>
      <c r="C1509" s="53"/>
      <c r="D1509" s="53"/>
      <c r="E1509" s="131"/>
      <c r="F1509" s="127"/>
      <c r="G1509" s="127"/>
      <c r="H1509" s="54"/>
      <c r="I1509" s="138"/>
    </row>
    <row r="1510" spans="1:9" x14ac:dyDescent="0.3">
      <c r="A1510" s="126"/>
      <c r="B1510" s="126"/>
      <c r="C1510" s="53"/>
      <c r="D1510" s="53"/>
      <c r="E1510" s="131"/>
      <c r="F1510" s="127"/>
      <c r="G1510" s="127"/>
      <c r="H1510" s="54"/>
      <c r="I1510" s="138"/>
    </row>
    <row r="1511" spans="1:9" x14ac:dyDescent="0.3">
      <c r="A1511" s="126"/>
      <c r="B1511" s="126"/>
      <c r="C1511" s="53"/>
      <c r="D1511" s="53"/>
      <c r="E1511" s="131"/>
      <c r="F1511" s="127"/>
      <c r="G1511" s="127"/>
      <c r="H1511" s="54"/>
      <c r="I1511" s="138"/>
    </row>
    <row r="1512" spans="1:9" x14ac:dyDescent="0.3">
      <c r="A1512" s="126"/>
      <c r="B1512" s="126"/>
      <c r="C1512" s="53"/>
      <c r="D1512" s="53"/>
      <c r="E1512" s="131"/>
      <c r="F1512" s="127"/>
      <c r="G1512" s="127"/>
      <c r="H1512" s="54"/>
      <c r="I1512" s="138"/>
    </row>
    <row r="1513" spans="1:9" x14ac:dyDescent="0.3">
      <c r="A1513" s="126"/>
      <c r="B1513" s="126"/>
      <c r="C1513" s="53"/>
      <c r="D1513" s="53"/>
      <c r="E1513" s="131"/>
      <c r="F1513" s="127"/>
      <c r="G1513" s="127"/>
      <c r="H1513" s="54"/>
      <c r="I1513" s="138"/>
    </row>
    <row r="1514" spans="1:9" x14ac:dyDescent="0.3">
      <c r="A1514" s="126"/>
      <c r="B1514" s="126"/>
      <c r="C1514" s="53"/>
      <c r="D1514" s="53"/>
      <c r="E1514" s="131"/>
      <c r="F1514" s="127"/>
      <c r="G1514" s="127"/>
      <c r="H1514" s="54"/>
      <c r="I1514" s="138"/>
    </row>
    <row r="1515" spans="1:9" x14ac:dyDescent="0.3">
      <c r="A1515" s="126"/>
      <c r="B1515" s="126"/>
      <c r="C1515" s="53"/>
      <c r="D1515" s="53"/>
      <c r="E1515" s="131"/>
      <c r="F1515" s="127"/>
      <c r="G1515" s="127"/>
      <c r="H1515" s="54"/>
      <c r="I1515" s="138"/>
    </row>
    <row r="1516" spans="1:9" x14ac:dyDescent="0.3">
      <c r="A1516" s="126"/>
      <c r="B1516" s="126"/>
      <c r="C1516" s="53"/>
      <c r="D1516" s="53"/>
      <c r="E1516" s="131"/>
      <c r="F1516" s="127"/>
      <c r="G1516" s="127"/>
      <c r="H1516" s="54"/>
      <c r="I1516" s="138"/>
    </row>
    <row r="1517" spans="1:9" x14ac:dyDescent="0.3">
      <c r="A1517" s="126"/>
      <c r="B1517" s="126"/>
      <c r="C1517" s="53"/>
      <c r="D1517" s="53"/>
      <c r="E1517" s="131"/>
      <c r="F1517" s="127"/>
      <c r="G1517" s="127"/>
      <c r="H1517" s="54"/>
      <c r="I1517" s="138"/>
    </row>
    <row r="1518" spans="1:9" x14ac:dyDescent="0.3">
      <c r="A1518" s="126"/>
      <c r="B1518" s="126"/>
      <c r="C1518" s="53"/>
      <c r="D1518" s="53"/>
      <c r="E1518" s="131"/>
      <c r="F1518" s="127"/>
      <c r="G1518" s="127"/>
      <c r="H1518" s="54"/>
      <c r="I1518" s="138"/>
    </row>
    <row r="1519" spans="1:9" x14ac:dyDescent="0.3">
      <c r="A1519" s="126"/>
      <c r="B1519" s="126"/>
      <c r="C1519" s="53"/>
      <c r="D1519" s="53"/>
      <c r="E1519" s="131"/>
      <c r="F1519" s="127"/>
      <c r="G1519" s="127"/>
      <c r="H1519" s="54"/>
      <c r="I1519" s="138"/>
    </row>
    <row r="1520" spans="1:9" x14ac:dyDescent="0.3">
      <c r="A1520" s="126"/>
      <c r="B1520" s="126"/>
      <c r="C1520" s="53"/>
      <c r="D1520" s="53"/>
      <c r="E1520" s="131"/>
      <c r="F1520" s="127"/>
      <c r="G1520" s="127"/>
      <c r="H1520" s="54"/>
      <c r="I1520" s="138"/>
    </row>
    <row r="1521" spans="1:9" x14ac:dyDescent="0.3">
      <c r="A1521" s="126"/>
      <c r="B1521" s="126"/>
      <c r="C1521" s="53"/>
      <c r="D1521" s="53"/>
      <c r="E1521" s="131"/>
      <c r="F1521" s="127"/>
      <c r="G1521" s="127"/>
      <c r="H1521" s="54"/>
      <c r="I1521" s="138"/>
    </row>
    <row r="1522" spans="1:9" x14ac:dyDescent="0.3">
      <c r="A1522" s="126"/>
      <c r="B1522" s="126"/>
      <c r="C1522" s="53"/>
      <c r="D1522" s="53"/>
      <c r="E1522" s="131"/>
      <c r="F1522" s="127"/>
      <c r="G1522" s="127"/>
      <c r="H1522" s="54"/>
      <c r="I1522" s="138"/>
    </row>
    <row r="1523" spans="1:9" x14ac:dyDescent="0.3">
      <c r="A1523" s="126"/>
      <c r="B1523" s="126"/>
      <c r="C1523" s="53"/>
      <c r="D1523" s="53"/>
      <c r="E1523" s="131"/>
      <c r="F1523" s="127"/>
      <c r="G1523" s="127"/>
      <c r="H1523" s="54"/>
      <c r="I1523" s="138"/>
    </row>
    <row r="1524" spans="1:9" x14ac:dyDescent="0.3">
      <c r="A1524" s="126"/>
      <c r="B1524" s="126"/>
      <c r="C1524" s="53"/>
      <c r="D1524" s="53"/>
      <c r="E1524" s="131"/>
      <c r="F1524" s="127"/>
      <c r="G1524" s="127"/>
      <c r="H1524" s="54"/>
      <c r="I1524" s="138"/>
    </row>
    <row r="1525" spans="1:9" x14ac:dyDescent="0.3">
      <c r="A1525" s="126"/>
      <c r="B1525" s="126"/>
      <c r="C1525" s="53"/>
      <c r="D1525" s="53"/>
      <c r="E1525" s="131"/>
      <c r="F1525" s="127"/>
      <c r="G1525" s="127"/>
      <c r="H1525" s="54"/>
      <c r="I1525" s="138"/>
    </row>
    <row r="1526" spans="1:9" x14ac:dyDescent="0.3">
      <c r="A1526" s="126"/>
      <c r="B1526" s="126"/>
      <c r="C1526" s="53"/>
      <c r="D1526" s="53"/>
      <c r="E1526" s="131"/>
      <c r="F1526" s="127"/>
      <c r="G1526" s="127"/>
      <c r="H1526" s="54"/>
      <c r="I1526" s="138"/>
    </row>
    <row r="1527" spans="1:9" x14ac:dyDescent="0.3">
      <c r="A1527" s="126"/>
      <c r="B1527" s="126"/>
      <c r="C1527" s="53"/>
      <c r="D1527" s="53"/>
      <c r="E1527" s="131"/>
      <c r="F1527" s="127"/>
      <c r="G1527" s="127"/>
      <c r="H1527" s="54"/>
      <c r="I1527" s="138"/>
    </row>
    <row r="1528" spans="1:9" x14ac:dyDescent="0.3">
      <c r="A1528" s="126"/>
      <c r="B1528" s="126"/>
      <c r="C1528" s="53"/>
      <c r="D1528" s="53"/>
      <c r="E1528" s="131"/>
      <c r="F1528" s="127"/>
      <c r="G1528" s="127"/>
      <c r="H1528" s="54"/>
      <c r="I1528" s="138"/>
    </row>
    <row r="1529" spans="1:9" x14ac:dyDescent="0.3">
      <c r="A1529" s="126"/>
      <c r="B1529" s="126"/>
      <c r="C1529" s="53"/>
      <c r="D1529" s="53"/>
      <c r="E1529" s="131"/>
      <c r="F1529" s="127"/>
      <c r="G1529" s="127"/>
      <c r="H1529" s="54"/>
      <c r="I1529" s="138"/>
    </row>
    <row r="1530" spans="1:9" x14ac:dyDescent="0.3">
      <c r="A1530" s="126"/>
      <c r="B1530" s="126"/>
      <c r="C1530" s="53"/>
      <c r="D1530" s="53"/>
      <c r="E1530" s="131"/>
      <c r="F1530" s="127"/>
      <c r="G1530" s="127"/>
      <c r="H1530" s="54"/>
      <c r="I1530" s="138"/>
    </row>
    <row r="1531" spans="1:9" x14ac:dyDescent="0.3">
      <c r="A1531" s="126"/>
      <c r="B1531" s="126"/>
      <c r="C1531" s="53"/>
      <c r="D1531" s="53"/>
      <c r="E1531" s="131"/>
      <c r="F1531" s="127"/>
      <c r="G1531" s="127"/>
      <c r="H1531" s="54"/>
      <c r="I1531" s="138"/>
    </row>
    <row r="1532" spans="1:9" x14ac:dyDescent="0.3">
      <c r="A1532" s="126"/>
      <c r="B1532" s="126"/>
      <c r="C1532" s="53"/>
      <c r="D1532" s="53"/>
      <c r="E1532" s="131"/>
      <c r="F1532" s="127"/>
      <c r="G1532" s="127"/>
      <c r="H1532" s="54"/>
      <c r="I1532" s="138"/>
    </row>
    <row r="1533" spans="1:9" x14ac:dyDescent="0.3">
      <c r="A1533" s="126"/>
      <c r="B1533" s="126"/>
      <c r="C1533" s="53"/>
      <c r="D1533" s="53"/>
      <c r="E1533" s="131"/>
      <c r="F1533" s="127"/>
      <c r="G1533" s="127"/>
      <c r="H1533" s="54"/>
      <c r="I1533" s="138"/>
    </row>
    <row r="1534" spans="1:9" x14ac:dyDescent="0.3">
      <c r="A1534" s="126"/>
      <c r="B1534" s="126"/>
      <c r="C1534" s="53"/>
      <c r="D1534" s="53"/>
      <c r="E1534" s="131"/>
      <c r="F1534" s="127"/>
      <c r="G1534" s="127"/>
      <c r="H1534" s="54"/>
      <c r="I1534" s="138"/>
    </row>
    <row r="1535" spans="1:9" x14ac:dyDescent="0.3">
      <c r="A1535" s="126"/>
      <c r="B1535" s="126"/>
      <c r="C1535" s="53"/>
      <c r="D1535" s="53"/>
      <c r="E1535" s="131"/>
      <c r="F1535" s="127"/>
      <c r="G1535" s="127"/>
      <c r="H1535" s="54"/>
      <c r="I1535" s="138"/>
    </row>
    <row r="1536" spans="1:9" x14ac:dyDescent="0.3">
      <c r="A1536" s="126"/>
      <c r="B1536" s="126"/>
      <c r="C1536" s="53"/>
      <c r="D1536" s="53"/>
      <c r="E1536" s="131"/>
      <c r="F1536" s="127"/>
      <c r="G1536" s="127"/>
      <c r="H1536" s="54"/>
      <c r="I1536" s="138"/>
    </row>
    <row r="1537" spans="1:9" x14ac:dyDescent="0.3">
      <c r="A1537" s="126"/>
      <c r="B1537" s="126"/>
      <c r="C1537" s="53"/>
      <c r="D1537" s="53"/>
      <c r="E1537" s="131"/>
      <c r="F1537" s="127"/>
      <c r="G1537" s="127"/>
      <c r="H1537" s="54"/>
      <c r="I1537" s="138"/>
    </row>
    <row r="1538" spans="1:9" x14ac:dyDescent="0.3">
      <c r="A1538" s="126"/>
      <c r="B1538" s="126"/>
      <c r="C1538" s="53"/>
      <c r="D1538" s="53"/>
      <c r="E1538" s="131"/>
      <c r="F1538" s="127"/>
      <c r="G1538" s="127"/>
      <c r="H1538" s="54"/>
      <c r="I1538" s="138"/>
    </row>
    <row r="1539" spans="1:9" x14ac:dyDescent="0.3">
      <c r="A1539" s="126"/>
      <c r="B1539" s="126"/>
      <c r="C1539" s="53"/>
      <c r="D1539" s="53"/>
      <c r="E1539" s="131"/>
      <c r="F1539" s="127"/>
      <c r="G1539" s="127"/>
      <c r="H1539" s="54"/>
      <c r="I1539" s="138"/>
    </row>
    <row r="1540" spans="1:9" x14ac:dyDescent="0.3">
      <c r="A1540" s="126"/>
      <c r="B1540" s="126"/>
      <c r="C1540" s="53"/>
      <c r="D1540" s="53"/>
      <c r="E1540" s="131"/>
      <c r="F1540" s="127"/>
      <c r="G1540" s="127"/>
      <c r="H1540" s="54"/>
      <c r="I1540" s="138"/>
    </row>
    <row r="1541" spans="1:9" x14ac:dyDescent="0.3">
      <c r="A1541" s="126"/>
      <c r="B1541" s="126"/>
      <c r="C1541" s="53"/>
      <c r="D1541" s="53"/>
      <c r="E1541" s="131"/>
      <c r="F1541" s="127"/>
      <c r="G1541" s="127"/>
      <c r="H1541" s="54"/>
      <c r="I1541" s="138"/>
    </row>
    <row r="1542" spans="1:9" x14ac:dyDescent="0.3">
      <c r="A1542" s="126"/>
      <c r="B1542" s="126"/>
      <c r="C1542" s="53"/>
      <c r="D1542" s="53"/>
      <c r="E1542" s="131"/>
      <c r="F1542" s="127"/>
      <c r="G1542" s="127"/>
      <c r="H1542" s="54"/>
      <c r="I1542" s="138"/>
    </row>
    <row r="1543" spans="1:9" x14ac:dyDescent="0.3">
      <c r="A1543" s="126"/>
      <c r="B1543" s="126"/>
      <c r="C1543" s="53"/>
      <c r="D1543" s="53"/>
      <c r="E1543" s="131"/>
      <c r="F1543" s="127"/>
      <c r="G1543" s="127"/>
      <c r="H1543" s="54"/>
      <c r="I1543" s="138"/>
    </row>
    <row r="1544" spans="1:9" x14ac:dyDescent="0.3">
      <c r="A1544" s="126"/>
      <c r="B1544" s="126"/>
      <c r="C1544" s="53"/>
      <c r="D1544" s="53"/>
      <c r="E1544" s="131"/>
      <c r="F1544" s="127"/>
      <c r="G1544" s="127"/>
      <c r="H1544" s="54"/>
      <c r="I1544" s="138"/>
    </row>
    <row r="1545" spans="1:9" x14ac:dyDescent="0.3">
      <c r="A1545" s="126"/>
      <c r="B1545" s="126"/>
      <c r="C1545" s="53"/>
      <c r="D1545" s="53"/>
      <c r="E1545" s="131"/>
      <c r="F1545" s="127"/>
      <c r="G1545" s="127"/>
      <c r="H1545" s="54"/>
      <c r="I1545" s="138"/>
    </row>
    <row r="1546" spans="1:9" x14ac:dyDescent="0.3">
      <c r="A1546" s="126"/>
      <c r="B1546" s="126"/>
      <c r="C1546" s="53"/>
      <c r="D1546" s="53"/>
      <c r="E1546" s="131"/>
      <c r="F1546" s="127"/>
      <c r="G1546" s="127"/>
      <c r="H1546" s="54"/>
      <c r="I1546" s="138"/>
    </row>
    <row r="1547" spans="1:9" x14ac:dyDescent="0.3">
      <c r="A1547" s="126"/>
      <c r="B1547" s="126"/>
      <c r="C1547" s="53"/>
      <c r="D1547" s="53"/>
      <c r="E1547" s="131"/>
      <c r="F1547" s="127"/>
      <c r="G1547" s="127"/>
      <c r="H1547" s="54"/>
      <c r="I1547" s="138"/>
    </row>
    <row r="1548" spans="1:9" x14ac:dyDescent="0.3">
      <c r="A1548" s="126"/>
      <c r="B1548" s="126"/>
      <c r="C1548" s="53"/>
      <c r="D1548" s="53"/>
      <c r="E1548" s="131"/>
      <c r="F1548" s="127"/>
      <c r="G1548" s="127"/>
      <c r="H1548" s="54"/>
      <c r="I1548" s="138"/>
    </row>
    <row r="1549" spans="1:9" x14ac:dyDescent="0.3">
      <c r="A1549" s="126"/>
      <c r="B1549" s="126"/>
      <c r="C1549" s="53"/>
      <c r="D1549" s="53"/>
      <c r="E1549" s="131"/>
      <c r="F1549" s="127"/>
      <c r="G1549" s="127"/>
      <c r="H1549" s="54"/>
      <c r="I1549" s="138"/>
    </row>
    <row r="1550" spans="1:9" x14ac:dyDescent="0.3">
      <c r="A1550" s="126"/>
      <c r="B1550" s="126"/>
      <c r="C1550" s="53"/>
      <c r="D1550" s="53"/>
      <c r="E1550" s="131"/>
      <c r="F1550" s="127"/>
      <c r="G1550" s="127"/>
      <c r="H1550" s="54"/>
      <c r="I1550" s="138"/>
    </row>
    <row r="1551" spans="1:9" x14ac:dyDescent="0.3">
      <c r="A1551" s="126"/>
      <c r="B1551" s="126"/>
      <c r="C1551" s="53"/>
      <c r="D1551" s="53"/>
      <c r="E1551" s="131"/>
      <c r="F1551" s="127"/>
      <c r="G1551" s="127"/>
      <c r="H1551" s="54"/>
      <c r="I1551" s="138"/>
    </row>
    <row r="1552" spans="1:9" x14ac:dyDescent="0.3">
      <c r="A1552" s="126"/>
      <c r="B1552" s="126"/>
      <c r="C1552" s="53"/>
      <c r="D1552" s="53"/>
      <c r="E1552" s="131"/>
      <c r="F1552" s="127"/>
      <c r="G1552" s="127"/>
      <c r="H1552" s="54"/>
      <c r="I1552" s="138"/>
    </row>
    <row r="1553" spans="1:9" x14ac:dyDescent="0.3">
      <c r="A1553" s="126"/>
      <c r="B1553" s="126"/>
      <c r="C1553" s="53"/>
      <c r="D1553" s="53"/>
      <c r="E1553" s="131"/>
      <c r="F1553" s="127"/>
      <c r="G1553" s="127"/>
      <c r="H1553" s="54"/>
      <c r="I1553" s="138"/>
    </row>
    <row r="1554" spans="1:9" x14ac:dyDescent="0.3">
      <c r="A1554" s="126"/>
      <c r="B1554" s="126"/>
      <c r="C1554" s="53"/>
      <c r="D1554" s="53"/>
      <c r="E1554" s="131"/>
      <c r="F1554" s="127"/>
      <c r="G1554" s="127"/>
      <c r="H1554" s="54"/>
      <c r="I1554" s="138"/>
    </row>
    <row r="1555" spans="1:9" x14ac:dyDescent="0.3">
      <c r="A1555" s="126"/>
      <c r="B1555" s="126"/>
      <c r="C1555" s="53"/>
      <c r="D1555" s="53"/>
      <c r="E1555" s="131"/>
      <c r="F1555" s="127"/>
      <c r="G1555" s="127"/>
      <c r="H1555" s="54"/>
      <c r="I1555" s="138"/>
    </row>
    <row r="1556" spans="1:9" x14ac:dyDescent="0.3">
      <c r="A1556" s="126"/>
      <c r="B1556" s="126"/>
      <c r="C1556" s="53"/>
      <c r="D1556" s="53"/>
      <c r="E1556" s="131"/>
      <c r="F1556" s="127"/>
      <c r="G1556" s="127"/>
      <c r="H1556" s="54"/>
      <c r="I1556" s="138"/>
    </row>
    <row r="1557" spans="1:9" x14ac:dyDescent="0.3">
      <c r="A1557" s="126"/>
      <c r="B1557" s="126"/>
      <c r="C1557" s="53"/>
      <c r="D1557" s="53"/>
      <c r="E1557" s="131"/>
      <c r="F1557" s="127"/>
      <c r="G1557" s="127"/>
      <c r="H1557" s="54"/>
      <c r="I1557" s="138"/>
    </row>
    <row r="1558" spans="1:9" x14ac:dyDescent="0.3">
      <c r="A1558" s="126"/>
      <c r="B1558" s="126"/>
      <c r="C1558" s="53"/>
      <c r="D1558" s="53"/>
      <c r="E1558" s="131"/>
      <c r="F1558" s="127"/>
      <c r="G1558" s="127"/>
      <c r="H1558" s="54"/>
      <c r="I1558" s="138"/>
    </row>
    <row r="1559" spans="1:9" x14ac:dyDescent="0.3">
      <c r="A1559" s="126"/>
      <c r="B1559" s="126"/>
      <c r="C1559" s="53"/>
      <c r="D1559" s="53"/>
      <c r="E1559" s="131"/>
      <c r="F1559" s="127"/>
      <c r="G1559" s="127"/>
      <c r="H1559" s="54"/>
      <c r="I1559" s="138"/>
    </row>
    <row r="1560" spans="1:9" x14ac:dyDescent="0.3">
      <c r="A1560" s="126"/>
      <c r="B1560" s="126"/>
      <c r="C1560" s="53"/>
      <c r="D1560" s="53"/>
      <c r="E1560" s="131"/>
      <c r="F1560" s="127"/>
      <c r="G1560" s="127"/>
      <c r="H1560" s="54"/>
      <c r="I1560" s="138"/>
    </row>
    <row r="1561" spans="1:9" x14ac:dyDescent="0.3">
      <c r="A1561" s="126"/>
      <c r="B1561" s="126"/>
      <c r="C1561" s="53"/>
      <c r="D1561" s="53"/>
      <c r="E1561" s="131"/>
      <c r="F1561" s="127"/>
      <c r="G1561" s="127"/>
      <c r="H1561" s="54"/>
      <c r="I1561" s="138"/>
    </row>
    <row r="1562" spans="1:9" x14ac:dyDescent="0.3">
      <c r="A1562" s="126"/>
      <c r="B1562" s="126"/>
      <c r="C1562" s="53"/>
      <c r="D1562" s="53"/>
      <c r="E1562" s="131"/>
      <c r="F1562" s="127"/>
      <c r="G1562" s="127"/>
      <c r="H1562" s="54"/>
      <c r="I1562" s="138"/>
    </row>
    <row r="1563" spans="1:9" x14ac:dyDescent="0.3">
      <c r="A1563" s="126"/>
      <c r="B1563" s="126"/>
      <c r="C1563" s="53"/>
      <c r="D1563" s="53"/>
      <c r="E1563" s="131"/>
      <c r="F1563" s="127"/>
      <c r="G1563" s="127"/>
      <c r="H1563" s="54"/>
      <c r="I1563" s="138"/>
    </row>
    <row r="1564" spans="1:9" x14ac:dyDescent="0.3">
      <c r="A1564" s="126"/>
      <c r="B1564" s="126"/>
      <c r="C1564" s="53"/>
      <c r="D1564" s="53"/>
      <c r="E1564" s="131"/>
      <c r="F1564" s="127"/>
      <c r="G1564" s="127"/>
      <c r="H1564" s="54"/>
      <c r="I1564" s="138"/>
    </row>
    <row r="1565" spans="1:9" x14ac:dyDescent="0.3">
      <c r="A1565" s="126"/>
      <c r="B1565" s="126"/>
      <c r="C1565" s="53"/>
      <c r="D1565" s="53"/>
      <c r="E1565" s="131"/>
      <c r="F1565" s="127"/>
      <c r="G1565" s="127"/>
      <c r="H1565" s="54"/>
      <c r="I1565" s="138"/>
    </row>
    <row r="1566" spans="1:9" x14ac:dyDescent="0.3">
      <c r="A1566" s="126"/>
      <c r="B1566" s="126"/>
      <c r="C1566" s="53"/>
      <c r="D1566" s="53"/>
      <c r="E1566" s="131"/>
      <c r="F1566" s="127"/>
      <c r="G1566" s="127"/>
      <c r="H1566" s="54"/>
      <c r="I1566" s="138"/>
    </row>
    <row r="1567" spans="1:9" x14ac:dyDescent="0.3">
      <c r="A1567" s="126"/>
      <c r="B1567" s="126"/>
      <c r="C1567" s="53"/>
      <c r="D1567" s="53"/>
      <c r="E1567" s="131"/>
      <c r="F1567" s="127"/>
      <c r="G1567" s="127"/>
      <c r="H1567" s="54"/>
      <c r="I1567" s="138"/>
    </row>
    <row r="1568" spans="1:9" x14ac:dyDescent="0.3">
      <c r="A1568" s="126"/>
      <c r="B1568" s="126"/>
      <c r="C1568" s="53"/>
      <c r="D1568" s="53"/>
      <c r="E1568" s="131"/>
      <c r="F1568" s="127"/>
      <c r="G1568" s="127"/>
      <c r="H1568" s="54"/>
      <c r="I1568" s="138"/>
    </row>
    <row r="1569" spans="1:9" x14ac:dyDescent="0.3">
      <c r="A1569" s="126"/>
      <c r="B1569" s="126"/>
      <c r="C1569" s="53"/>
      <c r="D1569" s="53"/>
      <c r="E1569" s="131"/>
      <c r="F1569" s="127"/>
      <c r="G1569" s="127"/>
      <c r="H1569" s="54"/>
      <c r="I1569" s="138"/>
    </row>
    <row r="1570" spans="1:9" x14ac:dyDescent="0.3">
      <c r="A1570" s="126"/>
      <c r="B1570" s="126"/>
      <c r="C1570" s="53"/>
      <c r="D1570" s="53"/>
      <c r="E1570" s="131"/>
      <c r="F1570" s="127"/>
      <c r="G1570" s="127"/>
      <c r="H1570" s="54"/>
      <c r="I1570" s="138"/>
    </row>
    <row r="1571" spans="1:9" x14ac:dyDescent="0.3">
      <c r="A1571" s="126"/>
      <c r="B1571" s="126"/>
      <c r="C1571" s="53"/>
      <c r="D1571" s="53"/>
      <c r="E1571" s="131"/>
      <c r="F1571" s="127"/>
      <c r="G1571" s="127"/>
      <c r="H1571" s="54"/>
      <c r="I1571" s="138"/>
    </row>
    <row r="1572" spans="1:9" x14ac:dyDescent="0.3">
      <c r="A1572" s="126"/>
      <c r="B1572" s="126"/>
      <c r="C1572" s="53"/>
      <c r="D1572" s="53"/>
      <c r="E1572" s="131"/>
      <c r="F1572" s="127"/>
      <c r="G1572" s="127"/>
      <c r="H1572" s="54"/>
      <c r="I1572" s="138"/>
    </row>
    <row r="1573" spans="1:9" x14ac:dyDescent="0.3">
      <c r="A1573" s="126"/>
      <c r="B1573" s="126"/>
      <c r="C1573" s="53"/>
      <c r="D1573" s="53"/>
      <c r="E1573" s="131"/>
      <c r="F1573" s="127"/>
      <c r="G1573" s="127"/>
      <c r="H1573" s="54"/>
      <c r="I1573" s="138"/>
    </row>
    <row r="1574" spans="1:9" x14ac:dyDescent="0.3">
      <c r="A1574" s="126"/>
      <c r="B1574" s="126"/>
      <c r="C1574" s="53"/>
      <c r="D1574" s="53"/>
      <c r="E1574" s="131"/>
      <c r="F1574" s="127"/>
      <c r="G1574" s="127"/>
      <c r="H1574" s="54"/>
      <c r="I1574" s="138"/>
    </row>
    <row r="1575" spans="1:9" x14ac:dyDescent="0.3">
      <c r="A1575" s="126"/>
      <c r="B1575" s="126"/>
      <c r="C1575" s="53"/>
      <c r="D1575" s="53"/>
      <c r="E1575" s="131"/>
      <c r="F1575" s="127"/>
      <c r="G1575" s="127"/>
      <c r="H1575" s="54"/>
      <c r="I1575" s="138"/>
    </row>
    <row r="1576" spans="1:9" x14ac:dyDescent="0.3">
      <c r="A1576" s="126"/>
      <c r="B1576" s="126"/>
      <c r="C1576" s="53"/>
      <c r="D1576" s="53"/>
      <c r="E1576" s="131"/>
      <c r="F1576" s="127"/>
      <c r="G1576" s="127"/>
      <c r="H1576" s="54"/>
      <c r="I1576" s="138"/>
    </row>
    <row r="1577" spans="1:9" x14ac:dyDescent="0.3">
      <c r="A1577" s="126"/>
      <c r="B1577" s="126"/>
      <c r="C1577" s="53"/>
      <c r="D1577" s="53"/>
      <c r="E1577" s="131"/>
      <c r="F1577" s="127"/>
      <c r="G1577" s="127"/>
      <c r="H1577" s="54"/>
      <c r="I1577" s="138"/>
    </row>
    <row r="1578" spans="1:9" x14ac:dyDescent="0.3">
      <c r="A1578" s="126"/>
      <c r="B1578" s="126"/>
      <c r="C1578" s="53"/>
      <c r="D1578" s="53"/>
      <c r="E1578" s="131"/>
      <c r="F1578" s="127"/>
      <c r="G1578" s="127"/>
      <c r="H1578" s="54"/>
      <c r="I1578" s="138"/>
    </row>
    <row r="1579" spans="1:9" x14ac:dyDescent="0.3">
      <c r="A1579" s="126"/>
      <c r="B1579" s="126"/>
      <c r="C1579" s="53"/>
      <c r="D1579" s="53"/>
      <c r="E1579" s="131"/>
      <c r="F1579" s="127"/>
      <c r="G1579" s="127"/>
      <c r="H1579" s="54"/>
      <c r="I1579" s="138"/>
    </row>
    <row r="1580" spans="1:9" x14ac:dyDescent="0.3">
      <c r="A1580" s="126"/>
      <c r="B1580" s="126"/>
      <c r="C1580" s="53"/>
      <c r="D1580" s="53"/>
      <c r="E1580" s="131"/>
      <c r="F1580" s="127"/>
      <c r="G1580" s="127"/>
      <c r="H1580" s="54"/>
      <c r="I1580" s="138"/>
    </row>
    <row r="1581" spans="1:9" x14ac:dyDescent="0.3">
      <c r="A1581" s="126"/>
      <c r="B1581" s="126"/>
      <c r="C1581" s="53"/>
      <c r="D1581" s="53"/>
      <c r="E1581" s="131"/>
      <c r="F1581" s="127"/>
      <c r="G1581" s="127"/>
      <c r="H1581" s="54"/>
      <c r="I1581" s="138"/>
    </row>
    <row r="1582" spans="1:9" x14ac:dyDescent="0.3">
      <c r="A1582" s="126"/>
      <c r="B1582" s="126"/>
      <c r="C1582" s="53"/>
      <c r="D1582" s="53"/>
      <c r="E1582" s="131"/>
      <c r="F1582" s="127"/>
      <c r="G1582" s="127"/>
      <c r="H1582" s="54"/>
      <c r="I1582" s="138"/>
    </row>
    <row r="1583" spans="1:9" x14ac:dyDescent="0.3">
      <c r="A1583" s="126"/>
      <c r="B1583" s="126"/>
      <c r="C1583" s="53"/>
      <c r="D1583" s="53"/>
      <c r="E1583" s="131"/>
      <c r="F1583" s="127"/>
      <c r="G1583" s="127"/>
      <c r="H1583" s="54"/>
      <c r="I1583" s="138"/>
    </row>
    <row r="1584" spans="1:9" x14ac:dyDescent="0.3">
      <c r="A1584" s="126"/>
      <c r="B1584" s="126"/>
      <c r="C1584" s="53"/>
      <c r="D1584" s="53"/>
      <c r="E1584" s="131"/>
      <c r="F1584" s="127"/>
      <c r="G1584" s="127"/>
      <c r="H1584" s="54"/>
      <c r="I1584" s="138"/>
    </row>
    <row r="1585" spans="1:9" x14ac:dyDescent="0.3">
      <c r="A1585" s="126"/>
      <c r="B1585" s="126"/>
      <c r="C1585" s="53"/>
      <c r="D1585" s="53"/>
      <c r="E1585" s="131"/>
      <c r="F1585" s="127"/>
      <c r="G1585" s="127"/>
      <c r="H1585" s="54"/>
      <c r="I1585" s="138"/>
    </row>
    <row r="1586" spans="1:9" x14ac:dyDescent="0.3">
      <c r="A1586" s="126"/>
      <c r="B1586" s="126"/>
      <c r="C1586" s="53"/>
      <c r="D1586" s="53"/>
      <c r="E1586" s="131"/>
      <c r="F1586" s="127"/>
      <c r="G1586" s="127"/>
      <c r="H1586" s="54"/>
      <c r="I1586" s="138"/>
    </row>
    <row r="1587" spans="1:9" x14ac:dyDescent="0.3">
      <c r="A1587" s="126"/>
      <c r="B1587" s="126"/>
      <c r="C1587" s="53"/>
      <c r="D1587" s="53"/>
      <c r="E1587" s="131"/>
      <c r="F1587" s="127"/>
      <c r="G1587" s="127"/>
      <c r="H1587" s="54"/>
      <c r="I1587" s="138"/>
    </row>
    <row r="1588" spans="1:9" x14ac:dyDescent="0.3">
      <c r="A1588" s="126"/>
      <c r="B1588" s="126"/>
      <c r="C1588" s="53"/>
      <c r="D1588" s="53"/>
      <c r="E1588" s="131"/>
      <c r="F1588" s="127"/>
      <c r="G1588" s="127"/>
      <c r="H1588" s="54"/>
      <c r="I1588" s="138"/>
    </row>
    <row r="1589" spans="1:9" x14ac:dyDescent="0.3">
      <c r="A1589" s="126"/>
      <c r="B1589" s="126"/>
      <c r="C1589" s="53"/>
      <c r="D1589" s="53"/>
      <c r="E1589" s="131"/>
      <c r="F1589" s="127"/>
      <c r="G1589" s="127"/>
      <c r="H1589" s="54"/>
      <c r="I1589" s="138"/>
    </row>
    <row r="1590" spans="1:9" x14ac:dyDescent="0.3">
      <c r="A1590" s="126"/>
      <c r="B1590" s="126"/>
      <c r="C1590" s="53"/>
      <c r="D1590" s="53"/>
      <c r="E1590" s="131"/>
      <c r="F1590" s="127"/>
      <c r="G1590" s="127"/>
      <c r="H1590" s="54"/>
      <c r="I1590" s="138"/>
    </row>
    <row r="1591" spans="1:9" x14ac:dyDescent="0.3">
      <c r="A1591" s="126"/>
      <c r="B1591" s="126"/>
      <c r="C1591" s="53"/>
      <c r="D1591" s="53"/>
      <c r="E1591" s="131"/>
      <c r="F1591" s="127"/>
      <c r="G1591" s="127"/>
      <c r="H1591" s="54"/>
      <c r="I1591" s="138"/>
    </row>
    <row r="1592" spans="1:9" x14ac:dyDescent="0.3">
      <c r="A1592" s="126"/>
      <c r="B1592" s="126"/>
      <c r="C1592" s="53"/>
      <c r="D1592" s="53"/>
      <c r="E1592" s="131"/>
      <c r="F1592" s="127"/>
      <c r="G1592" s="127"/>
      <c r="H1592" s="54"/>
      <c r="I1592" s="138"/>
    </row>
    <row r="1593" spans="1:9" x14ac:dyDescent="0.3">
      <c r="A1593" s="126"/>
      <c r="B1593" s="126"/>
      <c r="C1593" s="53"/>
      <c r="D1593" s="53"/>
      <c r="E1593" s="131"/>
      <c r="F1593" s="127"/>
      <c r="G1593" s="127"/>
      <c r="H1593" s="54"/>
      <c r="I1593" s="138"/>
    </row>
    <row r="1594" spans="1:9" x14ac:dyDescent="0.3">
      <c r="A1594" s="126"/>
      <c r="B1594" s="126"/>
      <c r="C1594" s="53"/>
      <c r="D1594" s="53"/>
      <c r="E1594" s="131"/>
      <c r="F1594" s="127"/>
      <c r="G1594" s="127"/>
      <c r="H1594" s="54"/>
      <c r="I1594" s="138"/>
    </row>
    <row r="1595" spans="1:9" x14ac:dyDescent="0.3">
      <c r="A1595" s="126"/>
      <c r="B1595" s="126"/>
      <c r="C1595" s="53"/>
      <c r="D1595" s="53"/>
      <c r="E1595" s="131"/>
      <c r="F1595" s="127"/>
      <c r="G1595" s="127"/>
      <c r="H1595" s="54"/>
      <c r="I1595" s="138"/>
    </row>
    <row r="1596" spans="1:9" x14ac:dyDescent="0.3">
      <c r="A1596" s="126"/>
      <c r="B1596" s="126"/>
      <c r="C1596" s="53"/>
      <c r="D1596" s="53"/>
      <c r="E1596" s="131"/>
      <c r="F1596" s="127"/>
      <c r="G1596" s="127"/>
      <c r="H1596" s="54"/>
      <c r="I1596" s="138"/>
    </row>
    <row r="1597" spans="1:9" x14ac:dyDescent="0.3">
      <c r="A1597" s="126"/>
      <c r="B1597" s="126"/>
      <c r="C1597" s="53"/>
      <c r="D1597" s="53"/>
      <c r="E1597" s="131"/>
      <c r="F1597" s="127"/>
      <c r="G1597" s="127"/>
      <c r="H1597" s="54"/>
      <c r="I1597" s="138"/>
    </row>
    <row r="1598" spans="1:9" x14ac:dyDescent="0.3">
      <c r="A1598" s="126"/>
      <c r="B1598" s="126"/>
      <c r="C1598" s="53"/>
      <c r="D1598" s="53"/>
      <c r="E1598" s="131"/>
      <c r="F1598" s="127"/>
      <c r="G1598" s="127"/>
      <c r="H1598" s="54"/>
      <c r="I1598" s="138"/>
    </row>
    <row r="1599" spans="1:9" x14ac:dyDescent="0.3">
      <c r="A1599" s="126"/>
      <c r="B1599" s="126"/>
      <c r="C1599" s="53"/>
      <c r="D1599" s="53"/>
      <c r="E1599" s="131"/>
      <c r="F1599" s="127"/>
      <c r="G1599" s="127"/>
      <c r="H1599" s="54"/>
      <c r="I1599" s="138"/>
    </row>
    <row r="1600" spans="1:9" x14ac:dyDescent="0.3">
      <c r="A1600" s="126"/>
      <c r="B1600" s="126"/>
      <c r="C1600" s="53"/>
      <c r="D1600" s="53"/>
      <c r="E1600" s="131"/>
      <c r="F1600" s="127"/>
      <c r="G1600" s="127"/>
      <c r="H1600" s="54"/>
      <c r="I1600" s="138"/>
    </row>
    <row r="1601" spans="1:9" x14ac:dyDescent="0.3">
      <c r="A1601" s="126"/>
      <c r="B1601" s="126"/>
      <c r="C1601" s="53"/>
      <c r="D1601" s="53"/>
      <c r="E1601" s="131"/>
      <c r="F1601" s="127"/>
      <c r="G1601" s="127"/>
      <c r="H1601" s="54"/>
      <c r="I1601" s="138"/>
    </row>
    <row r="1602" spans="1:9" x14ac:dyDescent="0.3">
      <c r="A1602" s="126"/>
      <c r="B1602" s="126"/>
      <c r="C1602" s="53"/>
      <c r="D1602" s="53"/>
      <c r="E1602" s="131"/>
      <c r="F1602" s="127"/>
      <c r="G1602" s="127"/>
      <c r="H1602" s="54"/>
      <c r="I1602" s="138"/>
    </row>
    <row r="1603" spans="1:9" x14ac:dyDescent="0.3">
      <c r="A1603" s="126"/>
      <c r="B1603" s="126"/>
      <c r="C1603" s="53"/>
      <c r="D1603" s="53"/>
      <c r="E1603" s="131"/>
      <c r="F1603" s="127"/>
      <c r="G1603" s="127"/>
      <c r="H1603" s="54"/>
      <c r="I1603" s="138"/>
    </row>
    <row r="1604" spans="1:9" x14ac:dyDescent="0.3">
      <c r="A1604" s="126"/>
      <c r="B1604" s="126"/>
      <c r="C1604" s="53"/>
      <c r="D1604" s="53"/>
      <c r="E1604" s="131"/>
      <c r="F1604" s="127"/>
      <c r="G1604" s="127"/>
      <c r="H1604" s="54"/>
      <c r="I1604" s="138"/>
    </row>
    <row r="1605" spans="1:9" x14ac:dyDescent="0.3">
      <c r="A1605" s="126"/>
      <c r="B1605" s="126"/>
      <c r="C1605" s="53"/>
      <c r="D1605" s="53"/>
      <c r="E1605" s="131"/>
      <c r="F1605" s="127"/>
      <c r="G1605" s="127"/>
      <c r="H1605" s="54"/>
      <c r="I1605" s="138"/>
    </row>
    <row r="1606" spans="1:9" x14ac:dyDescent="0.3">
      <c r="A1606" s="126"/>
      <c r="B1606" s="126"/>
      <c r="C1606" s="53"/>
      <c r="D1606" s="53"/>
      <c r="E1606" s="131"/>
      <c r="F1606" s="127"/>
      <c r="G1606" s="127"/>
      <c r="H1606" s="54"/>
      <c r="I1606" s="138"/>
    </row>
    <row r="1607" spans="1:9" x14ac:dyDescent="0.3">
      <c r="A1607" s="126"/>
      <c r="B1607" s="126"/>
      <c r="C1607" s="53"/>
      <c r="D1607" s="53"/>
      <c r="E1607" s="131"/>
      <c r="F1607" s="127"/>
      <c r="G1607" s="127"/>
      <c r="H1607" s="54"/>
      <c r="I1607" s="138"/>
    </row>
    <row r="1608" spans="1:9" x14ac:dyDescent="0.3">
      <c r="A1608" s="126"/>
      <c r="B1608" s="126"/>
      <c r="C1608" s="53"/>
      <c r="D1608" s="53"/>
      <c r="E1608" s="131"/>
      <c r="F1608" s="127"/>
      <c r="G1608" s="127"/>
      <c r="H1608" s="54"/>
      <c r="I1608" s="138"/>
    </row>
    <row r="1609" spans="1:9" x14ac:dyDescent="0.3">
      <c r="A1609" s="126"/>
      <c r="B1609" s="126"/>
      <c r="C1609" s="53"/>
      <c r="D1609" s="53"/>
      <c r="E1609" s="131"/>
      <c r="F1609" s="127"/>
      <c r="G1609" s="127"/>
      <c r="H1609" s="54"/>
      <c r="I1609" s="138"/>
    </row>
    <row r="1610" spans="1:9" x14ac:dyDescent="0.3">
      <c r="A1610" s="126"/>
      <c r="B1610" s="126"/>
      <c r="C1610" s="53"/>
      <c r="D1610" s="53"/>
      <c r="E1610" s="131"/>
      <c r="F1610" s="127"/>
      <c r="G1610" s="127"/>
      <c r="H1610" s="54"/>
      <c r="I1610" s="138"/>
    </row>
    <row r="1611" spans="1:9" x14ac:dyDescent="0.3">
      <c r="A1611" s="126"/>
      <c r="B1611" s="126"/>
      <c r="C1611" s="53"/>
      <c r="D1611" s="53"/>
      <c r="E1611" s="131"/>
      <c r="F1611" s="127"/>
      <c r="G1611" s="127"/>
      <c r="H1611" s="54"/>
      <c r="I1611" s="138"/>
    </row>
    <row r="1612" spans="1:9" x14ac:dyDescent="0.3">
      <c r="A1612" s="126"/>
      <c r="B1612" s="126"/>
      <c r="C1612" s="53"/>
      <c r="D1612" s="53"/>
      <c r="E1612" s="131"/>
      <c r="F1612" s="127"/>
      <c r="G1612" s="127"/>
      <c r="H1612" s="54"/>
      <c r="I1612" s="138"/>
    </row>
    <row r="1613" spans="1:9" x14ac:dyDescent="0.3">
      <c r="A1613" s="126"/>
      <c r="B1613" s="126"/>
      <c r="C1613" s="53"/>
      <c r="D1613" s="53"/>
      <c r="E1613" s="131"/>
      <c r="F1613" s="127"/>
      <c r="G1613" s="127"/>
      <c r="H1613" s="54"/>
      <c r="I1613" s="138"/>
    </row>
    <row r="1614" spans="1:9" x14ac:dyDescent="0.3">
      <c r="A1614" s="126"/>
      <c r="B1614" s="126"/>
      <c r="C1614" s="53"/>
      <c r="D1614" s="53"/>
      <c r="E1614" s="131"/>
      <c r="F1614" s="127"/>
      <c r="G1614" s="127"/>
      <c r="H1614" s="54"/>
      <c r="I1614" s="138"/>
    </row>
    <row r="1615" spans="1:9" x14ac:dyDescent="0.3">
      <c r="A1615" s="126"/>
      <c r="B1615" s="126"/>
      <c r="C1615" s="53"/>
      <c r="D1615" s="53"/>
      <c r="E1615" s="131"/>
      <c r="F1615" s="127"/>
      <c r="G1615" s="127"/>
      <c r="H1615" s="54"/>
      <c r="I1615" s="138"/>
    </row>
    <row r="1616" spans="1:9" x14ac:dyDescent="0.3">
      <c r="A1616" s="126"/>
      <c r="B1616" s="126"/>
      <c r="C1616" s="53"/>
      <c r="D1616" s="53"/>
      <c r="E1616" s="131"/>
      <c r="F1616" s="127"/>
      <c r="G1616" s="127"/>
      <c r="H1616" s="54"/>
      <c r="I1616" s="138"/>
    </row>
    <row r="1617" spans="1:9" x14ac:dyDescent="0.3">
      <c r="A1617" s="126"/>
      <c r="B1617" s="126"/>
      <c r="C1617" s="53"/>
      <c r="D1617" s="53"/>
      <c r="E1617" s="131"/>
      <c r="F1617" s="127"/>
      <c r="G1617" s="127"/>
      <c r="H1617" s="54"/>
      <c r="I1617" s="138"/>
    </row>
    <row r="1618" spans="1:9" x14ac:dyDescent="0.3">
      <c r="A1618" s="126"/>
      <c r="B1618" s="126"/>
      <c r="C1618" s="53"/>
      <c r="D1618" s="53"/>
      <c r="E1618" s="131"/>
      <c r="F1618" s="127"/>
      <c r="G1618" s="127"/>
      <c r="H1618" s="54"/>
      <c r="I1618" s="138"/>
    </row>
    <row r="1619" spans="1:9" x14ac:dyDescent="0.3">
      <c r="A1619" s="126"/>
      <c r="B1619" s="126"/>
      <c r="C1619" s="53"/>
      <c r="D1619" s="53"/>
      <c r="E1619" s="131"/>
      <c r="F1619" s="127"/>
      <c r="G1619" s="127"/>
      <c r="H1619" s="54"/>
      <c r="I1619" s="138"/>
    </row>
    <row r="1620" spans="1:9" x14ac:dyDescent="0.3">
      <c r="A1620" s="126"/>
      <c r="B1620" s="126"/>
      <c r="C1620" s="53"/>
      <c r="D1620" s="53"/>
      <c r="E1620" s="131"/>
      <c r="F1620" s="127"/>
      <c r="G1620" s="127"/>
      <c r="H1620" s="54"/>
      <c r="I1620" s="138"/>
    </row>
    <row r="1621" spans="1:9" x14ac:dyDescent="0.3">
      <c r="A1621" s="126"/>
      <c r="B1621" s="126"/>
      <c r="C1621" s="53"/>
      <c r="D1621" s="53"/>
      <c r="E1621" s="131"/>
      <c r="F1621" s="127"/>
      <c r="G1621" s="127"/>
      <c r="H1621" s="54"/>
      <c r="I1621" s="138"/>
    </row>
    <row r="1622" spans="1:9" x14ac:dyDescent="0.3">
      <c r="A1622" s="126"/>
      <c r="B1622" s="126"/>
      <c r="C1622" s="53"/>
      <c r="D1622" s="53"/>
      <c r="E1622" s="131"/>
      <c r="F1622" s="127"/>
      <c r="G1622" s="127"/>
      <c r="H1622" s="54"/>
      <c r="I1622" s="138"/>
    </row>
    <row r="1623" spans="1:9" x14ac:dyDescent="0.3">
      <c r="A1623" s="126"/>
      <c r="B1623" s="126"/>
      <c r="C1623" s="53"/>
      <c r="D1623" s="53"/>
      <c r="E1623" s="131"/>
      <c r="F1623" s="127"/>
      <c r="G1623" s="127"/>
      <c r="H1623" s="54"/>
      <c r="I1623" s="138"/>
    </row>
    <row r="1624" spans="1:9" x14ac:dyDescent="0.3">
      <c r="A1624" s="126"/>
      <c r="B1624" s="126"/>
      <c r="C1624" s="53"/>
      <c r="D1624" s="53"/>
      <c r="E1624" s="131"/>
      <c r="F1624" s="127"/>
      <c r="G1624" s="127"/>
      <c r="H1624" s="54"/>
      <c r="I1624" s="138"/>
    </row>
    <row r="1625" spans="1:9" x14ac:dyDescent="0.3">
      <c r="A1625" s="126"/>
      <c r="B1625" s="126"/>
      <c r="C1625" s="53"/>
      <c r="D1625" s="53"/>
      <c r="E1625" s="131"/>
      <c r="F1625" s="127"/>
      <c r="G1625" s="127"/>
      <c r="H1625" s="54"/>
      <c r="I1625" s="138"/>
    </row>
    <row r="1626" spans="1:9" x14ac:dyDescent="0.3">
      <c r="A1626" s="126"/>
      <c r="B1626" s="126"/>
      <c r="C1626" s="53"/>
      <c r="D1626" s="53"/>
      <c r="E1626" s="131"/>
      <c r="F1626" s="127"/>
      <c r="G1626" s="127"/>
      <c r="H1626" s="54"/>
      <c r="I1626" s="138"/>
    </row>
    <row r="1627" spans="1:9" x14ac:dyDescent="0.3">
      <c r="A1627" s="126"/>
      <c r="B1627" s="126"/>
      <c r="C1627" s="53"/>
      <c r="D1627" s="53"/>
      <c r="E1627" s="131"/>
      <c r="F1627" s="127"/>
      <c r="G1627" s="127"/>
      <c r="H1627" s="54"/>
      <c r="I1627" s="138"/>
    </row>
    <row r="1628" spans="1:9" x14ac:dyDescent="0.3">
      <c r="A1628" s="126"/>
      <c r="B1628" s="126"/>
      <c r="C1628" s="53"/>
      <c r="D1628" s="53"/>
      <c r="E1628" s="131"/>
      <c r="F1628" s="127"/>
      <c r="G1628" s="127"/>
      <c r="H1628" s="54"/>
      <c r="I1628" s="138"/>
    </row>
    <row r="1629" spans="1:9" x14ac:dyDescent="0.3">
      <c r="A1629" s="126"/>
      <c r="B1629" s="126"/>
      <c r="C1629" s="53"/>
      <c r="D1629" s="53"/>
      <c r="E1629" s="131"/>
      <c r="F1629" s="127"/>
      <c r="G1629" s="127"/>
      <c r="H1629" s="54"/>
      <c r="I1629" s="138"/>
    </row>
    <row r="1630" spans="1:9" x14ac:dyDescent="0.3">
      <c r="A1630" s="126"/>
      <c r="B1630" s="126"/>
      <c r="C1630" s="53"/>
      <c r="D1630" s="53"/>
      <c r="E1630" s="131"/>
      <c r="F1630" s="127"/>
      <c r="G1630" s="127"/>
      <c r="H1630" s="54"/>
      <c r="I1630" s="138"/>
    </row>
    <row r="1631" spans="1:9" x14ac:dyDescent="0.3">
      <c r="A1631" s="126"/>
      <c r="B1631" s="126"/>
      <c r="C1631" s="53"/>
      <c r="D1631" s="53"/>
      <c r="E1631" s="131"/>
      <c r="F1631" s="127"/>
      <c r="G1631" s="127"/>
      <c r="H1631" s="54"/>
      <c r="I1631" s="138"/>
    </row>
    <row r="1632" spans="1:9" x14ac:dyDescent="0.3">
      <c r="A1632" s="126"/>
      <c r="B1632" s="126"/>
      <c r="C1632" s="53"/>
      <c r="D1632" s="53"/>
      <c r="E1632" s="131"/>
      <c r="F1632" s="127"/>
      <c r="G1632" s="127"/>
      <c r="H1632" s="54"/>
      <c r="I1632" s="138"/>
    </row>
    <row r="1633" spans="1:9" x14ac:dyDescent="0.3">
      <c r="A1633" s="126"/>
      <c r="B1633" s="126"/>
      <c r="C1633" s="53"/>
      <c r="D1633" s="53"/>
      <c r="E1633" s="131"/>
      <c r="F1633" s="127"/>
      <c r="G1633" s="127"/>
      <c r="H1633" s="54"/>
      <c r="I1633" s="138"/>
    </row>
    <row r="1634" spans="1:9" x14ac:dyDescent="0.3">
      <c r="A1634" s="126"/>
      <c r="B1634" s="126"/>
      <c r="C1634" s="53"/>
      <c r="D1634" s="53"/>
      <c r="E1634" s="131"/>
      <c r="F1634" s="127"/>
      <c r="G1634" s="127"/>
      <c r="H1634" s="54"/>
      <c r="I1634" s="138"/>
    </row>
    <row r="1635" spans="1:9" x14ac:dyDescent="0.3">
      <c r="A1635" s="126"/>
      <c r="B1635" s="126"/>
      <c r="C1635" s="53"/>
      <c r="D1635" s="53"/>
      <c r="E1635" s="131"/>
      <c r="F1635" s="127"/>
      <c r="G1635" s="127"/>
      <c r="H1635" s="54"/>
      <c r="I1635" s="138"/>
    </row>
    <row r="1636" spans="1:9" x14ac:dyDescent="0.3">
      <c r="A1636" s="126"/>
      <c r="B1636" s="126"/>
      <c r="C1636" s="53"/>
      <c r="D1636" s="53"/>
      <c r="E1636" s="131"/>
      <c r="F1636" s="127"/>
      <c r="G1636" s="127"/>
      <c r="H1636" s="54"/>
      <c r="I1636" s="138"/>
    </row>
    <row r="1637" spans="1:9" x14ac:dyDescent="0.3">
      <c r="A1637" s="126"/>
      <c r="B1637" s="126"/>
      <c r="C1637" s="53"/>
      <c r="D1637" s="53"/>
      <c r="E1637" s="131"/>
      <c r="F1637" s="127"/>
      <c r="G1637" s="127"/>
      <c r="H1637" s="54"/>
      <c r="I1637" s="138"/>
    </row>
    <row r="1638" spans="1:9" x14ac:dyDescent="0.3">
      <c r="A1638" s="126"/>
      <c r="B1638" s="126"/>
      <c r="C1638" s="53"/>
      <c r="D1638" s="53"/>
      <c r="E1638" s="131"/>
      <c r="F1638" s="127"/>
      <c r="G1638" s="127"/>
      <c r="H1638" s="54"/>
      <c r="I1638" s="138"/>
    </row>
    <row r="1639" spans="1:9" x14ac:dyDescent="0.3">
      <c r="A1639" s="126"/>
      <c r="B1639" s="126"/>
      <c r="C1639" s="53"/>
      <c r="D1639" s="53"/>
      <c r="E1639" s="131"/>
      <c r="F1639" s="127"/>
      <c r="G1639" s="127"/>
      <c r="H1639" s="54"/>
      <c r="I1639" s="138"/>
    </row>
    <row r="1640" spans="1:9" x14ac:dyDescent="0.3">
      <c r="A1640" s="126"/>
      <c r="B1640" s="126"/>
      <c r="C1640" s="53"/>
      <c r="D1640" s="53"/>
      <c r="E1640" s="131"/>
      <c r="F1640" s="127"/>
      <c r="G1640" s="127"/>
      <c r="H1640" s="54"/>
      <c r="I1640" s="138"/>
    </row>
    <row r="1641" spans="1:9" x14ac:dyDescent="0.3">
      <c r="A1641" s="126"/>
      <c r="B1641" s="126"/>
      <c r="C1641" s="53"/>
      <c r="D1641" s="53"/>
      <c r="E1641" s="131"/>
      <c r="F1641" s="127"/>
      <c r="G1641" s="127"/>
      <c r="H1641" s="54"/>
      <c r="I1641" s="138"/>
    </row>
    <row r="1642" spans="1:9" x14ac:dyDescent="0.3">
      <c r="A1642" s="126"/>
      <c r="B1642" s="126"/>
      <c r="C1642" s="53"/>
      <c r="D1642" s="53"/>
      <c r="E1642" s="131"/>
      <c r="F1642" s="127"/>
      <c r="G1642" s="127"/>
      <c r="H1642" s="54"/>
      <c r="I1642" s="138"/>
    </row>
    <row r="1643" spans="1:9" x14ac:dyDescent="0.3">
      <c r="A1643" s="126"/>
      <c r="B1643" s="126"/>
      <c r="C1643" s="53"/>
      <c r="D1643" s="53"/>
      <c r="E1643" s="131"/>
      <c r="F1643" s="127"/>
      <c r="G1643" s="127"/>
      <c r="H1643" s="54"/>
      <c r="I1643" s="138"/>
    </row>
    <row r="1644" spans="1:9" x14ac:dyDescent="0.3">
      <c r="A1644" s="126"/>
      <c r="B1644" s="126"/>
      <c r="C1644" s="53"/>
      <c r="D1644" s="53"/>
      <c r="E1644" s="131"/>
      <c r="F1644" s="127"/>
      <c r="G1644" s="127"/>
      <c r="H1644" s="54"/>
      <c r="I1644" s="138"/>
    </row>
    <row r="1645" spans="1:9" x14ac:dyDescent="0.3">
      <c r="A1645" s="126"/>
      <c r="B1645" s="126"/>
      <c r="C1645" s="53"/>
      <c r="D1645" s="53"/>
      <c r="E1645" s="131"/>
      <c r="F1645" s="127"/>
      <c r="G1645" s="127"/>
      <c r="H1645" s="54"/>
      <c r="I1645" s="138"/>
    </row>
    <row r="1646" spans="1:9" x14ac:dyDescent="0.3">
      <c r="A1646" s="126"/>
      <c r="B1646" s="126"/>
      <c r="C1646" s="53"/>
      <c r="D1646" s="53"/>
      <c r="E1646" s="131"/>
      <c r="F1646" s="127"/>
      <c r="G1646" s="127"/>
      <c r="H1646" s="54"/>
      <c r="I1646" s="138"/>
    </row>
    <row r="1647" spans="1:9" x14ac:dyDescent="0.3">
      <c r="A1647" s="126"/>
      <c r="B1647" s="126"/>
      <c r="C1647" s="53"/>
      <c r="D1647" s="53"/>
      <c r="E1647" s="131"/>
      <c r="F1647" s="127"/>
      <c r="G1647" s="127"/>
      <c r="H1647" s="54"/>
      <c r="I1647" s="138"/>
    </row>
    <row r="1648" spans="1:9" x14ac:dyDescent="0.3">
      <c r="A1648" s="126"/>
      <c r="B1648" s="126"/>
      <c r="C1648" s="53"/>
      <c r="D1648" s="53"/>
      <c r="E1648" s="131"/>
      <c r="F1648" s="127"/>
      <c r="G1648" s="127"/>
      <c r="H1648" s="54"/>
      <c r="I1648" s="138"/>
    </row>
    <row r="1649" spans="1:9" x14ac:dyDescent="0.3">
      <c r="A1649" s="126"/>
      <c r="B1649" s="126"/>
      <c r="C1649" s="53"/>
      <c r="D1649" s="53"/>
      <c r="E1649" s="131"/>
      <c r="F1649" s="127"/>
      <c r="G1649" s="127"/>
      <c r="H1649" s="54"/>
      <c r="I1649" s="138"/>
    </row>
    <row r="1650" spans="1:9" x14ac:dyDescent="0.3">
      <c r="A1650" s="126"/>
      <c r="B1650" s="126"/>
      <c r="C1650" s="53"/>
      <c r="D1650" s="53"/>
      <c r="E1650" s="131"/>
      <c r="F1650" s="127"/>
      <c r="G1650" s="127"/>
      <c r="H1650" s="54"/>
      <c r="I1650" s="138"/>
    </row>
    <row r="1651" spans="1:9" x14ac:dyDescent="0.3">
      <c r="A1651" s="126"/>
      <c r="B1651" s="126"/>
      <c r="C1651" s="53"/>
      <c r="D1651" s="53"/>
      <c r="E1651" s="131"/>
      <c r="F1651" s="127"/>
      <c r="G1651" s="127"/>
      <c r="H1651" s="54"/>
      <c r="I1651" s="138"/>
    </row>
    <row r="1652" spans="1:9" x14ac:dyDescent="0.3">
      <c r="A1652" s="126"/>
      <c r="B1652" s="126"/>
      <c r="C1652" s="53"/>
      <c r="D1652" s="53"/>
      <c r="E1652" s="131"/>
      <c r="F1652" s="127"/>
      <c r="G1652" s="127"/>
      <c r="H1652" s="54"/>
      <c r="I1652" s="138"/>
    </row>
    <row r="1653" spans="1:9" x14ac:dyDescent="0.3">
      <c r="A1653" s="126"/>
      <c r="B1653" s="126"/>
      <c r="C1653" s="53"/>
      <c r="D1653" s="53"/>
      <c r="E1653" s="131"/>
      <c r="F1653" s="127"/>
      <c r="G1653" s="127"/>
      <c r="H1653" s="54"/>
      <c r="I1653" s="138"/>
    </row>
    <row r="1654" spans="1:9" x14ac:dyDescent="0.3">
      <c r="A1654" s="126"/>
      <c r="B1654" s="126"/>
      <c r="C1654" s="53"/>
      <c r="D1654" s="53"/>
      <c r="E1654" s="131"/>
      <c r="F1654" s="127"/>
      <c r="G1654" s="127"/>
      <c r="H1654" s="54"/>
      <c r="I1654" s="138"/>
    </row>
    <row r="1655" spans="1:9" x14ac:dyDescent="0.3">
      <c r="A1655" s="126"/>
      <c r="B1655" s="126"/>
      <c r="C1655" s="53"/>
      <c r="D1655" s="53"/>
      <c r="E1655" s="131"/>
      <c r="F1655" s="127"/>
      <c r="G1655" s="127"/>
      <c r="H1655" s="54"/>
      <c r="I1655" s="138"/>
    </row>
    <row r="1656" spans="1:9" x14ac:dyDescent="0.3">
      <c r="A1656" s="126"/>
      <c r="B1656" s="126"/>
      <c r="C1656" s="53"/>
      <c r="D1656" s="53"/>
      <c r="E1656" s="131"/>
      <c r="F1656" s="127"/>
      <c r="G1656" s="127"/>
      <c r="H1656" s="54"/>
      <c r="I1656" s="138"/>
    </row>
    <row r="1657" spans="1:9" x14ac:dyDescent="0.3">
      <c r="A1657" s="126"/>
      <c r="B1657" s="126"/>
      <c r="C1657" s="53"/>
      <c r="D1657" s="53"/>
      <c r="E1657" s="131"/>
      <c r="F1657" s="127"/>
      <c r="G1657" s="127"/>
      <c r="H1657" s="54"/>
      <c r="I1657" s="138"/>
    </row>
    <row r="1658" spans="1:9" x14ac:dyDescent="0.3">
      <c r="A1658" s="126"/>
      <c r="B1658" s="126"/>
      <c r="C1658" s="53"/>
      <c r="D1658" s="53"/>
      <c r="E1658" s="131"/>
      <c r="F1658" s="127"/>
      <c r="G1658" s="127"/>
      <c r="H1658" s="54"/>
      <c r="I1658" s="138"/>
    </row>
    <row r="1659" spans="1:9" x14ac:dyDescent="0.3">
      <c r="A1659" s="126"/>
      <c r="B1659" s="126"/>
      <c r="C1659" s="53"/>
      <c r="D1659" s="53"/>
      <c r="E1659" s="131"/>
      <c r="F1659" s="127"/>
      <c r="G1659" s="127"/>
      <c r="H1659" s="54"/>
      <c r="I1659" s="138"/>
    </row>
    <row r="1660" spans="1:9" x14ac:dyDescent="0.3">
      <c r="A1660" s="126"/>
      <c r="B1660" s="126"/>
      <c r="C1660" s="53"/>
      <c r="D1660" s="53"/>
      <c r="E1660" s="131"/>
      <c r="F1660" s="127"/>
      <c r="G1660" s="127"/>
      <c r="H1660" s="54"/>
      <c r="I1660" s="138"/>
    </row>
    <row r="1661" spans="1:9" x14ac:dyDescent="0.3">
      <c r="A1661" s="126"/>
      <c r="B1661" s="126"/>
      <c r="C1661" s="53"/>
      <c r="D1661" s="53"/>
      <c r="E1661" s="131"/>
      <c r="F1661" s="127"/>
      <c r="G1661" s="127"/>
      <c r="H1661" s="54"/>
      <c r="I1661" s="138"/>
    </row>
    <row r="1662" spans="1:9" x14ac:dyDescent="0.3">
      <c r="A1662" s="126"/>
      <c r="B1662" s="126"/>
      <c r="C1662" s="53"/>
      <c r="D1662" s="53"/>
      <c r="E1662" s="131"/>
      <c r="F1662" s="127"/>
      <c r="G1662" s="127"/>
      <c r="H1662" s="54"/>
      <c r="I1662" s="138"/>
    </row>
    <row r="1663" spans="1:9" x14ac:dyDescent="0.3">
      <c r="A1663" s="126"/>
      <c r="B1663" s="126"/>
      <c r="C1663" s="53"/>
      <c r="D1663" s="53"/>
      <c r="E1663" s="131"/>
      <c r="F1663" s="127"/>
      <c r="G1663" s="127"/>
      <c r="H1663" s="54"/>
      <c r="I1663" s="138"/>
    </row>
    <row r="1664" spans="1:9" x14ac:dyDescent="0.3">
      <c r="A1664" s="126"/>
      <c r="B1664" s="126"/>
      <c r="C1664" s="53"/>
      <c r="D1664" s="53"/>
      <c r="E1664" s="131"/>
      <c r="F1664" s="127"/>
      <c r="G1664" s="127"/>
      <c r="H1664" s="54"/>
      <c r="I1664" s="138"/>
    </row>
    <row r="1665" spans="1:9" x14ac:dyDescent="0.3">
      <c r="A1665" s="126"/>
      <c r="B1665" s="126"/>
      <c r="C1665" s="53"/>
      <c r="D1665" s="53"/>
      <c r="E1665" s="131"/>
      <c r="F1665" s="127"/>
      <c r="G1665" s="127"/>
      <c r="H1665" s="54"/>
      <c r="I1665" s="138"/>
    </row>
    <row r="1666" spans="1:9" x14ac:dyDescent="0.3">
      <c r="A1666" s="126"/>
      <c r="B1666" s="126"/>
      <c r="C1666" s="53"/>
      <c r="D1666" s="53"/>
      <c r="E1666" s="131"/>
      <c r="F1666" s="127"/>
      <c r="G1666" s="127"/>
      <c r="H1666" s="54"/>
      <c r="I1666" s="138"/>
    </row>
    <row r="1667" spans="1:9" x14ac:dyDescent="0.3">
      <c r="A1667" s="126"/>
      <c r="B1667" s="126"/>
      <c r="C1667" s="53"/>
      <c r="D1667" s="53"/>
      <c r="E1667" s="131"/>
      <c r="F1667" s="127"/>
      <c r="G1667" s="127"/>
      <c r="H1667" s="54"/>
      <c r="I1667" s="138"/>
    </row>
    <row r="1668" spans="1:9" x14ac:dyDescent="0.3">
      <c r="A1668" s="126"/>
      <c r="B1668" s="126"/>
      <c r="C1668" s="53"/>
      <c r="D1668" s="53"/>
      <c r="E1668" s="131"/>
      <c r="F1668" s="127"/>
      <c r="G1668" s="127"/>
      <c r="H1668" s="54"/>
      <c r="I1668" s="138"/>
    </row>
    <row r="1669" spans="1:9" x14ac:dyDescent="0.3">
      <c r="A1669" s="126"/>
      <c r="B1669" s="126"/>
      <c r="C1669" s="53"/>
      <c r="D1669" s="53"/>
      <c r="E1669" s="131"/>
      <c r="F1669" s="127"/>
      <c r="G1669" s="127"/>
      <c r="H1669" s="54"/>
      <c r="I1669" s="138"/>
    </row>
    <row r="1670" spans="1:9" x14ac:dyDescent="0.3">
      <c r="A1670" s="126"/>
      <c r="B1670" s="126"/>
      <c r="C1670" s="53"/>
      <c r="D1670" s="53"/>
      <c r="E1670" s="131"/>
      <c r="F1670" s="127"/>
      <c r="G1670" s="127"/>
      <c r="H1670" s="54"/>
      <c r="I1670" s="138"/>
    </row>
    <row r="1671" spans="1:9" x14ac:dyDescent="0.3">
      <c r="A1671" s="126"/>
      <c r="B1671" s="126"/>
      <c r="C1671" s="53"/>
      <c r="D1671" s="53"/>
      <c r="E1671" s="131"/>
      <c r="F1671" s="127"/>
      <c r="G1671" s="127"/>
      <c r="H1671" s="54"/>
      <c r="I1671" s="138"/>
    </row>
    <row r="1672" spans="1:9" x14ac:dyDescent="0.3">
      <c r="A1672" s="126"/>
      <c r="B1672" s="126"/>
      <c r="C1672" s="53"/>
      <c r="D1672" s="53"/>
      <c r="E1672" s="131"/>
      <c r="F1672" s="127"/>
      <c r="G1672" s="127"/>
      <c r="H1672" s="54"/>
      <c r="I1672" s="138"/>
    </row>
    <row r="1673" spans="1:9" x14ac:dyDescent="0.3">
      <c r="A1673" s="126"/>
      <c r="B1673" s="126"/>
      <c r="C1673" s="53"/>
      <c r="D1673" s="53"/>
      <c r="E1673" s="131"/>
      <c r="F1673" s="127"/>
      <c r="G1673" s="127"/>
      <c r="H1673" s="54"/>
      <c r="I1673" s="138"/>
    </row>
    <row r="1674" spans="1:9" x14ac:dyDescent="0.3">
      <c r="A1674" s="126"/>
      <c r="B1674" s="126"/>
      <c r="C1674" s="53"/>
      <c r="D1674" s="53"/>
      <c r="E1674" s="131"/>
      <c r="F1674" s="127"/>
      <c r="G1674" s="127"/>
      <c r="H1674" s="54"/>
      <c r="I1674" s="138"/>
    </row>
    <row r="1675" spans="1:9" x14ac:dyDescent="0.3">
      <c r="A1675" s="126"/>
      <c r="B1675" s="126"/>
      <c r="C1675" s="53"/>
      <c r="D1675" s="53"/>
      <c r="E1675" s="131"/>
      <c r="F1675" s="127"/>
      <c r="G1675" s="127"/>
      <c r="H1675" s="54"/>
      <c r="I1675" s="138"/>
    </row>
    <row r="1676" spans="1:9" x14ac:dyDescent="0.3">
      <c r="A1676" s="126"/>
      <c r="B1676" s="126"/>
      <c r="C1676" s="53"/>
      <c r="D1676" s="53"/>
      <c r="E1676" s="131"/>
      <c r="F1676" s="127"/>
      <c r="G1676" s="127"/>
      <c r="H1676" s="54"/>
      <c r="I1676" s="138"/>
    </row>
    <row r="1677" spans="1:9" x14ac:dyDescent="0.3">
      <c r="A1677" s="126"/>
      <c r="B1677" s="126"/>
      <c r="C1677" s="53"/>
      <c r="D1677" s="53"/>
      <c r="E1677" s="131"/>
      <c r="F1677" s="127"/>
      <c r="G1677" s="127"/>
      <c r="H1677" s="54"/>
      <c r="I1677" s="138"/>
    </row>
    <row r="1678" spans="1:9" x14ac:dyDescent="0.3">
      <c r="A1678" s="126"/>
      <c r="B1678" s="126"/>
      <c r="C1678" s="53"/>
      <c r="D1678" s="53"/>
      <c r="E1678" s="131"/>
      <c r="F1678" s="127"/>
      <c r="G1678" s="127"/>
      <c r="H1678" s="54"/>
      <c r="I1678" s="138"/>
    </row>
    <row r="1679" spans="1:9" x14ac:dyDescent="0.3">
      <c r="A1679" s="126"/>
      <c r="B1679" s="126"/>
      <c r="C1679" s="53"/>
      <c r="D1679" s="53"/>
      <c r="E1679" s="131"/>
      <c r="F1679" s="127"/>
      <c r="G1679" s="127"/>
      <c r="H1679" s="54"/>
      <c r="I1679" s="138"/>
    </row>
    <row r="1680" spans="1:9" x14ac:dyDescent="0.3">
      <c r="A1680" s="126"/>
      <c r="B1680" s="126"/>
      <c r="C1680" s="53"/>
      <c r="D1680" s="53"/>
      <c r="E1680" s="131"/>
      <c r="F1680" s="127"/>
      <c r="G1680" s="127"/>
      <c r="H1680" s="54"/>
      <c r="I1680" s="138"/>
    </row>
    <row r="1681" spans="1:9" x14ac:dyDescent="0.3">
      <c r="A1681" s="126"/>
      <c r="B1681" s="126"/>
      <c r="C1681" s="53"/>
      <c r="D1681" s="53"/>
      <c r="E1681" s="131"/>
      <c r="F1681" s="127"/>
      <c r="G1681" s="127"/>
      <c r="H1681" s="54"/>
      <c r="I1681" s="138"/>
    </row>
    <row r="1682" spans="1:9" x14ac:dyDescent="0.3">
      <c r="A1682" s="126"/>
      <c r="B1682" s="126"/>
      <c r="C1682" s="53"/>
      <c r="D1682" s="53"/>
      <c r="E1682" s="131"/>
      <c r="F1682" s="127"/>
      <c r="G1682" s="127"/>
      <c r="H1682" s="54"/>
      <c r="I1682" s="138"/>
    </row>
    <row r="1683" spans="1:9" x14ac:dyDescent="0.3">
      <c r="A1683" s="126"/>
      <c r="B1683" s="126"/>
      <c r="C1683" s="53"/>
      <c r="D1683" s="53"/>
      <c r="E1683" s="131"/>
      <c r="F1683" s="127"/>
      <c r="G1683" s="127"/>
      <c r="H1683" s="54"/>
      <c r="I1683" s="138"/>
    </row>
    <row r="1684" spans="1:9" x14ac:dyDescent="0.3">
      <c r="A1684" s="126"/>
      <c r="B1684" s="126"/>
      <c r="C1684" s="53"/>
      <c r="D1684" s="53"/>
      <c r="E1684" s="131"/>
      <c r="F1684" s="127"/>
      <c r="G1684" s="127"/>
      <c r="H1684" s="54"/>
      <c r="I1684" s="138"/>
    </row>
    <row r="1685" spans="1:9" x14ac:dyDescent="0.3">
      <c r="A1685" s="126"/>
      <c r="B1685" s="126"/>
      <c r="C1685" s="53"/>
      <c r="D1685" s="53"/>
      <c r="E1685" s="131"/>
      <c r="F1685" s="127"/>
      <c r="G1685" s="127"/>
      <c r="H1685" s="54"/>
      <c r="I1685" s="138"/>
    </row>
    <row r="1686" spans="1:9" x14ac:dyDescent="0.3">
      <c r="A1686" s="126"/>
      <c r="B1686" s="126"/>
      <c r="C1686" s="53"/>
      <c r="D1686" s="53"/>
      <c r="E1686" s="131"/>
      <c r="F1686" s="127"/>
      <c r="G1686" s="127"/>
      <c r="H1686" s="54"/>
      <c r="I1686" s="138"/>
    </row>
    <row r="1687" spans="1:9" x14ac:dyDescent="0.3">
      <c r="A1687" s="126"/>
      <c r="B1687" s="126"/>
      <c r="C1687" s="53"/>
      <c r="D1687" s="53"/>
      <c r="E1687" s="131"/>
      <c r="F1687" s="127"/>
      <c r="G1687" s="127"/>
      <c r="H1687" s="54"/>
      <c r="I1687" s="138"/>
    </row>
    <row r="1688" spans="1:9" x14ac:dyDescent="0.3">
      <c r="A1688" s="126"/>
      <c r="B1688" s="126"/>
      <c r="C1688" s="53"/>
      <c r="D1688" s="53"/>
      <c r="E1688" s="131"/>
      <c r="F1688" s="127"/>
      <c r="G1688" s="127"/>
      <c r="H1688" s="54"/>
      <c r="I1688" s="138"/>
    </row>
    <row r="1689" spans="1:9" x14ac:dyDescent="0.3">
      <c r="A1689" s="126"/>
      <c r="B1689" s="126"/>
      <c r="C1689" s="53"/>
      <c r="D1689" s="53"/>
      <c r="E1689" s="131"/>
      <c r="F1689" s="127"/>
      <c r="G1689" s="127"/>
      <c r="H1689" s="54"/>
      <c r="I1689" s="138"/>
    </row>
    <row r="1690" spans="1:9" x14ac:dyDescent="0.3">
      <c r="A1690" s="126"/>
      <c r="B1690" s="126"/>
      <c r="C1690" s="53"/>
      <c r="D1690" s="53"/>
      <c r="E1690" s="131"/>
      <c r="F1690" s="127"/>
      <c r="G1690" s="127"/>
      <c r="H1690" s="54"/>
      <c r="I1690" s="138"/>
    </row>
    <row r="1691" spans="1:9" x14ac:dyDescent="0.3">
      <c r="A1691" s="126"/>
      <c r="B1691" s="126"/>
      <c r="C1691" s="53"/>
      <c r="D1691" s="53"/>
      <c r="E1691" s="131"/>
      <c r="F1691" s="127"/>
      <c r="G1691" s="127"/>
      <c r="H1691" s="54"/>
      <c r="I1691" s="138"/>
    </row>
    <row r="1692" spans="1:9" x14ac:dyDescent="0.3">
      <c r="A1692" s="126"/>
      <c r="B1692" s="126"/>
      <c r="C1692" s="53"/>
      <c r="D1692" s="53"/>
      <c r="E1692" s="131"/>
      <c r="F1692" s="127"/>
      <c r="G1692" s="127"/>
      <c r="H1692" s="54"/>
      <c r="I1692" s="138"/>
    </row>
    <row r="1693" spans="1:9" x14ac:dyDescent="0.3">
      <c r="A1693" s="126"/>
      <c r="B1693" s="126"/>
      <c r="C1693" s="53"/>
      <c r="D1693" s="53"/>
      <c r="E1693" s="131"/>
      <c r="F1693" s="127"/>
      <c r="G1693" s="127"/>
      <c r="H1693" s="54"/>
      <c r="I1693" s="138"/>
    </row>
    <row r="1694" spans="1:9" x14ac:dyDescent="0.3">
      <c r="A1694" s="126"/>
      <c r="B1694" s="126"/>
      <c r="C1694" s="53"/>
      <c r="D1694" s="53"/>
      <c r="E1694" s="131"/>
      <c r="F1694" s="127"/>
      <c r="G1694" s="127"/>
      <c r="H1694" s="54"/>
      <c r="I1694" s="138"/>
    </row>
    <row r="1695" spans="1:9" x14ac:dyDescent="0.3">
      <c r="A1695" s="126"/>
      <c r="B1695" s="126"/>
      <c r="C1695" s="53"/>
      <c r="D1695" s="53"/>
      <c r="E1695" s="131"/>
      <c r="F1695" s="127"/>
      <c r="G1695" s="127"/>
      <c r="H1695" s="54"/>
      <c r="I1695" s="138"/>
    </row>
    <row r="1696" spans="1:9" x14ac:dyDescent="0.3">
      <c r="A1696" s="126"/>
      <c r="B1696" s="126"/>
      <c r="C1696" s="53"/>
      <c r="D1696" s="53"/>
      <c r="E1696" s="131"/>
      <c r="F1696" s="127"/>
      <c r="G1696" s="127"/>
      <c r="H1696" s="54"/>
      <c r="I1696" s="138"/>
    </row>
    <row r="1697" spans="1:9" x14ac:dyDescent="0.3">
      <c r="A1697" s="126"/>
      <c r="B1697" s="126"/>
      <c r="C1697" s="53"/>
      <c r="D1697" s="53"/>
      <c r="E1697" s="131"/>
      <c r="F1697" s="127"/>
      <c r="G1697" s="127"/>
      <c r="H1697" s="54"/>
      <c r="I1697" s="138"/>
    </row>
    <row r="1698" spans="1:9" x14ac:dyDescent="0.3">
      <c r="A1698" s="126"/>
      <c r="B1698" s="126"/>
      <c r="C1698" s="53"/>
      <c r="D1698" s="53"/>
      <c r="E1698" s="131"/>
      <c r="F1698" s="127"/>
      <c r="G1698" s="127"/>
      <c r="H1698" s="54"/>
      <c r="I1698" s="138"/>
    </row>
    <row r="1699" spans="1:9" x14ac:dyDescent="0.3">
      <c r="A1699" s="126"/>
      <c r="B1699" s="126"/>
      <c r="C1699" s="53"/>
      <c r="D1699" s="53"/>
      <c r="E1699" s="131"/>
      <c r="F1699" s="127"/>
      <c r="G1699" s="127"/>
      <c r="H1699" s="54"/>
      <c r="I1699" s="138"/>
    </row>
    <row r="1700" spans="1:9" x14ac:dyDescent="0.3">
      <c r="A1700" s="126"/>
      <c r="B1700" s="126"/>
      <c r="C1700" s="53"/>
      <c r="D1700" s="53"/>
      <c r="E1700" s="131"/>
      <c r="F1700" s="127"/>
      <c r="G1700" s="127"/>
      <c r="H1700" s="54"/>
      <c r="I1700" s="138"/>
    </row>
    <row r="1701" spans="1:9" x14ac:dyDescent="0.3">
      <c r="A1701" s="126"/>
      <c r="B1701" s="126"/>
      <c r="C1701" s="53"/>
      <c r="D1701" s="53"/>
      <c r="E1701" s="131"/>
      <c r="F1701" s="127"/>
      <c r="G1701" s="127"/>
      <c r="H1701" s="54"/>
      <c r="I1701" s="138"/>
    </row>
    <row r="1702" spans="1:9" x14ac:dyDescent="0.3">
      <c r="A1702" s="126"/>
      <c r="B1702" s="126"/>
      <c r="C1702" s="53"/>
      <c r="D1702" s="53"/>
      <c r="E1702" s="131"/>
      <c r="F1702" s="127"/>
      <c r="G1702" s="127"/>
      <c r="H1702" s="54"/>
      <c r="I1702" s="138"/>
    </row>
    <row r="1703" spans="1:9" x14ac:dyDescent="0.3">
      <c r="A1703" s="126"/>
      <c r="B1703" s="126"/>
      <c r="C1703" s="53"/>
      <c r="D1703" s="53"/>
      <c r="E1703" s="131"/>
      <c r="F1703" s="127"/>
      <c r="G1703" s="127"/>
      <c r="H1703" s="54"/>
      <c r="I1703" s="138"/>
    </row>
    <row r="1704" spans="1:9" x14ac:dyDescent="0.3">
      <c r="A1704" s="126"/>
      <c r="B1704" s="126"/>
      <c r="C1704" s="53"/>
      <c r="D1704" s="53"/>
      <c r="E1704" s="131"/>
      <c r="F1704" s="127"/>
      <c r="G1704" s="127"/>
      <c r="H1704" s="54"/>
      <c r="I1704" s="138"/>
    </row>
    <row r="1705" spans="1:9" x14ac:dyDescent="0.3">
      <c r="A1705" s="126"/>
      <c r="B1705" s="126"/>
      <c r="C1705" s="53"/>
      <c r="D1705" s="53"/>
      <c r="E1705" s="131"/>
      <c r="F1705" s="127"/>
      <c r="G1705" s="127"/>
      <c r="H1705" s="54"/>
      <c r="I1705" s="138"/>
    </row>
    <row r="1706" spans="1:9" x14ac:dyDescent="0.3">
      <c r="A1706" s="126"/>
      <c r="B1706" s="126"/>
      <c r="C1706" s="53"/>
      <c r="D1706" s="53"/>
      <c r="E1706" s="131"/>
      <c r="F1706" s="127"/>
      <c r="G1706" s="127"/>
      <c r="H1706" s="54"/>
      <c r="I1706" s="138"/>
    </row>
    <row r="1707" spans="1:9" x14ac:dyDescent="0.3">
      <c r="A1707" s="126"/>
      <c r="B1707" s="126"/>
      <c r="C1707" s="53"/>
      <c r="D1707" s="53"/>
      <c r="E1707" s="131"/>
      <c r="F1707" s="127"/>
      <c r="G1707" s="127"/>
      <c r="H1707" s="54"/>
      <c r="I1707" s="138"/>
    </row>
    <row r="1708" spans="1:9" x14ac:dyDescent="0.3">
      <c r="A1708" s="126"/>
      <c r="B1708" s="126"/>
      <c r="C1708" s="53"/>
      <c r="D1708" s="53"/>
      <c r="E1708" s="131"/>
      <c r="F1708" s="127"/>
      <c r="G1708" s="127"/>
      <c r="H1708" s="54"/>
      <c r="I1708" s="138"/>
    </row>
    <row r="1709" spans="1:9" x14ac:dyDescent="0.3">
      <c r="A1709" s="126"/>
      <c r="B1709" s="126"/>
      <c r="C1709" s="53"/>
      <c r="D1709" s="53"/>
      <c r="E1709" s="131"/>
      <c r="F1709" s="127"/>
      <c r="G1709" s="127"/>
      <c r="H1709" s="54"/>
      <c r="I1709" s="138"/>
    </row>
    <row r="1710" spans="1:9" x14ac:dyDescent="0.3">
      <c r="A1710" s="126"/>
      <c r="B1710" s="126"/>
      <c r="C1710" s="53"/>
      <c r="D1710" s="53"/>
      <c r="E1710" s="131"/>
      <c r="F1710" s="127"/>
      <c r="G1710" s="127"/>
      <c r="H1710" s="54"/>
      <c r="I1710" s="138"/>
    </row>
    <row r="1711" spans="1:9" x14ac:dyDescent="0.3">
      <c r="A1711" s="126"/>
      <c r="B1711" s="126"/>
      <c r="C1711" s="53"/>
      <c r="D1711" s="53"/>
      <c r="E1711" s="131"/>
      <c r="F1711" s="127"/>
      <c r="G1711" s="127"/>
      <c r="H1711" s="54"/>
      <c r="I1711" s="138"/>
    </row>
    <row r="1712" spans="1:9" x14ac:dyDescent="0.3">
      <c r="A1712" s="126"/>
      <c r="B1712" s="126"/>
      <c r="C1712" s="53"/>
      <c r="D1712" s="53"/>
      <c r="E1712" s="131"/>
      <c r="F1712" s="127"/>
      <c r="G1712" s="127"/>
      <c r="H1712" s="54"/>
      <c r="I1712" s="138"/>
    </row>
    <row r="1713" spans="1:9" x14ac:dyDescent="0.3">
      <c r="A1713" s="126"/>
      <c r="B1713" s="126"/>
      <c r="C1713" s="53"/>
      <c r="D1713" s="53"/>
      <c r="E1713" s="131"/>
      <c r="F1713" s="127"/>
      <c r="G1713" s="127"/>
      <c r="H1713" s="54"/>
      <c r="I1713" s="138"/>
    </row>
    <row r="1714" spans="1:9" x14ac:dyDescent="0.3">
      <c r="A1714" s="126"/>
      <c r="B1714" s="126"/>
      <c r="C1714" s="53"/>
      <c r="D1714" s="53"/>
      <c r="E1714" s="131"/>
      <c r="F1714" s="127"/>
      <c r="G1714" s="127"/>
      <c r="H1714" s="54"/>
      <c r="I1714" s="138"/>
    </row>
    <row r="1715" spans="1:9" x14ac:dyDescent="0.3">
      <c r="A1715" s="126"/>
      <c r="B1715" s="126"/>
      <c r="C1715" s="53"/>
      <c r="D1715" s="53"/>
      <c r="E1715" s="131"/>
      <c r="F1715" s="127"/>
      <c r="G1715" s="127"/>
      <c r="H1715" s="54"/>
      <c r="I1715" s="138"/>
    </row>
    <row r="1716" spans="1:9" x14ac:dyDescent="0.3">
      <c r="A1716" s="126"/>
      <c r="B1716" s="126"/>
      <c r="C1716" s="53"/>
      <c r="D1716" s="53"/>
      <c r="E1716" s="131"/>
      <c r="F1716" s="127"/>
      <c r="G1716" s="127"/>
      <c r="H1716" s="54"/>
      <c r="I1716" s="138"/>
    </row>
    <row r="1717" spans="1:9" x14ac:dyDescent="0.3">
      <c r="A1717" s="126"/>
      <c r="B1717" s="126"/>
      <c r="C1717" s="53"/>
      <c r="D1717" s="53"/>
      <c r="E1717" s="131"/>
      <c r="F1717" s="127"/>
      <c r="G1717" s="127"/>
      <c r="H1717" s="54"/>
      <c r="I1717" s="138"/>
    </row>
    <row r="1718" spans="1:9" x14ac:dyDescent="0.3">
      <c r="A1718" s="126"/>
      <c r="B1718" s="126"/>
      <c r="C1718" s="53"/>
      <c r="D1718" s="53"/>
      <c r="E1718" s="131"/>
      <c r="F1718" s="127"/>
      <c r="G1718" s="127"/>
      <c r="H1718" s="54"/>
      <c r="I1718" s="138"/>
    </row>
    <row r="1719" spans="1:9" x14ac:dyDescent="0.3">
      <c r="A1719" s="126"/>
      <c r="B1719" s="126"/>
      <c r="C1719" s="53"/>
      <c r="D1719" s="53"/>
      <c r="E1719" s="131"/>
      <c r="F1719" s="127"/>
      <c r="G1719" s="127"/>
      <c r="H1719" s="54"/>
      <c r="I1719" s="138"/>
    </row>
    <row r="1720" spans="1:9" x14ac:dyDescent="0.3">
      <c r="A1720" s="126"/>
      <c r="B1720" s="126"/>
      <c r="C1720" s="53"/>
      <c r="D1720" s="53"/>
      <c r="E1720" s="131"/>
      <c r="F1720" s="127"/>
      <c r="G1720" s="127"/>
      <c r="H1720" s="54"/>
      <c r="I1720" s="138"/>
    </row>
    <row r="1721" spans="1:9" x14ac:dyDescent="0.3">
      <c r="A1721" s="126"/>
      <c r="B1721" s="126"/>
      <c r="C1721" s="53"/>
      <c r="D1721" s="53"/>
      <c r="E1721" s="131"/>
      <c r="F1721" s="127"/>
      <c r="G1721" s="127"/>
      <c r="H1721" s="54"/>
      <c r="I1721" s="138"/>
    </row>
    <row r="1722" spans="1:9" x14ac:dyDescent="0.3">
      <c r="A1722" s="126"/>
      <c r="B1722" s="126"/>
      <c r="C1722" s="53"/>
      <c r="D1722" s="53"/>
      <c r="E1722" s="131"/>
      <c r="F1722" s="127"/>
      <c r="G1722" s="127"/>
      <c r="H1722" s="54"/>
      <c r="I1722" s="138"/>
    </row>
    <row r="1723" spans="1:9" x14ac:dyDescent="0.3">
      <c r="A1723" s="126"/>
      <c r="B1723" s="126"/>
      <c r="C1723" s="53"/>
      <c r="D1723" s="53"/>
      <c r="E1723" s="131"/>
      <c r="F1723" s="127"/>
      <c r="G1723" s="127"/>
      <c r="H1723" s="54"/>
      <c r="I1723" s="138"/>
    </row>
    <row r="1724" spans="1:9" x14ac:dyDescent="0.3">
      <c r="A1724" s="126"/>
      <c r="B1724" s="126"/>
      <c r="C1724" s="53"/>
      <c r="D1724" s="53"/>
      <c r="E1724" s="131"/>
      <c r="F1724" s="127"/>
      <c r="G1724" s="127"/>
      <c r="H1724" s="54"/>
      <c r="I1724" s="138"/>
    </row>
    <row r="1725" spans="1:9" x14ac:dyDescent="0.3">
      <c r="A1725" s="126"/>
      <c r="B1725" s="126"/>
      <c r="C1725" s="53"/>
      <c r="D1725" s="53"/>
      <c r="E1725" s="131"/>
      <c r="F1725" s="127"/>
      <c r="G1725" s="127"/>
      <c r="H1725" s="54"/>
      <c r="I1725" s="138"/>
    </row>
    <row r="1726" spans="1:9" x14ac:dyDescent="0.3">
      <c r="A1726" s="126"/>
      <c r="B1726" s="126"/>
      <c r="C1726" s="53"/>
      <c r="D1726" s="53"/>
      <c r="E1726" s="131"/>
      <c r="F1726" s="127"/>
      <c r="G1726" s="127"/>
      <c r="H1726" s="54"/>
      <c r="I1726" s="138"/>
    </row>
    <row r="1727" spans="1:9" x14ac:dyDescent="0.3">
      <c r="A1727" s="126"/>
      <c r="B1727" s="126"/>
      <c r="C1727" s="53"/>
      <c r="D1727" s="53"/>
      <c r="E1727" s="131"/>
      <c r="F1727" s="127"/>
      <c r="G1727" s="127"/>
      <c r="H1727" s="54"/>
      <c r="I1727" s="138"/>
    </row>
    <row r="1728" spans="1:9" x14ac:dyDescent="0.3">
      <c r="A1728" s="126"/>
      <c r="B1728" s="126"/>
      <c r="C1728" s="53"/>
      <c r="D1728" s="53"/>
      <c r="E1728" s="131"/>
      <c r="F1728" s="127"/>
      <c r="G1728" s="127"/>
      <c r="H1728" s="54"/>
      <c r="I1728" s="138"/>
    </row>
    <row r="1729" spans="1:9" x14ac:dyDescent="0.3">
      <c r="A1729" s="126"/>
      <c r="B1729" s="126"/>
      <c r="C1729" s="53"/>
      <c r="D1729" s="53"/>
      <c r="E1729" s="131"/>
      <c r="F1729" s="127"/>
      <c r="G1729" s="127"/>
      <c r="H1729" s="54"/>
      <c r="I1729" s="138"/>
    </row>
    <row r="1730" spans="1:9" x14ac:dyDescent="0.3">
      <c r="A1730" s="126"/>
      <c r="B1730" s="126"/>
      <c r="C1730" s="53"/>
      <c r="D1730" s="53"/>
      <c r="E1730" s="131"/>
      <c r="F1730" s="127"/>
      <c r="G1730" s="127"/>
      <c r="H1730" s="54"/>
      <c r="I1730" s="138"/>
    </row>
    <row r="1731" spans="1:9" x14ac:dyDescent="0.3">
      <c r="A1731" s="126"/>
      <c r="B1731" s="126"/>
      <c r="C1731" s="53"/>
      <c r="D1731" s="53"/>
      <c r="E1731" s="131"/>
      <c r="F1731" s="127"/>
      <c r="G1731" s="127"/>
      <c r="H1731" s="54"/>
      <c r="I1731" s="138"/>
    </row>
    <row r="1732" spans="1:9" x14ac:dyDescent="0.3">
      <c r="A1732" s="126"/>
      <c r="B1732" s="126"/>
      <c r="C1732" s="53"/>
      <c r="D1732" s="53"/>
      <c r="E1732" s="131"/>
      <c r="F1732" s="127"/>
      <c r="G1732" s="127"/>
      <c r="H1732" s="54"/>
      <c r="I1732" s="138"/>
    </row>
    <row r="1733" spans="1:9" x14ac:dyDescent="0.3">
      <c r="A1733" s="126"/>
      <c r="B1733" s="126"/>
      <c r="C1733" s="53"/>
      <c r="D1733" s="53"/>
      <c r="E1733" s="131"/>
      <c r="F1733" s="127"/>
      <c r="G1733" s="127"/>
      <c r="H1733" s="54"/>
      <c r="I1733" s="138"/>
    </row>
    <row r="1734" spans="1:9" x14ac:dyDescent="0.3">
      <c r="A1734" s="126"/>
      <c r="B1734" s="126"/>
      <c r="C1734" s="53"/>
      <c r="D1734" s="53"/>
      <c r="E1734" s="131"/>
      <c r="F1734" s="127"/>
      <c r="G1734" s="127"/>
      <c r="H1734" s="54"/>
      <c r="I1734" s="138"/>
    </row>
    <row r="1735" spans="1:9" x14ac:dyDescent="0.3">
      <c r="A1735" s="126"/>
      <c r="B1735" s="126"/>
      <c r="C1735" s="53"/>
      <c r="D1735" s="53"/>
      <c r="E1735" s="131"/>
      <c r="F1735" s="127"/>
      <c r="G1735" s="127"/>
      <c r="H1735" s="54"/>
      <c r="I1735" s="138"/>
    </row>
    <row r="1736" spans="1:9" x14ac:dyDescent="0.3">
      <c r="A1736" s="126"/>
      <c r="B1736" s="126"/>
      <c r="C1736" s="53"/>
      <c r="D1736" s="53"/>
      <c r="E1736" s="131"/>
      <c r="F1736" s="127"/>
      <c r="G1736" s="127"/>
      <c r="H1736" s="54"/>
      <c r="I1736" s="138"/>
    </row>
    <row r="1737" spans="1:9" x14ac:dyDescent="0.3">
      <c r="A1737" s="126"/>
      <c r="B1737" s="126"/>
      <c r="C1737" s="53"/>
      <c r="D1737" s="53"/>
      <c r="E1737" s="131"/>
      <c r="F1737" s="127"/>
      <c r="G1737" s="127"/>
      <c r="H1737" s="54"/>
      <c r="I1737" s="138"/>
    </row>
    <row r="1738" spans="1:9" x14ac:dyDescent="0.3">
      <c r="A1738" s="126"/>
      <c r="B1738" s="126"/>
      <c r="C1738" s="53"/>
      <c r="D1738" s="53"/>
      <c r="E1738" s="131"/>
      <c r="F1738" s="127"/>
      <c r="G1738" s="127"/>
      <c r="H1738" s="54"/>
      <c r="I1738" s="138"/>
    </row>
    <row r="1739" spans="1:9" x14ac:dyDescent="0.3">
      <c r="A1739" s="126"/>
      <c r="B1739" s="126"/>
      <c r="C1739" s="53"/>
      <c r="D1739" s="53"/>
      <c r="E1739" s="131"/>
      <c r="F1739" s="127"/>
      <c r="G1739" s="127"/>
      <c r="H1739" s="54"/>
      <c r="I1739" s="138"/>
    </row>
    <row r="1740" spans="1:9" x14ac:dyDescent="0.3">
      <c r="A1740" s="126"/>
      <c r="B1740" s="126"/>
      <c r="C1740" s="53"/>
      <c r="D1740" s="53"/>
      <c r="E1740" s="131"/>
      <c r="F1740" s="127"/>
      <c r="G1740" s="127"/>
      <c r="H1740" s="54"/>
      <c r="I1740" s="138"/>
    </row>
    <row r="1741" spans="1:9" x14ac:dyDescent="0.3">
      <c r="A1741" s="126"/>
      <c r="B1741" s="126"/>
      <c r="C1741" s="53"/>
      <c r="D1741" s="53"/>
      <c r="E1741" s="131"/>
      <c r="F1741" s="127"/>
      <c r="G1741" s="127"/>
      <c r="H1741" s="54"/>
      <c r="I1741" s="138"/>
    </row>
    <row r="1742" spans="1:9" x14ac:dyDescent="0.3">
      <c r="A1742" s="126"/>
      <c r="B1742" s="126"/>
      <c r="C1742" s="53"/>
      <c r="D1742" s="53"/>
      <c r="E1742" s="131"/>
      <c r="F1742" s="127"/>
      <c r="G1742" s="127"/>
      <c r="H1742" s="54"/>
      <c r="I1742" s="138"/>
    </row>
    <row r="1743" spans="1:9" x14ac:dyDescent="0.3">
      <c r="A1743" s="126"/>
      <c r="B1743" s="126"/>
      <c r="C1743" s="53"/>
      <c r="D1743" s="53"/>
      <c r="E1743" s="131"/>
      <c r="F1743" s="127"/>
      <c r="G1743" s="127"/>
      <c r="H1743" s="54"/>
      <c r="I1743" s="138"/>
    </row>
    <row r="1744" spans="1:9" x14ac:dyDescent="0.3">
      <c r="A1744" s="126"/>
      <c r="B1744" s="126"/>
      <c r="C1744" s="53"/>
      <c r="D1744" s="53"/>
      <c r="E1744" s="131"/>
      <c r="F1744" s="127"/>
      <c r="G1744" s="127"/>
      <c r="H1744" s="54"/>
      <c r="I1744" s="138"/>
    </row>
    <row r="1745" spans="1:9" x14ac:dyDescent="0.3">
      <c r="A1745" s="126"/>
      <c r="B1745" s="126"/>
      <c r="C1745" s="53"/>
      <c r="D1745" s="53"/>
      <c r="E1745" s="131"/>
      <c r="F1745" s="127"/>
      <c r="G1745" s="127"/>
      <c r="H1745" s="54"/>
      <c r="I1745" s="138"/>
    </row>
    <row r="1746" spans="1:9" x14ac:dyDescent="0.3">
      <c r="A1746" s="126"/>
      <c r="B1746" s="126"/>
      <c r="C1746" s="53"/>
      <c r="D1746" s="53"/>
      <c r="E1746" s="131"/>
      <c r="F1746" s="127"/>
      <c r="G1746" s="127"/>
      <c r="H1746" s="54"/>
      <c r="I1746" s="138"/>
    </row>
    <row r="1747" spans="1:9" x14ac:dyDescent="0.3">
      <c r="A1747" s="126"/>
      <c r="B1747" s="126"/>
      <c r="C1747" s="53"/>
      <c r="D1747" s="53"/>
      <c r="E1747" s="131"/>
      <c r="F1747" s="127"/>
      <c r="G1747" s="127"/>
      <c r="H1747" s="54"/>
      <c r="I1747" s="138"/>
    </row>
    <row r="1748" spans="1:9" x14ac:dyDescent="0.3">
      <c r="A1748" s="126"/>
      <c r="B1748" s="126"/>
      <c r="C1748" s="53"/>
      <c r="D1748" s="53"/>
      <c r="E1748" s="131"/>
      <c r="F1748" s="127"/>
      <c r="G1748" s="127"/>
      <c r="H1748" s="54"/>
      <c r="I1748" s="138"/>
    </row>
    <row r="1749" spans="1:9" x14ac:dyDescent="0.3">
      <c r="A1749" s="126"/>
      <c r="B1749" s="126"/>
      <c r="C1749" s="53"/>
      <c r="D1749" s="53"/>
      <c r="E1749" s="131"/>
      <c r="F1749" s="127"/>
      <c r="G1749" s="127"/>
      <c r="H1749" s="54"/>
      <c r="I1749" s="138"/>
    </row>
    <row r="1750" spans="1:9" x14ac:dyDescent="0.3">
      <c r="A1750" s="126"/>
      <c r="B1750" s="126"/>
      <c r="C1750" s="53"/>
      <c r="D1750" s="53"/>
      <c r="E1750" s="131"/>
      <c r="F1750" s="127"/>
      <c r="G1750" s="127"/>
      <c r="H1750" s="54"/>
      <c r="I1750" s="138"/>
    </row>
    <row r="1751" spans="1:9" x14ac:dyDescent="0.3">
      <c r="A1751" s="126"/>
      <c r="B1751" s="126"/>
      <c r="C1751" s="53"/>
      <c r="D1751" s="53"/>
      <c r="E1751" s="131"/>
      <c r="F1751" s="127"/>
      <c r="G1751" s="127"/>
      <c r="H1751" s="54"/>
      <c r="I1751" s="138"/>
    </row>
    <row r="1752" spans="1:9" x14ac:dyDescent="0.3">
      <c r="A1752" s="126"/>
      <c r="B1752" s="126"/>
      <c r="C1752" s="53"/>
      <c r="D1752" s="53"/>
      <c r="E1752" s="131"/>
      <c r="F1752" s="127"/>
      <c r="G1752" s="127"/>
      <c r="H1752" s="54"/>
      <c r="I1752" s="138"/>
    </row>
    <row r="1753" spans="1:9" x14ac:dyDescent="0.3">
      <c r="A1753" s="126"/>
      <c r="B1753" s="126"/>
      <c r="C1753" s="53"/>
      <c r="D1753" s="53"/>
      <c r="E1753" s="131"/>
      <c r="F1753" s="127"/>
      <c r="G1753" s="127"/>
      <c r="H1753" s="54"/>
      <c r="I1753" s="138"/>
    </row>
    <row r="1754" spans="1:9" x14ac:dyDescent="0.3">
      <c r="A1754" s="126"/>
      <c r="B1754" s="126"/>
      <c r="C1754" s="53"/>
      <c r="D1754" s="53"/>
      <c r="E1754" s="131"/>
      <c r="F1754" s="127"/>
      <c r="G1754" s="127"/>
      <c r="H1754" s="54"/>
      <c r="I1754" s="138"/>
    </row>
    <row r="1755" spans="1:9" x14ac:dyDescent="0.3">
      <c r="A1755" s="126"/>
      <c r="B1755" s="126"/>
      <c r="C1755" s="53"/>
      <c r="D1755" s="53"/>
      <c r="E1755" s="131"/>
      <c r="F1755" s="127"/>
      <c r="G1755" s="127"/>
      <c r="H1755" s="54"/>
      <c r="I1755" s="138"/>
    </row>
    <row r="1756" spans="1:9" x14ac:dyDescent="0.3">
      <c r="A1756" s="126"/>
      <c r="B1756" s="126"/>
      <c r="C1756" s="53"/>
      <c r="D1756" s="53"/>
      <c r="E1756" s="131"/>
      <c r="F1756" s="127"/>
      <c r="G1756" s="127"/>
      <c r="H1756" s="54"/>
      <c r="I1756" s="138"/>
    </row>
    <row r="1757" spans="1:9" x14ac:dyDescent="0.3">
      <c r="A1757" s="126"/>
      <c r="B1757" s="126"/>
      <c r="C1757" s="53"/>
      <c r="D1757" s="53"/>
      <c r="E1757" s="131"/>
      <c r="F1757" s="127"/>
      <c r="G1757" s="127"/>
      <c r="H1757" s="54"/>
      <c r="I1757" s="138"/>
    </row>
    <row r="1758" spans="1:9" x14ac:dyDescent="0.3">
      <c r="A1758" s="126"/>
      <c r="B1758" s="126"/>
      <c r="C1758" s="53"/>
      <c r="D1758" s="53"/>
      <c r="E1758" s="131"/>
      <c r="F1758" s="127"/>
      <c r="G1758" s="127"/>
      <c r="H1758" s="54"/>
      <c r="I1758" s="138"/>
    </row>
    <row r="1759" spans="1:9" x14ac:dyDescent="0.3">
      <c r="A1759" s="126"/>
      <c r="B1759" s="126"/>
      <c r="C1759" s="53"/>
      <c r="D1759" s="53"/>
      <c r="E1759" s="131"/>
      <c r="F1759" s="127"/>
      <c r="G1759" s="127"/>
      <c r="H1759" s="54"/>
      <c r="I1759" s="138"/>
    </row>
    <row r="1760" spans="1:9" x14ac:dyDescent="0.3">
      <c r="A1760" s="126"/>
      <c r="B1760" s="126"/>
      <c r="C1760" s="53"/>
      <c r="D1760" s="53"/>
      <c r="E1760" s="131"/>
      <c r="F1760" s="127"/>
      <c r="G1760" s="127"/>
      <c r="H1760" s="54"/>
      <c r="I1760" s="138"/>
    </row>
    <row r="1761" spans="1:9" x14ac:dyDescent="0.3">
      <c r="A1761" s="126"/>
      <c r="B1761" s="126"/>
      <c r="C1761" s="53"/>
      <c r="D1761" s="53"/>
      <c r="E1761" s="131"/>
      <c r="F1761" s="127"/>
      <c r="G1761" s="127"/>
      <c r="H1761" s="54"/>
      <c r="I1761" s="138"/>
    </row>
    <row r="1762" spans="1:9" x14ac:dyDescent="0.3">
      <c r="A1762" s="126"/>
      <c r="B1762" s="126"/>
      <c r="C1762" s="53"/>
      <c r="D1762" s="53"/>
      <c r="E1762" s="131"/>
      <c r="F1762" s="127"/>
      <c r="G1762" s="127"/>
      <c r="H1762" s="54"/>
      <c r="I1762" s="138"/>
    </row>
    <row r="1763" spans="1:9" x14ac:dyDescent="0.3">
      <c r="A1763" s="126"/>
      <c r="B1763" s="126"/>
      <c r="C1763" s="53"/>
      <c r="D1763" s="53"/>
      <c r="E1763" s="131"/>
      <c r="F1763" s="127"/>
      <c r="G1763" s="127"/>
      <c r="H1763" s="54"/>
      <c r="I1763" s="138"/>
    </row>
    <row r="1764" spans="1:9" x14ac:dyDescent="0.3">
      <c r="A1764" s="126"/>
      <c r="B1764" s="126"/>
      <c r="C1764" s="53"/>
      <c r="D1764" s="53"/>
      <c r="E1764" s="131"/>
      <c r="F1764" s="127"/>
      <c r="G1764" s="127"/>
      <c r="H1764" s="54"/>
      <c r="I1764" s="138"/>
    </row>
    <row r="1765" spans="1:9" x14ac:dyDescent="0.3">
      <c r="A1765" s="126"/>
      <c r="B1765" s="126"/>
      <c r="C1765" s="53"/>
      <c r="D1765" s="53"/>
      <c r="E1765" s="131"/>
      <c r="F1765" s="127"/>
      <c r="G1765" s="127"/>
      <c r="H1765" s="54"/>
      <c r="I1765" s="138"/>
    </row>
    <row r="1766" spans="1:9" x14ac:dyDescent="0.3">
      <c r="A1766" s="126"/>
      <c r="B1766" s="126"/>
      <c r="C1766" s="53"/>
      <c r="D1766" s="53"/>
      <c r="E1766" s="131"/>
      <c r="F1766" s="127"/>
      <c r="G1766" s="127"/>
      <c r="H1766" s="54"/>
      <c r="I1766" s="138"/>
    </row>
    <row r="1767" spans="1:9" x14ac:dyDescent="0.3">
      <c r="A1767" s="126"/>
      <c r="B1767" s="126"/>
      <c r="C1767" s="53"/>
      <c r="D1767" s="53"/>
      <c r="E1767" s="131"/>
      <c r="F1767" s="127"/>
      <c r="G1767" s="127"/>
      <c r="H1767" s="54"/>
      <c r="I1767" s="138"/>
    </row>
    <row r="1768" spans="1:9" x14ac:dyDescent="0.3">
      <c r="A1768" s="126"/>
      <c r="B1768" s="126"/>
      <c r="C1768" s="53"/>
      <c r="D1768" s="53"/>
      <c r="E1768" s="131"/>
      <c r="F1768" s="127"/>
      <c r="G1768" s="127"/>
      <c r="H1768" s="54"/>
      <c r="I1768" s="138"/>
    </row>
    <row r="1769" spans="1:9" x14ac:dyDescent="0.3">
      <c r="A1769" s="126"/>
      <c r="B1769" s="126"/>
      <c r="C1769" s="53"/>
      <c r="D1769" s="53"/>
      <c r="E1769" s="131"/>
      <c r="F1769" s="127"/>
      <c r="G1769" s="127"/>
      <c r="H1769" s="54"/>
      <c r="I1769" s="138"/>
    </row>
    <row r="1770" spans="1:9" x14ac:dyDescent="0.3">
      <c r="A1770" s="126"/>
      <c r="B1770" s="126"/>
      <c r="C1770" s="53"/>
      <c r="D1770" s="53"/>
      <c r="E1770" s="131"/>
      <c r="F1770" s="127"/>
      <c r="G1770" s="127"/>
      <c r="H1770" s="54"/>
      <c r="I1770" s="138"/>
    </row>
    <row r="1771" spans="1:9" x14ac:dyDescent="0.3">
      <c r="A1771" s="126"/>
      <c r="B1771" s="126"/>
      <c r="C1771" s="53"/>
      <c r="D1771" s="53"/>
      <c r="E1771" s="131"/>
      <c r="F1771" s="127"/>
      <c r="G1771" s="127"/>
      <c r="H1771" s="54"/>
      <c r="I1771" s="138"/>
    </row>
    <row r="1772" spans="1:9" x14ac:dyDescent="0.3">
      <c r="A1772" s="126"/>
      <c r="B1772" s="126"/>
      <c r="C1772" s="53"/>
      <c r="D1772" s="53"/>
      <c r="E1772" s="131"/>
      <c r="F1772" s="127"/>
      <c r="G1772" s="127"/>
      <c r="H1772" s="54"/>
      <c r="I1772" s="138"/>
    </row>
    <row r="1773" spans="1:9" x14ac:dyDescent="0.3">
      <c r="A1773" s="126"/>
      <c r="B1773" s="126"/>
      <c r="C1773" s="53"/>
      <c r="D1773" s="53"/>
      <c r="E1773" s="131"/>
      <c r="F1773" s="127"/>
      <c r="G1773" s="127"/>
      <c r="H1773" s="54"/>
      <c r="I1773" s="138"/>
    </row>
    <row r="1774" spans="1:9" x14ac:dyDescent="0.3">
      <c r="A1774" s="126"/>
      <c r="B1774" s="126"/>
      <c r="C1774" s="53"/>
      <c r="D1774" s="53"/>
      <c r="E1774" s="131"/>
      <c r="F1774" s="127"/>
      <c r="G1774" s="127"/>
      <c r="H1774" s="54"/>
      <c r="I1774" s="138"/>
    </row>
    <row r="1775" spans="1:9" x14ac:dyDescent="0.3">
      <c r="A1775" s="126"/>
      <c r="B1775" s="126"/>
      <c r="C1775" s="53"/>
      <c r="D1775" s="53"/>
      <c r="E1775" s="131"/>
      <c r="F1775" s="127"/>
      <c r="G1775" s="127"/>
      <c r="H1775" s="54"/>
      <c r="I1775" s="138"/>
    </row>
    <row r="1776" spans="1:9" x14ac:dyDescent="0.3">
      <c r="A1776" s="126"/>
      <c r="B1776" s="126"/>
      <c r="C1776" s="53"/>
      <c r="D1776" s="53"/>
      <c r="E1776" s="131"/>
      <c r="F1776" s="127"/>
      <c r="G1776" s="127"/>
      <c r="H1776" s="54"/>
      <c r="I1776" s="138"/>
    </row>
    <row r="1777" spans="1:9" x14ac:dyDescent="0.3">
      <c r="A1777" s="126"/>
      <c r="B1777" s="126"/>
      <c r="C1777" s="53"/>
      <c r="D1777" s="53"/>
      <c r="E1777" s="131"/>
      <c r="F1777" s="127"/>
      <c r="G1777" s="127"/>
      <c r="H1777" s="54"/>
      <c r="I1777" s="138"/>
    </row>
    <row r="1778" spans="1:9" x14ac:dyDescent="0.3">
      <c r="A1778" s="126"/>
      <c r="B1778" s="126"/>
      <c r="C1778" s="53"/>
      <c r="D1778" s="53"/>
      <c r="E1778" s="131"/>
      <c r="F1778" s="127"/>
      <c r="G1778" s="127"/>
      <c r="H1778" s="54"/>
      <c r="I1778" s="138"/>
    </row>
    <row r="1779" spans="1:9" x14ac:dyDescent="0.3">
      <c r="A1779" s="126"/>
      <c r="B1779" s="126"/>
      <c r="C1779" s="53"/>
      <c r="D1779" s="53"/>
      <c r="E1779" s="131"/>
      <c r="F1779" s="127"/>
      <c r="G1779" s="127"/>
      <c r="H1779" s="54"/>
      <c r="I1779" s="138"/>
    </row>
    <row r="1780" spans="1:9" x14ac:dyDescent="0.3">
      <c r="A1780" s="126"/>
      <c r="B1780" s="126"/>
      <c r="C1780" s="53"/>
      <c r="D1780" s="53"/>
      <c r="E1780" s="131"/>
      <c r="F1780" s="127"/>
      <c r="G1780" s="127"/>
      <c r="H1780" s="54"/>
      <c r="I1780" s="138"/>
    </row>
    <row r="1781" spans="1:9" x14ac:dyDescent="0.3">
      <c r="A1781" s="126"/>
      <c r="B1781" s="126"/>
      <c r="C1781" s="53"/>
      <c r="D1781" s="53"/>
      <c r="E1781" s="131"/>
      <c r="F1781" s="127"/>
      <c r="G1781" s="127"/>
      <c r="H1781" s="54"/>
      <c r="I1781" s="138"/>
    </row>
    <row r="1782" spans="1:9" x14ac:dyDescent="0.3">
      <c r="A1782" s="126"/>
      <c r="B1782" s="126"/>
      <c r="C1782" s="53"/>
      <c r="D1782" s="53"/>
      <c r="E1782" s="131"/>
      <c r="F1782" s="127"/>
      <c r="G1782" s="127"/>
      <c r="H1782" s="54"/>
      <c r="I1782" s="138"/>
    </row>
    <row r="1783" spans="1:9" x14ac:dyDescent="0.3">
      <c r="A1783" s="126"/>
      <c r="B1783" s="126"/>
      <c r="C1783" s="53"/>
      <c r="D1783" s="53"/>
      <c r="E1783" s="131"/>
      <c r="F1783" s="127"/>
      <c r="G1783" s="127"/>
      <c r="H1783" s="54"/>
      <c r="I1783" s="138"/>
    </row>
    <row r="1784" spans="1:9" x14ac:dyDescent="0.3">
      <c r="A1784" s="126"/>
      <c r="B1784" s="126"/>
      <c r="C1784" s="53"/>
      <c r="D1784" s="53"/>
      <c r="E1784" s="131"/>
      <c r="F1784" s="127"/>
      <c r="G1784" s="127"/>
      <c r="H1784" s="54"/>
      <c r="I1784" s="138"/>
    </row>
    <row r="1785" spans="1:9" x14ac:dyDescent="0.3">
      <c r="A1785" s="126"/>
      <c r="B1785" s="126"/>
      <c r="C1785" s="53"/>
      <c r="D1785" s="53"/>
      <c r="E1785" s="131"/>
      <c r="F1785" s="127"/>
      <c r="G1785" s="127"/>
      <c r="H1785" s="54"/>
      <c r="I1785" s="138"/>
    </row>
    <row r="1786" spans="1:9" x14ac:dyDescent="0.3">
      <c r="A1786" s="126"/>
      <c r="B1786" s="126"/>
      <c r="C1786" s="53"/>
      <c r="D1786" s="53"/>
      <c r="E1786" s="131"/>
      <c r="F1786" s="127"/>
      <c r="G1786" s="127"/>
      <c r="H1786" s="54"/>
      <c r="I1786" s="138"/>
    </row>
    <row r="1787" spans="1:9" x14ac:dyDescent="0.3">
      <c r="A1787" s="126"/>
      <c r="B1787" s="126"/>
      <c r="C1787" s="53"/>
      <c r="D1787" s="53"/>
      <c r="E1787" s="131"/>
      <c r="F1787" s="127"/>
      <c r="G1787" s="127"/>
      <c r="H1787" s="54"/>
      <c r="I1787" s="138"/>
    </row>
    <row r="1788" spans="1:9" x14ac:dyDescent="0.3">
      <c r="A1788" s="126"/>
      <c r="B1788" s="126"/>
      <c r="C1788" s="53"/>
      <c r="D1788" s="53"/>
      <c r="E1788" s="131"/>
      <c r="F1788" s="127"/>
      <c r="G1788" s="127"/>
      <c r="H1788" s="54"/>
      <c r="I1788" s="138"/>
    </row>
    <row r="1789" spans="1:9" x14ac:dyDescent="0.3">
      <c r="A1789" s="126"/>
      <c r="B1789" s="126"/>
      <c r="C1789" s="53"/>
      <c r="D1789" s="53"/>
      <c r="E1789" s="131"/>
      <c r="F1789" s="127"/>
      <c r="G1789" s="127"/>
      <c r="H1789" s="54"/>
      <c r="I1789" s="138"/>
    </row>
    <row r="1790" spans="1:9" x14ac:dyDescent="0.3">
      <c r="A1790" s="126"/>
      <c r="B1790" s="126"/>
      <c r="C1790" s="53"/>
      <c r="D1790" s="53"/>
      <c r="E1790" s="131"/>
      <c r="F1790" s="127"/>
      <c r="G1790" s="127"/>
      <c r="H1790" s="54"/>
      <c r="I1790" s="138"/>
    </row>
    <row r="1791" spans="1:9" x14ac:dyDescent="0.3">
      <c r="A1791" s="126"/>
      <c r="B1791" s="126"/>
      <c r="C1791" s="53"/>
      <c r="D1791" s="53"/>
      <c r="E1791" s="131"/>
      <c r="F1791" s="127"/>
      <c r="G1791" s="127"/>
      <c r="H1791" s="54"/>
      <c r="I1791" s="138"/>
    </row>
    <row r="1792" spans="1:9" x14ac:dyDescent="0.3">
      <c r="A1792" s="126"/>
      <c r="B1792" s="126"/>
      <c r="C1792" s="53"/>
      <c r="D1792" s="53"/>
      <c r="E1792" s="131"/>
      <c r="F1792" s="127"/>
      <c r="G1792" s="127"/>
      <c r="H1792" s="54"/>
      <c r="I1792" s="138"/>
    </row>
    <row r="1793" spans="1:9" x14ac:dyDescent="0.3">
      <c r="A1793" s="126"/>
      <c r="B1793" s="126"/>
      <c r="C1793" s="53"/>
      <c r="D1793" s="53"/>
      <c r="E1793" s="131"/>
      <c r="F1793" s="127"/>
      <c r="G1793" s="127"/>
      <c r="H1793" s="54"/>
      <c r="I1793" s="138"/>
    </row>
    <row r="1794" spans="1:9" x14ac:dyDescent="0.3">
      <c r="A1794" s="126"/>
      <c r="B1794" s="126"/>
      <c r="C1794" s="53"/>
      <c r="D1794" s="53"/>
      <c r="E1794" s="131"/>
      <c r="F1794" s="127"/>
      <c r="G1794" s="127"/>
      <c r="H1794" s="54"/>
      <c r="I1794" s="138"/>
    </row>
    <row r="1795" spans="1:9" x14ac:dyDescent="0.3">
      <c r="A1795" s="126"/>
      <c r="B1795" s="126"/>
      <c r="C1795" s="53"/>
      <c r="D1795" s="53"/>
      <c r="E1795" s="131"/>
      <c r="F1795" s="127"/>
      <c r="G1795" s="127"/>
      <c r="H1795" s="54"/>
      <c r="I1795" s="138"/>
    </row>
    <row r="1796" spans="1:9" x14ac:dyDescent="0.3">
      <c r="A1796" s="126"/>
      <c r="B1796" s="126"/>
      <c r="C1796" s="53"/>
      <c r="D1796" s="53"/>
      <c r="E1796" s="131"/>
      <c r="F1796" s="127"/>
      <c r="G1796" s="127"/>
      <c r="H1796" s="54"/>
      <c r="I1796" s="138"/>
    </row>
    <row r="1797" spans="1:9" x14ac:dyDescent="0.3">
      <c r="A1797" s="126"/>
      <c r="B1797" s="126"/>
      <c r="C1797" s="53"/>
      <c r="D1797" s="53"/>
      <c r="E1797" s="131"/>
      <c r="F1797" s="127"/>
      <c r="G1797" s="127"/>
      <c r="H1797" s="54"/>
      <c r="I1797" s="138"/>
    </row>
    <row r="1798" spans="1:9" x14ac:dyDescent="0.3">
      <c r="A1798" s="126"/>
      <c r="B1798" s="126"/>
      <c r="C1798" s="53"/>
      <c r="D1798" s="53"/>
      <c r="E1798" s="131"/>
      <c r="F1798" s="127"/>
      <c r="G1798" s="127"/>
      <c r="H1798" s="54"/>
      <c r="I1798" s="138"/>
    </row>
    <row r="1799" spans="1:9" x14ac:dyDescent="0.3">
      <c r="A1799" s="126"/>
      <c r="B1799" s="126"/>
      <c r="C1799" s="53"/>
      <c r="D1799" s="53"/>
      <c r="E1799" s="131"/>
      <c r="F1799" s="127"/>
      <c r="G1799" s="127"/>
      <c r="H1799" s="54"/>
      <c r="I1799" s="138"/>
    </row>
    <row r="1800" spans="1:9" x14ac:dyDescent="0.3">
      <c r="A1800" s="126"/>
      <c r="B1800" s="126"/>
      <c r="C1800" s="53"/>
      <c r="D1800" s="53"/>
      <c r="E1800" s="131"/>
      <c r="F1800" s="127"/>
      <c r="G1800" s="127"/>
      <c r="H1800" s="54"/>
      <c r="I1800" s="138"/>
    </row>
    <row r="1801" spans="1:9" x14ac:dyDescent="0.3">
      <c r="A1801" s="126"/>
      <c r="B1801" s="126"/>
      <c r="C1801" s="53"/>
      <c r="D1801" s="53"/>
      <c r="E1801" s="131"/>
      <c r="F1801" s="127"/>
      <c r="G1801" s="127"/>
      <c r="H1801" s="54"/>
      <c r="I1801" s="138"/>
    </row>
    <row r="1802" spans="1:9" x14ac:dyDescent="0.3">
      <c r="A1802" s="126"/>
      <c r="B1802" s="126"/>
      <c r="C1802" s="53"/>
      <c r="D1802" s="53"/>
      <c r="E1802" s="131"/>
      <c r="F1802" s="127"/>
      <c r="G1802" s="127"/>
      <c r="H1802" s="54"/>
      <c r="I1802" s="138"/>
    </row>
    <row r="1803" spans="1:9" x14ac:dyDescent="0.3">
      <c r="A1803" s="126"/>
      <c r="B1803" s="126"/>
      <c r="C1803" s="53"/>
      <c r="D1803" s="53"/>
      <c r="E1803" s="131"/>
      <c r="F1803" s="127"/>
      <c r="G1803" s="127"/>
      <c r="H1803" s="54"/>
      <c r="I1803" s="138"/>
    </row>
    <row r="1804" spans="1:9" x14ac:dyDescent="0.3">
      <c r="A1804" s="126"/>
      <c r="B1804" s="126"/>
      <c r="C1804" s="53"/>
      <c r="D1804" s="53"/>
      <c r="E1804" s="131"/>
      <c r="F1804" s="127"/>
      <c r="G1804" s="127"/>
      <c r="H1804" s="54"/>
      <c r="I1804" s="138"/>
    </row>
    <row r="1805" spans="1:9" x14ac:dyDescent="0.3">
      <c r="A1805" s="126"/>
      <c r="B1805" s="126"/>
      <c r="C1805" s="53"/>
      <c r="D1805" s="53"/>
      <c r="E1805" s="131"/>
      <c r="F1805" s="127"/>
      <c r="G1805" s="127"/>
      <c r="H1805" s="54"/>
      <c r="I1805" s="138"/>
    </row>
    <row r="1806" spans="1:9" x14ac:dyDescent="0.3">
      <c r="A1806" s="126"/>
      <c r="B1806" s="126"/>
      <c r="C1806" s="53"/>
      <c r="D1806" s="53"/>
      <c r="E1806" s="131"/>
      <c r="F1806" s="127"/>
      <c r="G1806" s="127"/>
      <c r="H1806" s="54"/>
      <c r="I1806" s="138"/>
    </row>
    <row r="1807" spans="1:9" x14ac:dyDescent="0.3">
      <c r="A1807" s="126"/>
      <c r="B1807" s="126"/>
      <c r="C1807" s="53"/>
      <c r="D1807" s="53"/>
      <c r="E1807" s="131"/>
      <c r="F1807" s="127"/>
      <c r="G1807" s="127"/>
      <c r="H1807" s="54"/>
      <c r="I1807" s="138"/>
    </row>
    <row r="1808" spans="1:9" x14ac:dyDescent="0.3">
      <c r="A1808" s="126"/>
      <c r="B1808" s="126"/>
      <c r="C1808" s="53"/>
      <c r="D1808" s="53"/>
      <c r="E1808" s="131"/>
      <c r="F1808" s="127"/>
      <c r="G1808" s="127"/>
      <c r="H1808" s="54"/>
      <c r="I1808" s="138"/>
    </row>
    <row r="1809" spans="1:9" x14ac:dyDescent="0.3">
      <c r="A1809" s="126"/>
      <c r="B1809" s="126"/>
      <c r="C1809" s="53"/>
      <c r="D1809" s="53"/>
      <c r="E1809" s="131"/>
      <c r="F1809" s="127"/>
      <c r="G1809" s="127"/>
      <c r="H1809" s="54"/>
      <c r="I1809" s="138"/>
    </row>
    <row r="1810" spans="1:9" x14ac:dyDescent="0.3">
      <c r="A1810" s="126"/>
      <c r="B1810" s="126"/>
      <c r="C1810" s="53"/>
      <c r="D1810" s="53"/>
      <c r="E1810" s="131"/>
      <c r="F1810" s="127"/>
      <c r="G1810" s="127"/>
      <c r="H1810" s="54"/>
      <c r="I1810" s="138"/>
    </row>
    <row r="1811" spans="1:9" x14ac:dyDescent="0.3">
      <c r="A1811" s="126"/>
      <c r="B1811" s="126"/>
      <c r="C1811" s="53"/>
      <c r="D1811" s="53"/>
      <c r="E1811" s="131"/>
      <c r="F1811" s="127"/>
      <c r="G1811" s="127"/>
      <c r="H1811" s="54"/>
      <c r="I1811" s="138"/>
    </row>
    <row r="1812" spans="1:9" x14ac:dyDescent="0.3">
      <c r="A1812" s="126"/>
      <c r="B1812" s="126"/>
      <c r="C1812" s="53"/>
      <c r="D1812" s="53"/>
      <c r="E1812" s="131"/>
      <c r="F1812" s="127"/>
      <c r="G1812" s="127"/>
      <c r="H1812" s="54"/>
      <c r="I1812" s="138"/>
    </row>
    <row r="1813" spans="1:9" x14ac:dyDescent="0.3">
      <c r="A1813" s="126"/>
      <c r="B1813" s="126"/>
      <c r="C1813" s="53"/>
      <c r="D1813" s="53"/>
      <c r="E1813" s="131"/>
      <c r="F1813" s="127"/>
      <c r="G1813" s="127"/>
      <c r="H1813" s="54"/>
      <c r="I1813" s="138"/>
    </row>
    <row r="1814" spans="1:9" x14ac:dyDescent="0.3">
      <c r="A1814" s="126"/>
      <c r="B1814" s="126"/>
      <c r="C1814" s="53"/>
      <c r="D1814" s="53"/>
      <c r="E1814" s="131"/>
      <c r="F1814" s="127"/>
      <c r="G1814" s="127"/>
      <c r="H1814" s="54"/>
      <c r="I1814" s="138"/>
    </row>
    <row r="1815" spans="1:9" x14ac:dyDescent="0.3">
      <c r="A1815" s="126"/>
      <c r="B1815" s="126"/>
      <c r="C1815" s="53"/>
      <c r="D1815" s="53"/>
      <c r="E1815" s="131"/>
      <c r="F1815" s="127"/>
      <c r="G1815" s="127"/>
      <c r="H1815" s="54"/>
      <c r="I1815" s="138"/>
    </row>
    <row r="1816" spans="1:9" x14ac:dyDescent="0.3">
      <c r="A1816" s="126"/>
      <c r="B1816" s="126"/>
      <c r="C1816" s="53"/>
      <c r="D1816" s="53"/>
      <c r="E1816" s="131"/>
      <c r="F1816" s="127"/>
      <c r="G1816" s="127"/>
      <c r="H1816" s="54"/>
      <c r="I1816" s="138"/>
    </row>
    <row r="1817" spans="1:9" x14ac:dyDescent="0.3">
      <c r="A1817" s="126"/>
      <c r="B1817" s="126"/>
      <c r="C1817" s="53"/>
      <c r="D1817" s="53"/>
      <c r="E1817" s="131"/>
      <c r="F1817" s="127"/>
      <c r="G1817" s="127"/>
      <c r="H1817" s="54"/>
      <c r="I1817" s="138"/>
    </row>
    <row r="1818" spans="1:9" x14ac:dyDescent="0.3">
      <c r="A1818" s="126"/>
      <c r="B1818" s="126"/>
      <c r="C1818" s="53"/>
      <c r="D1818" s="53"/>
      <c r="E1818" s="131"/>
      <c r="F1818" s="127"/>
      <c r="G1818" s="127"/>
      <c r="H1818" s="54"/>
      <c r="I1818" s="138"/>
    </row>
    <row r="1819" spans="1:9" x14ac:dyDescent="0.3">
      <c r="A1819" s="126"/>
      <c r="B1819" s="126"/>
      <c r="C1819" s="53"/>
      <c r="D1819" s="53"/>
      <c r="E1819" s="131"/>
      <c r="F1819" s="127"/>
      <c r="G1819" s="127"/>
      <c r="H1819" s="54"/>
      <c r="I1819" s="138"/>
    </row>
    <row r="1820" spans="1:9" x14ac:dyDescent="0.3">
      <c r="A1820" s="126"/>
      <c r="B1820" s="126"/>
      <c r="C1820" s="53"/>
      <c r="D1820" s="53"/>
      <c r="E1820" s="131"/>
      <c r="F1820" s="127"/>
      <c r="G1820" s="127"/>
      <c r="H1820" s="54"/>
      <c r="I1820" s="138"/>
    </row>
    <row r="1821" spans="1:9" x14ac:dyDescent="0.3">
      <c r="A1821" s="126"/>
      <c r="B1821" s="126"/>
      <c r="C1821" s="53"/>
      <c r="D1821" s="53"/>
      <c r="E1821" s="131"/>
      <c r="F1821" s="127"/>
      <c r="G1821" s="127"/>
      <c r="H1821" s="54"/>
      <c r="I1821" s="138"/>
    </row>
    <row r="1822" spans="1:9" x14ac:dyDescent="0.3">
      <c r="A1822" s="126"/>
      <c r="B1822" s="126"/>
      <c r="C1822" s="53"/>
      <c r="D1822" s="53"/>
      <c r="E1822" s="131"/>
      <c r="F1822" s="127"/>
      <c r="G1822" s="127"/>
      <c r="H1822" s="54"/>
      <c r="I1822" s="138"/>
    </row>
    <row r="1823" spans="1:9" x14ac:dyDescent="0.3">
      <c r="A1823" s="126"/>
      <c r="B1823" s="126"/>
      <c r="C1823" s="53"/>
      <c r="D1823" s="53"/>
      <c r="E1823" s="131"/>
      <c r="F1823" s="127"/>
      <c r="G1823" s="127"/>
      <c r="H1823" s="54"/>
      <c r="I1823" s="138"/>
    </row>
    <row r="1824" spans="1:9" x14ac:dyDescent="0.3">
      <c r="A1824" s="126"/>
      <c r="B1824" s="126"/>
      <c r="C1824" s="53"/>
      <c r="D1824" s="53"/>
      <c r="E1824" s="131"/>
      <c r="F1824" s="127"/>
      <c r="G1824" s="127"/>
      <c r="H1824" s="54"/>
      <c r="I1824" s="138"/>
    </row>
    <row r="1825" spans="1:9" x14ac:dyDescent="0.3">
      <c r="A1825" s="126"/>
      <c r="B1825" s="126"/>
      <c r="C1825" s="53"/>
      <c r="D1825" s="53"/>
      <c r="E1825" s="131"/>
      <c r="F1825" s="127"/>
      <c r="G1825" s="127"/>
      <c r="H1825" s="54"/>
      <c r="I1825" s="138"/>
    </row>
    <row r="1826" spans="1:9" x14ac:dyDescent="0.3">
      <c r="A1826" s="126"/>
      <c r="B1826" s="126"/>
      <c r="C1826" s="53"/>
      <c r="D1826" s="53"/>
      <c r="E1826" s="131"/>
      <c r="F1826" s="127"/>
      <c r="G1826" s="127"/>
      <c r="H1826" s="54"/>
      <c r="I1826" s="138"/>
    </row>
    <row r="1827" spans="1:9" x14ac:dyDescent="0.3">
      <c r="A1827" s="126"/>
      <c r="B1827" s="126"/>
      <c r="C1827" s="53"/>
      <c r="D1827" s="53"/>
      <c r="E1827" s="131"/>
      <c r="F1827" s="127"/>
      <c r="G1827" s="127"/>
      <c r="H1827" s="54"/>
      <c r="I1827" s="138"/>
    </row>
    <row r="1828" spans="1:9" x14ac:dyDescent="0.3">
      <c r="A1828" s="126"/>
      <c r="B1828" s="126"/>
      <c r="C1828" s="53"/>
      <c r="D1828" s="53"/>
      <c r="E1828" s="131"/>
      <c r="F1828" s="127"/>
      <c r="G1828" s="127"/>
      <c r="H1828" s="54"/>
      <c r="I1828" s="138"/>
    </row>
    <row r="1829" spans="1:9" x14ac:dyDescent="0.3">
      <c r="A1829" s="126"/>
      <c r="B1829" s="126"/>
      <c r="C1829" s="53"/>
      <c r="D1829" s="53"/>
      <c r="E1829" s="131"/>
      <c r="F1829" s="127"/>
      <c r="G1829" s="127"/>
      <c r="H1829" s="54"/>
      <c r="I1829" s="138"/>
    </row>
    <row r="1830" spans="1:9" x14ac:dyDescent="0.3">
      <c r="A1830" s="126"/>
      <c r="B1830" s="126"/>
      <c r="C1830" s="53"/>
      <c r="D1830" s="53"/>
      <c r="E1830" s="131"/>
      <c r="F1830" s="127"/>
      <c r="G1830" s="127"/>
      <c r="H1830" s="54"/>
      <c r="I1830" s="138"/>
    </row>
    <row r="1831" spans="1:9" x14ac:dyDescent="0.3">
      <c r="A1831" s="126"/>
      <c r="B1831" s="126"/>
      <c r="C1831" s="53"/>
      <c r="D1831" s="53"/>
      <c r="E1831" s="131"/>
      <c r="F1831" s="127"/>
      <c r="G1831" s="127"/>
      <c r="H1831" s="54"/>
      <c r="I1831" s="138"/>
    </row>
    <row r="1832" spans="1:9" x14ac:dyDescent="0.3">
      <c r="A1832" s="126"/>
      <c r="B1832" s="126"/>
      <c r="C1832" s="53"/>
      <c r="D1832" s="53"/>
      <c r="E1832" s="131"/>
      <c r="F1832" s="127"/>
      <c r="G1832" s="127"/>
      <c r="H1832" s="54"/>
      <c r="I1832" s="138"/>
    </row>
    <row r="1833" spans="1:9" x14ac:dyDescent="0.3">
      <c r="A1833" s="126"/>
      <c r="B1833" s="126"/>
      <c r="C1833" s="53"/>
      <c r="D1833" s="53"/>
      <c r="E1833" s="131"/>
      <c r="F1833" s="127"/>
      <c r="G1833" s="127"/>
      <c r="H1833" s="54"/>
      <c r="I1833" s="138"/>
    </row>
    <row r="1834" spans="1:9" x14ac:dyDescent="0.3">
      <c r="A1834" s="126"/>
      <c r="B1834" s="126"/>
      <c r="C1834" s="53"/>
      <c r="D1834" s="53"/>
      <c r="E1834" s="131"/>
      <c r="F1834" s="127"/>
      <c r="G1834" s="127"/>
      <c r="H1834" s="54"/>
      <c r="I1834" s="138"/>
    </row>
    <row r="1835" spans="1:9" x14ac:dyDescent="0.3">
      <c r="A1835" s="126"/>
      <c r="B1835" s="126"/>
      <c r="C1835" s="53"/>
      <c r="D1835" s="53"/>
      <c r="E1835" s="131"/>
      <c r="F1835" s="127"/>
      <c r="G1835" s="127"/>
      <c r="H1835" s="54"/>
      <c r="I1835" s="138"/>
    </row>
    <row r="1836" spans="1:9" x14ac:dyDescent="0.3">
      <c r="A1836" s="126"/>
      <c r="B1836" s="126"/>
      <c r="C1836" s="53"/>
      <c r="D1836" s="53"/>
      <c r="E1836" s="131"/>
      <c r="F1836" s="127"/>
      <c r="G1836" s="127"/>
      <c r="H1836" s="54"/>
      <c r="I1836" s="138"/>
    </row>
    <row r="1837" spans="1:9" x14ac:dyDescent="0.3">
      <c r="A1837" s="126"/>
      <c r="B1837" s="126"/>
      <c r="C1837" s="53"/>
      <c r="D1837" s="53"/>
      <c r="E1837" s="131"/>
      <c r="F1837" s="127"/>
      <c r="G1837" s="127"/>
      <c r="H1837" s="54"/>
      <c r="I1837" s="138"/>
    </row>
    <row r="1838" spans="1:9" x14ac:dyDescent="0.3">
      <c r="A1838" s="126"/>
      <c r="B1838" s="126"/>
      <c r="C1838" s="53"/>
      <c r="D1838" s="53"/>
      <c r="E1838" s="131"/>
      <c r="F1838" s="127"/>
      <c r="G1838" s="127"/>
      <c r="H1838" s="54"/>
      <c r="I1838" s="138"/>
    </row>
    <row r="1839" spans="1:9" x14ac:dyDescent="0.3">
      <c r="A1839" s="126"/>
      <c r="B1839" s="126"/>
      <c r="C1839" s="53"/>
      <c r="D1839" s="53"/>
      <c r="E1839" s="131"/>
      <c r="F1839" s="127"/>
      <c r="G1839" s="127"/>
      <c r="H1839" s="54"/>
      <c r="I1839" s="138"/>
    </row>
    <row r="1840" spans="1:9" x14ac:dyDescent="0.3">
      <c r="A1840" s="126"/>
      <c r="B1840" s="126"/>
      <c r="C1840" s="53"/>
      <c r="D1840" s="53"/>
      <c r="E1840" s="131"/>
      <c r="F1840" s="127"/>
      <c r="G1840" s="127"/>
      <c r="H1840" s="54"/>
      <c r="I1840" s="138"/>
    </row>
    <row r="1841" spans="1:9" x14ac:dyDescent="0.3">
      <c r="A1841" s="126"/>
      <c r="B1841" s="126"/>
      <c r="C1841" s="53"/>
      <c r="D1841" s="53"/>
      <c r="E1841" s="131"/>
      <c r="F1841" s="127"/>
      <c r="G1841" s="127"/>
      <c r="H1841" s="54"/>
      <c r="I1841" s="138"/>
    </row>
    <row r="1842" spans="1:9" x14ac:dyDescent="0.3">
      <c r="A1842" s="126"/>
      <c r="B1842" s="126"/>
      <c r="C1842" s="53"/>
      <c r="D1842" s="53"/>
      <c r="E1842" s="131"/>
      <c r="F1842" s="127"/>
      <c r="G1842" s="127"/>
      <c r="H1842" s="54"/>
      <c r="I1842" s="138"/>
    </row>
    <row r="1843" spans="1:9" x14ac:dyDescent="0.3">
      <c r="A1843" s="126"/>
      <c r="B1843" s="126"/>
      <c r="C1843" s="53"/>
      <c r="D1843" s="53"/>
      <c r="E1843" s="131"/>
      <c r="F1843" s="127"/>
      <c r="G1843" s="127"/>
      <c r="H1843" s="54"/>
      <c r="I1843" s="138"/>
    </row>
    <row r="1844" spans="1:9" x14ac:dyDescent="0.3">
      <c r="A1844" s="126"/>
      <c r="B1844" s="126"/>
      <c r="C1844" s="53"/>
      <c r="D1844" s="53"/>
      <c r="E1844" s="131"/>
      <c r="F1844" s="127"/>
      <c r="G1844" s="127"/>
      <c r="H1844" s="54"/>
      <c r="I1844" s="138"/>
    </row>
    <row r="1845" spans="1:9" x14ac:dyDescent="0.3">
      <c r="A1845" s="126"/>
      <c r="B1845" s="126"/>
      <c r="C1845" s="53"/>
      <c r="D1845" s="53"/>
      <c r="E1845" s="131"/>
      <c r="F1845" s="127"/>
      <c r="G1845" s="127"/>
      <c r="H1845" s="54"/>
      <c r="I1845" s="138"/>
    </row>
    <row r="1846" spans="1:9" x14ac:dyDescent="0.3">
      <c r="A1846" s="126"/>
      <c r="B1846" s="126"/>
      <c r="C1846" s="53"/>
      <c r="D1846" s="53"/>
      <c r="E1846" s="131"/>
      <c r="F1846" s="127"/>
      <c r="G1846" s="127"/>
      <c r="H1846" s="54"/>
      <c r="I1846" s="138"/>
    </row>
    <row r="1847" spans="1:9" x14ac:dyDescent="0.3">
      <c r="A1847" s="126"/>
      <c r="B1847" s="126"/>
      <c r="C1847" s="53"/>
      <c r="D1847" s="53"/>
      <c r="E1847" s="131"/>
      <c r="F1847" s="127"/>
      <c r="G1847" s="127"/>
      <c r="H1847" s="54"/>
      <c r="I1847" s="138"/>
    </row>
    <row r="1848" spans="1:9" x14ac:dyDescent="0.3">
      <c r="A1848" s="126"/>
      <c r="B1848" s="126"/>
      <c r="C1848" s="53"/>
      <c r="D1848" s="53"/>
      <c r="E1848" s="131"/>
      <c r="F1848" s="127"/>
      <c r="G1848" s="127"/>
      <c r="H1848" s="54"/>
      <c r="I1848" s="138"/>
    </row>
    <row r="1849" spans="1:9" x14ac:dyDescent="0.3">
      <c r="A1849" s="126"/>
      <c r="B1849" s="126"/>
      <c r="C1849" s="53"/>
      <c r="D1849" s="53"/>
      <c r="E1849" s="131"/>
      <c r="F1849" s="127"/>
      <c r="G1849" s="127"/>
      <c r="H1849" s="54"/>
      <c r="I1849" s="138"/>
    </row>
    <row r="1850" spans="1:9" x14ac:dyDescent="0.3">
      <c r="A1850" s="126"/>
      <c r="B1850" s="126"/>
      <c r="C1850" s="53"/>
      <c r="D1850" s="53"/>
      <c r="E1850" s="131"/>
      <c r="F1850" s="127"/>
      <c r="G1850" s="127"/>
      <c r="H1850" s="54"/>
      <c r="I1850" s="138"/>
    </row>
    <row r="1851" spans="1:9" x14ac:dyDescent="0.3">
      <c r="A1851" s="126"/>
      <c r="B1851" s="126"/>
      <c r="C1851" s="53"/>
      <c r="D1851" s="53"/>
      <c r="E1851" s="131"/>
      <c r="F1851" s="127"/>
      <c r="G1851" s="127"/>
      <c r="H1851" s="54"/>
      <c r="I1851" s="138"/>
    </row>
    <row r="1852" spans="1:9" x14ac:dyDescent="0.3">
      <c r="A1852" s="126"/>
      <c r="B1852" s="126"/>
      <c r="C1852" s="53"/>
      <c r="D1852" s="53"/>
      <c r="E1852" s="131"/>
      <c r="F1852" s="127"/>
      <c r="G1852" s="127"/>
      <c r="H1852" s="54"/>
      <c r="I1852" s="138"/>
    </row>
    <row r="1853" spans="1:9" x14ac:dyDescent="0.3">
      <c r="A1853" s="126"/>
      <c r="B1853" s="126"/>
      <c r="C1853" s="53"/>
      <c r="D1853" s="53"/>
      <c r="E1853" s="131"/>
      <c r="F1853" s="127"/>
      <c r="G1853" s="127"/>
      <c r="H1853" s="54"/>
      <c r="I1853" s="138"/>
    </row>
    <row r="1854" spans="1:9" x14ac:dyDescent="0.3">
      <c r="A1854" s="126"/>
      <c r="B1854" s="126"/>
      <c r="C1854" s="53"/>
      <c r="D1854" s="53"/>
      <c r="E1854" s="131"/>
      <c r="F1854" s="127"/>
      <c r="G1854" s="127"/>
      <c r="H1854" s="54"/>
      <c r="I1854" s="138"/>
    </row>
    <row r="1855" spans="1:9" x14ac:dyDescent="0.3">
      <c r="A1855" s="126"/>
      <c r="B1855" s="126"/>
      <c r="C1855" s="53"/>
      <c r="D1855" s="53"/>
      <c r="E1855" s="131"/>
      <c r="F1855" s="127"/>
      <c r="G1855" s="127"/>
      <c r="H1855" s="54"/>
      <c r="I1855" s="138"/>
    </row>
    <row r="1856" spans="1:9" x14ac:dyDescent="0.3">
      <c r="A1856" s="126"/>
      <c r="B1856" s="126"/>
      <c r="C1856" s="53"/>
      <c r="D1856" s="53"/>
      <c r="E1856" s="131"/>
      <c r="F1856" s="127"/>
      <c r="G1856" s="127"/>
      <c r="H1856" s="54"/>
      <c r="I1856" s="138"/>
    </row>
    <row r="1857" spans="1:9" x14ac:dyDescent="0.3">
      <c r="A1857" s="126"/>
      <c r="B1857" s="126"/>
      <c r="C1857" s="53"/>
      <c r="D1857" s="53"/>
      <c r="E1857" s="131"/>
      <c r="F1857" s="127"/>
      <c r="G1857" s="127"/>
      <c r="H1857" s="54"/>
      <c r="I1857" s="138"/>
    </row>
    <row r="1858" spans="1:9" x14ac:dyDescent="0.3">
      <c r="A1858" s="126"/>
      <c r="B1858" s="126"/>
      <c r="C1858" s="53"/>
      <c r="D1858" s="53"/>
      <c r="E1858" s="131"/>
      <c r="F1858" s="127"/>
      <c r="G1858" s="127"/>
      <c r="H1858" s="54"/>
      <c r="I1858" s="138"/>
    </row>
    <row r="1859" spans="1:9" x14ac:dyDescent="0.3">
      <c r="A1859" s="126"/>
      <c r="B1859" s="126"/>
      <c r="C1859" s="53"/>
      <c r="D1859" s="53"/>
      <c r="E1859" s="131"/>
      <c r="F1859" s="127"/>
      <c r="G1859" s="127"/>
      <c r="H1859" s="54"/>
      <c r="I1859" s="138"/>
    </row>
    <row r="1860" spans="1:9" x14ac:dyDescent="0.3">
      <c r="A1860" s="126"/>
      <c r="B1860" s="126"/>
      <c r="C1860" s="53"/>
      <c r="D1860" s="53"/>
      <c r="E1860" s="131"/>
      <c r="F1860" s="127"/>
      <c r="G1860" s="127"/>
      <c r="H1860" s="54"/>
      <c r="I1860" s="138"/>
    </row>
    <row r="1861" spans="1:9" x14ac:dyDescent="0.3">
      <c r="A1861" s="126"/>
      <c r="B1861" s="126"/>
      <c r="C1861" s="53"/>
      <c r="D1861" s="53"/>
      <c r="E1861" s="131"/>
      <c r="F1861" s="127"/>
      <c r="G1861" s="127"/>
      <c r="H1861" s="54"/>
      <c r="I1861" s="138"/>
    </row>
    <row r="1862" spans="1:9" x14ac:dyDescent="0.3">
      <c r="A1862" s="126"/>
      <c r="B1862" s="126"/>
      <c r="C1862" s="53"/>
      <c r="D1862" s="53"/>
      <c r="E1862" s="131"/>
      <c r="F1862" s="127"/>
      <c r="G1862" s="127"/>
      <c r="H1862" s="54"/>
      <c r="I1862" s="138"/>
    </row>
    <row r="1863" spans="1:9" x14ac:dyDescent="0.3">
      <c r="A1863" s="126"/>
      <c r="B1863" s="126"/>
      <c r="C1863" s="53"/>
      <c r="D1863" s="53"/>
      <c r="E1863" s="131"/>
      <c r="F1863" s="127"/>
      <c r="G1863" s="127"/>
      <c r="H1863" s="54"/>
      <c r="I1863" s="138"/>
    </row>
    <row r="1864" spans="1:9" x14ac:dyDescent="0.3">
      <c r="A1864" s="126"/>
      <c r="B1864" s="126"/>
      <c r="C1864" s="53"/>
      <c r="D1864" s="53"/>
      <c r="E1864" s="131"/>
      <c r="F1864" s="127"/>
      <c r="G1864" s="127"/>
      <c r="H1864" s="54"/>
      <c r="I1864" s="138"/>
    </row>
    <row r="1865" spans="1:9" x14ac:dyDescent="0.3">
      <c r="A1865" s="126"/>
      <c r="B1865" s="126"/>
      <c r="C1865" s="53"/>
      <c r="D1865" s="53"/>
      <c r="E1865" s="131"/>
      <c r="F1865" s="127"/>
      <c r="G1865" s="127"/>
      <c r="H1865" s="54"/>
      <c r="I1865" s="138"/>
    </row>
    <row r="1866" spans="1:9" x14ac:dyDescent="0.3">
      <c r="A1866" s="126"/>
      <c r="B1866" s="126"/>
      <c r="C1866" s="53"/>
      <c r="D1866" s="53"/>
      <c r="E1866" s="131"/>
      <c r="F1866" s="127"/>
      <c r="G1866" s="127"/>
      <c r="H1866" s="54"/>
      <c r="I1866" s="138"/>
    </row>
    <row r="1867" spans="1:9" x14ac:dyDescent="0.3">
      <c r="A1867" s="126"/>
      <c r="B1867" s="126"/>
      <c r="C1867" s="53"/>
      <c r="D1867" s="53"/>
      <c r="E1867" s="131"/>
      <c r="F1867" s="127"/>
      <c r="G1867" s="127"/>
      <c r="H1867" s="54"/>
      <c r="I1867" s="138"/>
    </row>
    <row r="1868" spans="1:9" x14ac:dyDescent="0.3">
      <c r="A1868" s="126"/>
      <c r="B1868" s="126"/>
      <c r="C1868" s="53"/>
      <c r="D1868" s="53"/>
      <c r="E1868" s="131"/>
      <c r="F1868" s="127"/>
      <c r="G1868" s="127"/>
      <c r="H1868" s="54"/>
      <c r="I1868" s="138"/>
    </row>
    <row r="1869" spans="1:9" x14ac:dyDescent="0.3">
      <c r="A1869" s="126"/>
      <c r="B1869" s="126"/>
      <c r="C1869" s="53"/>
      <c r="D1869" s="53"/>
      <c r="E1869" s="131"/>
      <c r="F1869" s="127"/>
      <c r="G1869" s="127"/>
      <c r="H1869" s="54"/>
      <c r="I1869" s="138"/>
    </row>
    <row r="1870" spans="1:9" x14ac:dyDescent="0.3">
      <c r="A1870" s="126"/>
      <c r="B1870" s="126"/>
      <c r="C1870" s="53"/>
      <c r="D1870" s="53"/>
      <c r="E1870" s="131"/>
      <c r="F1870" s="127"/>
      <c r="G1870" s="127"/>
      <c r="H1870" s="54"/>
      <c r="I1870" s="138"/>
    </row>
    <row r="1871" spans="1:9" x14ac:dyDescent="0.3">
      <c r="A1871" s="126"/>
      <c r="B1871" s="126"/>
      <c r="C1871" s="53"/>
      <c r="D1871" s="53"/>
      <c r="E1871" s="131"/>
      <c r="F1871" s="127"/>
      <c r="G1871" s="127"/>
      <c r="H1871" s="54"/>
      <c r="I1871" s="138"/>
    </row>
    <row r="1872" spans="1:9" x14ac:dyDescent="0.3">
      <c r="A1872" s="126"/>
      <c r="B1872" s="126"/>
      <c r="C1872" s="53"/>
      <c r="D1872" s="53"/>
      <c r="E1872" s="131"/>
      <c r="F1872" s="127"/>
      <c r="G1872" s="127"/>
      <c r="H1872" s="54"/>
      <c r="I1872" s="138"/>
    </row>
    <row r="1873" spans="1:9" x14ac:dyDescent="0.3">
      <c r="A1873" s="126"/>
      <c r="B1873" s="126"/>
      <c r="C1873" s="53"/>
      <c r="D1873" s="53"/>
      <c r="E1873" s="131"/>
      <c r="F1873" s="127"/>
      <c r="G1873" s="127"/>
      <c r="H1873" s="54"/>
      <c r="I1873" s="138"/>
    </row>
    <row r="1874" spans="1:9" x14ac:dyDescent="0.3">
      <c r="A1874" s="126"/>
      <c r="B1874" s="126"/>
      <c r="C1874" s="53"/>
      <c r="D1874" s="53"/>
      <c r="E1874" s="131"/>
      <c r="F1874" s="127"/>
      <c r="G1874" s="127"/>
      <c r="H1874" s="54"/>
      <c r="I1874" s="138"/>
    </row>
    <row r="1875" spans="1:9" x14ac:dyDescent="0.3">
      <c r="A1875" s="126"/>
      <c r="B1875" s="126"/>
      <c r="C1875" s="53"/>
      <c r="D1875" s="53"/>
      <c r="E1875" s="131"/>
      <c r="F1875" s="127"/>
      <c r="G1875" s="127"/>
      <c r="H1875" s="54"/>
      <c r="I1875" s="138"/>
    </row>
    <row r="1876" spans="1:9" x14ac:dyDescent="0.3">
      <c r="A1876" s="126"/>
      <c r="B1876" s="126"/>
      <c r="C1876" s="53"/>
      <c r="D1876" s="53"/>
      <c r="E1876" s="131"/>
      <c r="F1876" s="127"/>
      <c r="G1876" s="127"/>
      <c r="H1876" s="54"/>
      <c r="I1876" s="138"/>
    </row>
    <row r="1877" spans="1:9" x14ac:dyDescent="0.3">
      <c r="A1877" s="126"/>
      <c r="B1877" s="126"/>
      <c r="C1877" s="53"/>
      <c r="D1877" s="53"/>
      <c r="E1877" s="131"/>
      <c r="F1877" s="127"/>
      <c r="G1877" s="127"/>
      <c r="H1877" s="54"/>
      <c r="I1877" s="138"/>
    </row>
    <row r="1878" spans="1:9" x14ac:dyDescent="0.3">
      <c r="A1878" s="126"/>
      <c r="B1878" s="126"/>
      <c r="C1878" s="53"/>
      <c r="D1878" s="53"/>
      <c r="E1878" s="131"/>
      <c r="F1878" s="127"/>
      <c r="G1878" s="127"/>
      <c r="H1878" s="54"/>
      <c r="I1878" s="138"/>
    </row>
    <row r="1879" spans="1:9" x14ac:dyDescent="0.3">
      <c r="A1879" s="126"/>
      <c r="B1879" s="126"/>
      <c r="C1879" s="53"/>
      <c r="D1879" s="53"/>
      <c r="E1879" s="131"/>
      <c r="F1879" s="127"/>
      <c r="G1879" s="127"/>
      <c r="H1879" s="54"/>
      <c r="I1879" s="138"/>
    </row>
    <row r="1880" spans="1:9" x14ac:dyDescent="0.3">
      <c r="A1880" s="126"/>
      <c r="B1880" s="126"/>
      <c r="C1880" s="53"/>
      <c r="D1880" s="53"/>
      <c r="E1880" s="131"/>
      <c r="F1880" s="127"/>
      <c r="G1880" s="127"/>
      <c r="H1880" s="54"/>
      <c r="I1880" s="138"/>
    </row>
    <row r="1881" spans="1:9" x14ac:dyDescent="0.3">
      <c r="A1881" s="126"/>
      <c r="B1881" s="126"/>
      <c r="C1881" s="53"/>
      <c r="D1881" s="53"/>
      <c r="E1881" s="131"/>
      <c r="F1881" s="127"/>
      <c r="G1881" s="127"/>
      <c r="H1881" s="54"/>
      <c r="I1881" s="138"/>
    </row>
    <row r="1882" spans="1:9" x14ac:dyDescent="0.3">
      <c r="A1882" s="126"/>
      <c r="B1882" s="126"/>
      <c r="C1882" s="53"/>
      <c r="D1882" s="53"/>
      <c r="E1882" s="131"/>
      <c r="F1882" s="127"/>
      <c r="G1882" s="127"/>
      <c r="H1882" s="54"/>
      <c r="I1882" s="138"/>
    </row>
    <row r="1883" spans="1:9" x14ac:dyDescent="0.3">
      <c r="A1883" s="126"/>
      <c r="B1883" s="126"/>
      <c r="C1883" s="53"/>
      <c r="D1883" s="53"/>
      <c r="E1883" s="131"/>
      <c r="F1883" s="127"/>
      <c r="G1883" s="127"/>
      <c r="H1883" s="54"/>
      <c r="I1883" s="138"/>
    </row>
    <row r="1884" spans="1:9" x14ac:dyDescent="0.3">
      <c r="A1884" s="126"/>
      <c r="B1884" s="126"/>
      <c r="C1884" s="53"/>
      <c r="D1884" s="53"/>
      <c r="E1884" s="131"/>
      <c r="F1884" s="127"/>
      <c r="G1884" s="127"/>
      <c r="H1884" s="54"/>
      <c r="I1884" s="138"/>
    </row>
    <row r="1885" spans="1:9" x14ac:dyDescent="0.3">
      <c r="A1885" s="126"/>
      <c r="B1885" s="126"/>
      <c r="C1885" s="53"/>
      <c r="D1885" s="53"/>
      <c r="E1885" s="131"/>
      <c r="F1885" s="127"/>
      <c r="G1885" s="127"/>
      <c r="H1885" s="54"/>
      <c r="I1885" s="138"/>
    </row>
    <row r="1886" spans="1:9" x14ac:dyDescent="0.3">
      <c r="A1886" s="126"/>
      <c r="B1886" s="126"/>
      <c r="C1886" s="53"/>
      <c r="D1886" s="53"/>
      <c r="E1886" s="131"/>
      <c r="F1886" s="127"/>
      <c r="G1886" s="127"/>
      <c r="H1886" s="54"/>
      <c r="I1886" s="138"/>
    </row>
    <row r="1887" spans="1:9" x14ac:dyDescent="0.3">
      <c r="A1887" s="126"/>
      <c r="B1887" s="126"/>
      <c r="C1887" s="53"/>
      <c r="D1887" s="53"/>
      <c r="E1887" s="131"/>
      <c r="F1887" s="127"/>
      <c r="G1887" s="127"/>
      <c r="H1887" s="54"/>
      <c r="I1887" s="138"/>
    </row>
    <row r="1888" spans="1:9" x14ac:dyDescent="0.3">
      <c r="A1888" s="126"/>
      <c r="B1888" s="126"/>
      <c r="C1888" s="53"/>
      <c r="D1888" s="53"/>
      <c r="E1888" s="131"/>
      <c r="F1888" s="127"/>
      <c r="G1888" s="127"/>
      <c r="H1888" s="54"/>
      <c r="I1888" s="138"/>
    </row>
    <row r="1889" spans="1:9" x14ac:dyDescent="0.3">
      <c r="A1889" s="126"/>
      <c r="B1889" s="126"/>
      <c r="C1889" s="53"/>
      <c r="D1889" s="53"/>
      <c r="E1889" s="131"/>
      <c r="F1889" s="127"/>
      <c r="G1889" s="127"/>
      <c r="H1889" s="54"/>
      <c r="I1889" s="138"/>
    </row>
    <row r="1890" spans="1:9" x14ac:dyDescent="0.3">
      <c r="A1890" s="126"/>
      <c r="B1890" s="126"/>
      <c r="C1890" s="53"/>
      <c r="D1890" s="53"/>
      <c r="E1890" s="131"/>
      <c r="F1890" s="127"/>
      <c r="G1890" s="127"/>
      <c r="H1890" s="54"/>
      <c r="I1890" s="138"/>
    </row>
    <row r="1891" spans="1:9" x14ac:dyDescent="0.3">
      <c r="A1891" s="126"/>
      <c r="B1891" s="126"/>
      <c r="C1891" s="53"/>
      <c r="D1891" s="53"/>
      <c r="E1891" s="131"/>
      <c r="F1891" s="127"/>
      <c r="G1891" s="127"/>
      <c r="H1891" s="54"/>
      <c r="I1891" s="138"/>
    </row>
    <row r="1892" spans="1:9" x14ac:dyDescent="0.3">
      <c r="A1892" s="126"/>
      <c r="B1892" s="126"/>
      <c r="C1892" s="53"/>
      <c r="D1892" s="53"/>
      <c r="E1892" s="131"/>
      <c r="F1892" s="127"/>
      <c r="G1892" s="127"/>
      <c r="H1892" s="54"/>
      <c r="I1892" s="138"/>
    </row>
    <row r="1893" spans="1:9" x14ac:dyDescent="0.3">
      <c r="A1893" s="126"/>
      <c r="B1893" s="126"/>
      <c r="C1893" s="53"/>
      <c r="D1893" s="53"/>
      <c r="E1893" s="131"/>
      <c r="F1893" s="127"/>
      <c r="G1893" s="127"/>
      <c r="H1893" s="54"/>
      <c r="I1893" s="138"/>
    </row>
    <row r="1894" spans="1:9" x14ac:dyDescent="0.3">
      <c r="A1894" s="126"/>
      <c r="B1894" s="126"/>
      <c r="C1894" s="53"/>
      <c r="D1894" s="53"/>
      <c r="E1894" s="131"/>
      <c r="F1894" s="127"/>
      <c r="G1894" s="127"/>
      <c r="H1894" s="54"/>
      <c r="I1894" s="138"/>
    </row>
    <row r="1895" spans="1:9" x14ac:dyDescent="0.3">
      <c r="A1895" s="126"/>
      <c r="B1895" s="126"/>
      <c r="C1895" s="53"/>
      <c r="D1895" s="53"/>
      <c r="E1895" s="131"/>
      <c r="F1895" s="127"/>
      <c r="G1895" s="127"/>
      <c r="H1895" s="54"/>
      <c r="I1895" s="138"/>
    </row>
    <row r="1896" spans="1:9" x14ac:dyDescent="0.3">
      <c r="A1896" s="126"/>
      <c r="B1896" s="126"/>
      <c r="C1896" s="53"/>
      <c r="D1896" s="53"/>
      <c r="E1896" s="131"/>
      <c r="F1896" s="127"/>
      <c r="G1896" s="127"/>
      <c r="H1896" s="54"/>
      <c r="I1896" s="138"/>
    </row>
    <row r="1897" spans="1:9" x14ac:dyDescent="0.3">
      <c r="A1897" s="126"/>
      <c r="B1897" s="126"/>
      <c r="C1897" s="53"/>
      <c r="D1897" s="53"/>
      <c r="E1897" s="131"/>
      <c r="F1897" s="127"/>
      <c r="G1897" s="127"/>
      <c r="H1897" s="54"/>
      <c r="I1897" s="138"/>
    </row>
    <row r="1898" spans="1:9" x14ac:dyDescent="0.3">
      <c r="A1898" s="126"/>
      <c r="B1898" s="126"/>
      <c r="C1898" s="53"/>
      <c r="D1898" s="53"/>
      <c r="E1898" s="131"/>
      <c r="F1898" s="127"/>
      <c r="G1898" s="127"/>
      <c r="H1898" s="54"/>
      <c r="I1898" s="138"/>
    </row>
    <row r="1899" spans="1:9" x14ac:dyDescent="0.3">
      <c r="A1899" s="126"/>
      <c r="B1899" s="126"/>
      <c r="C1899" s="53"/>
      <c r="D1899" s="53"/>
      <c r="E1899" s="131"/>
      <c r="F1899" s="127"/>
      <c r="G1899" s="127"/>
      <c r="H1899" s="54"/>
      <c r="I1899" s="138"/>
    </row>
    <row r="1900" spans="1:9" x14ac:dyDescent="0.3">
      <c r="A1900" s="126"/>
      <c r="B1900" s="126"/>
      <c r="C1900" s="53"/>
      <c r="D1900" s="53"/>
      <c r="E1900" s="131"/>
      <c r="F1900" s="127"/>
      <c r="G1900" s="127"/>
      <c r="H1900" s="54"/>
      <c r="I1900" s="138"/>
    </row>
    <row r="1901" spans="1:9" x14ac:dyDescent="0.3">
      <c r="A1901" s="126"/>
      <c r="B1901" s="126"/>
      <c r="C1901" s="53"/>
      <c r="D1901" s="53"/>
      <c r="E1901" s="131"/>
      <c r="F1901" s="127"/>
      <c r="G1901" s="127"/>
      <c r="H1901" s="54"/>
      <c r="I1901" s="138"/>
    </row>
    <row r="1902" spans="1:9" x14ac:dyDescent="0.3">
      <c r="A1902" s="126"/>
      <c r="B1902" s="126"/>
      <c r="C1902" s="53"/>
      <c r="D1902" s="53"/>
      <c r="E1902" s="131"/>
      <c r="F1902" s="127"/>
      <c r="G1902" s="127"/>
      <c r="H1902" s="54"/>
      <c r="I1902" s="138"/>
    </row>
    <row r="1903" spans="1:9" x14ac:dyDescent="0.3">
      <c r="A1903" s="126"/>
      <c r="B1903" s="126"/>
      <c r="C1903" s="53"/>
      <c r="D1903" s="53"/>
      <c r="E1903" s="131"/>
      <c r="F1903" s="127"/>
      <c r="G1903" s="127"/>
      <c r="H1903" s="54"/>
      <c r="I1903" s="138"/>
    </row>
    <row r="1904" spans="1:9" x14ac:dyDescent="0.3">
      <c r="A1904" s="126"/>
      <c r="B1904" s="126"/>
      <c r="C1904" s="53"/>
      <c r="D1904" s="53"/>
      <c r="E1904" s="131"/>
      <c r="F1904" s="127"/>
      <c r="G1904" s="127"/>
      <c r="H1904" s="54"/>
      <c r="I1904" s="138"/>
    </row>
    <row r="1905" spans="1:9" x14ac:dyDescent="0.3">
      <c r="A1905" s="126"/>
      <c r="B1905" s="126"/>
      <c r="C1905" s="53"/>
      <c r="D1905" s="53"/>
      <c r="E1905" s="131"/>
      <c r="F1905" s="127"/>
      <c r="G1905" s="127"/>
      <c r="H1905" s="54"/>
      <c r="I1905" s="138"/>
    </row>
    <row r="1906" spans="1:9" x14ac:dyDescent="0.3">
      <c r="A1906" s="126"/>
      <c r="B1906" s="126"/>
      <c r="C1906" s="53"/>
      <c r="D1906" s="53"/>
      <c r="E1906" s="131"/>
      <c r="F1906" s="127"/>
      <c r="G1906" s="127"/>
      <c r="H1906" s="54"/>
      <c r="I1906" s="138"/>
    </row>
    <row r="1907" spans="1:9" x14ac:dyDescent="0.3">
      <c r="A1907" s="126"/>
      <c r="B1907" s="126"/>
      <c r="C1907" s="53"/>
      <c r="D1907" s="53"/>
      <c r="E1907" s="131"/>
      <c r="F1907" s="127"/>
      <c r="G1907" s="127"/>
      <c r="H1907" s="54"/>
      <c r="I1907" s="138"/>
    </row>
    <row r="1908" spans="1:9" x14ac:dyDescent="0.3">
      <c r="A1908" s="126"/>
      <c r="B1908" s="126"/>
      <c r="C1908" s="53"/>
      <c r="D1908" s="53"/>
      <c r="E1908" s="131"/>
      <c r="F1908" s="127"/>
      <c r="G1908" s="127"/>
      <c r="H1908" s="54"/>
      <c r="I1908" s="138"/>
    </row>
    <row r="1909" spans="1:9" x14ac:dyDescent="0.3">
      <c r="A1909" s="126"/>
      <c r="B1909" s="126"/>
      <c r="C1909" s="53"/>
      <c r="D1909" s="53"/>
      <c r="E1909" s="131"/>
      <c r="F1909" s="127"/>
      <c r="G1909" s="127"/>
      <c r="H1909" s="54"/>
      <c r="I1909" s="138"/>
    </row>
    <row r="1910" spans="1:9" x14ac:dyDescent="0.3">
      <c r="A1910" s="126"/>
      <c r="B1910" s="126"/>
      <c r="C1910" s="53"/>
      <c r="D1910" s="53"/>
      <c r="E1910" s="131"/>
      <c r="F1910" s="127"/>
      <c r="G1910" s="127"/>
      <c r="H1910" s="54"/>
      <c r="I1910" s="138"/>
    </row>
    <row r="1911" spans="1:9" x14ac:dyDescent="0.3">
      <c r="A1911" s="126"/>
      <c r="B1911" s="126"/>
      <c r="C1911" s="53"/>
      <c r="D1911" s="53"/>
      <c r="E1911" s="131"/>
      <c r="F1911" s="127"/>
      <c r="G1911" s="127"/>
      <c r="H1911" s="54"/>
      <c r="I1911" s="138"/>
    </row>
    <row r="1912" spans="1:9" x14ac:dyDescent="0.3">
      <c r="A1912" s="126"/>
      <c r="B1912" s="126"/>
      <c r="C1912" s="53"/>
      <c r="D1912" s="53"/>
      <c r="E1912" s="131"/>
      <c r="F1912" s="127"/>
      <c r="G1912" s="127"/>
      <c r="H1912" s="54"/>
      <c r="I1912" s="138"/>
    </row>
    <row r="1913" spans="1:9" x14ac:dyDescent="0.3">
      <c r="A1913" s="126"/>
      <c r="B1913" s="126"/>
      <c r="C1913" s="53"/>
      <c r="D1913" s="53"/>
      <c r="E1913" s="131"/>
      <c r="F1913" s="127"/>
      <c r="G1913" s="127"/>
      <c r="H1913" s="54"/>
      <c r="I1913" s="138"/>
    </row>
    <row r="1914" spans="1:9" x14ac:dyDescent="0.3">
      <c r="A1914" s="126"/>
      <c r="B1914" s="126"/>
      <c r="C1914" s="53"/>
      <c r="D1914" s="53"/>
      <c r="E1914" s="131"/>
      <c r="F1914" s="127"/>
      <c r="G1914" s="127"/>
      <c r="H1914" s="54"/>
      <c r="I1914" s="138"/>
    </row>
    <row r="1915" spans="1:9" x14ac:dyDescent="0.3">
      <c r="A1915" s="126"/>
      <c r="B1915" s="126"/>
      <c r="C1915" s="53"/>
      <c r="D1915" s="53"/>
      <c r="E1915" s="131"/>
      <c r="F1915" s="127"/>
      <c r="G1915" s="127"/>
      <c r="H1915" s="54"/>
      <c r="I1915" s="138"/>
    </row>
    <row r="1916" spans="1:9" x14ac:dyDescent="0.3">
      <c r="A1916" s="126"/>
      <c r="B1916" s="126"/>
      <c r="C1916" s="53"/>
      <c r="D1916" s="53"/>
      <c r="E1916" s="131"/>
      <c r="F1916" s="127"/>
      <c r="G1916" s="127"/>
      <c r="H1916" s="54"/>
      <c r="I1916" s="138"/>
    </row>
    <row r="1917" spans="1:9" x14ac:dyDescent="0.3">
      <c r="A1917" s="126"/>
      <c r="B1917" s="126"/>
      <c r="C1917" s="53"/>
      <c r="D1917" s="53"/>
      <c r="E1917" s="131"/>
      <c r="F1917" s="127"/>
      <c r="G1917" s="127"/>
      <c r="H1917" s="54"/>
      <c r="I1917" s="138"/>
    </row>
    <row r="1918" spans="1:9" x14ac:dyDescent="0.3">
      <c r="A1918" s="126"/>
      <c r="B1918" s="126"/>
      <c r="C1918" s="53"/>
      <c r="D1918" s="53"/>
      <c r="E1918" s="131"/>
      <c r="F1918" s="127"/>
      <c r="G1918" s="127"/>
      <c r="H1918" s="54"/>
      <c r="I1918" s="138"/>
    </row>
    <row r="1919" spans="1:9" x14ac:dyDescent="0.3">
      <c r="A1919" s="126"/>
      <c r="B1919" s="126"/>
      <c r="C1919" s="53"/>
      <c r="D1919" s="53"/>
      <c r="E1919" s="131"/>
      <c r="F1919" s="127"/>
      <c r="G1919" s="127"/>
      <c r="H1919" s="54"/>
      <c r="I1919" s="138"/>
    </row>
    <row r="1920" spans="1:9" x14ac:dyDescent="0.3">
      <c r="A1920" s="126"/>
      <c r="B1920" s="126"/>
      <c r="C1920" s="53"/>
      <c r="D1920" s="53"/>
      <c r="E1920" s="131"/>
      <c r="F1920" s="127"/>
      <c r="G1920" s="127"/>
      <c r="H1920" s="54"/>
      <c r="I1920" s="138"/>
    </row>
    <row r="1921" spans="1:9" x14ac:dyDescent="0.3">
      <c r="A1921" s="126"/>
      <c r="B1921" s="126"/>
      <c r="C1921" s="53"/>
      <c r="D1921" s="53"/>
      <c r="E1921" s="131"/>
      <c r="F1921" s="127"/>
      <c r="G1921" s="127"/>
      <c r="H1921" s="54"/>
      <c r="I1921" s="138"/>
    </row>
    <row r="1922" spans="1:9" x14ac:dyDescent="0.3">
      <c r="A1922" s="126"/>
      <c r="B1922" s="126"/>
      <c r="C1922" s="53"/>
      <c r="D1922" s="53"/>
      <c r="E1922" s="131"/>
      <c r="F1922" s="127"/>
      <c r="G1922" s="127"/>
      <c r="H1922" s="54"/>
      <c r="I1922" s="138"/>
    </row>
    <row r="1923" spans="1:9" x14ac:dyDescent="0.3">
      <c r="A1923" s="126"/>
      <c r="B1923" s="126"/>
      <c r="C1923" s="53"/>
      <c r="D1923" s="53"/>
      <c r="E1923" s="131"/>
      <c r="F1923" s="127"/>
      <c r="G1923" s="127"/>
      <c r="H1923" s="54"/>
      <c r="I1923" s="138"/>
    </row>
    <row r="1924" spans="1:9" x14ac:dyDescent="0.3">
      <c r="A1924" s="126"/>
      <c r="B1924" s="126"/>
      <c r="C1924" s="53"/>
      <c r="D1924" s="53"/>
      <c r="E1924" s="131"/>
      <c r="F1924" s="127"/>
      <c r="G1924" s="127"/>
      <c r="H1924" s="54"/>
      <c r="I1924" s="138"/>
    </row>
    <row r="1925" spans="1:9" x14ac:dyDescent="0.3">
      <c r="A1925" s="126"/>
      <c r="B1925" s="126"/>
      <c r="C1925" s="53"/>
      <c r="D1925" s="53"/>
      <c r="E1925" s="131"/>
      <c r="F1925" s="127"/>
      <c r="G1925" s="127"/>
      <c r="H1925" s="54"/>
      <c r="I1925" s="138"/>
    </row>
    <row r="1926" spans="1:9" x14ac:dyDescent="0.3">
      <c r="A1926" s="126"/>
      <c r="B1926" s="126"/>
      <c r="C1926" s="53"/>
      <c r="D1926" s="53"/>
      <c r="E1926" s="131"/>
      <c r="F1926" s="127"/>
      <c r="G1926" s="127"/>
      <c r="H1926" s="54"/>
      <c r="I1926" s="138"/>
    </row>
    <row r="1927" spans="1:9" x14ac:dyDescent="0.3">
      <c r="A1927" s="126"/>
      <c r="B1927" s="126"/>
      <c r="C1927" s="53"/>
      <c r="D1927" s="53"/>
      <c r="E1927" s="131"/>
      <c r="F1927" s="127"/>
      <c r="G1927" s="127"/>
      <c r="H1927" s="54"/>
      <c r="I1927" s="138"/>
    </row>
    <row r="1928" spans="1:9" x14ac:dyDescent="0.3">
      <c r="A1928" s="126"/>
      <c r="B1928" s="126"/>
      <c r="C1928" s="53"/>
      <c r="D1928" s="53"/>
      <c r="E1928" s="131"/>
      <c r="F1928" s="127"/>
      <c r="G1928" s="127"/>
      <c r="H1928" s="54"/>
      <c r="I1928" s="138"/>
    </row>
    <row r="1929" spans="1:9" x14ac:dyDescent="0.3">
      <c r="A1929" s="126"/>
      <c r="B1929" s="126"/>
      <c r="C1929" s="53"/>
      <c r="D1929" s="53"/>
      <c r="E1929" s="131"/>
      <c r="F1929" s="127"/>
      <c r="G1929" s="127"/>
      <c r="H1929" s="54"/>
      <c r="I1929" s="138"/>
    </row>
    <row r="1930" spans="1:9" x14ac:dyDescent="0.3">
      <c r="A1930" s="126"/>
      <c r="B1930" s="126"/>
      <c r="C1930" s="53"/>
      <c r="D1930" s="53"/>
      <c r="E1930" s="131"/>
      <c r="F1930" s="127"/>
      <c r="G1930" s="127"/>
      <c r="H1930" s="54"/>
      <c r="I1930" s="138"/>
    </row>
    <row r="1931" spans="1:9" x14ac:dyDescent="0.3">
      <c r="A1931" s="126"/>
      <c r="B1931" s="126"/>
      <c r="C1931" s="53"/>
      <c r="D1931" s="53"/>
      <c r="E1931" s="131"/>
      <c r="F1931" s="127"/>
      <c r="G1931" s="127"/>
      <c r="H1931" s="54"/>
      <c r="I1931" s="138"/>
    </row>
    <row r="1932" spans="1:9" x14ac:dyDescent="0.3">
      <c r="A1932" s="126"/>
      <c r="B1932" s="126"/>
      <c r="C1932" s="53"/>
      <c r="D1932" s="53"/>
      <c r="E1932" s="131"/>
      <c r="F1932" s="127"/>
      <c r="G1932" s="127"/>
      <c r="H1932" s="54"/>
      <c r="I1932" s="138"/>
    </row>
    <row r="1933" spans="1:9" x14ac:dyDescent="0.3">
      <c r="A1933" s="126"/>
      <c r="B1933" s="126"/>
      <c r="C1933" s="53"/>
      <c r="D1933" s="53"/>
      <c r="E1933" s="131"/>
      <c r="F1933" s="127"/>
      <c r="G1933" s="127"/>
      <c r="H1933" s="54"/>
      <c r="I1933" s="138"/>
    </row>
    <row r="1934" spans="1:9" x14ac:dyDescent="0.3">
      <c r="A1934" s="126"/>
      <c r="B1934" s="126"/>
      <c r="C1934" s="53"/>
      <c r="D1934" s="53"/>
      <c r="E1934" s="131"/>
      <c r="F1934" s="127"/>
      <c r="G1934" s="127"/>
      <c r="H1934" s="54"/>
      <c r="I1934" s="138"/>
    </row>
    <row r="1935" spans="1:9" x14ac:dyDescent="0.3">
      <c r="A1935" s="126"/>
      <c r="B1935" s="126"/>
      <c r="C1935" s="53"/>
      <c r="D1935" s="53"/>
      <c r="E1935" s="131"/>
      <c r="F1935" s="127"/>
      <c r="G1935" s="127"/>
      <c r="H1935" s="54"/>
      <c r="I1935" s="138"/>
    </row>
    <row r="1936" spans="1:9" x14ac:dyDescent="0.3">
      <c r="A1936" s="126"/>
      <c r="B1936" s="126"/>
      <c r="C1936" s="53"/>
      <c r="D1936" s="53"/>
      <c r="E1936" s="131"/>
      <c r="F1936" s="127"/>
      <c r="G1936" s="127"/>
      <c r="H1936" s="54"/>
      <c r="I1936" s="138"/>
    </row>
    <row r="1937" spans="1:9" x14ac:dyDescent="0.3">
      <c r="A1937" s="126"/>
      <c r="B1937" s="126"/>
      <c r="C1937" s="53"/>
      <c r="D1937" s="53"/>
      <c r="E1937" s="131"/>
      <c r="F1937" s="127"/>
      <c r="G1937" s="127"/>
      <c r="H1937" s="54"/>
      <c r="I1937" s="138"/>
    </row>
    <row r="1938" spans="1:9" x14ac:dyDescent="0.3">
      <c r="A1938" s="126"/>
      <c r="B1938" s="126"/>
      <c r="C1938" s="53"/>
      <c r="D1938" s="53"/>
      <c r="E1938" s="131"/>
      <c r="F1938" s="127"/>
      <c r="G1938" s="127"/>
      <c r="H1938" s="54"/>
      <c r="I1938" s="138"/>
    </row>
    <row r="1939" spans="1:9" x14ac:dyDescent="0.3">
      <c r="A1939" s="126"/>
      <c r="B1939" s="126"/>
      <c r="C1939" s="53"/>
      <c r="D1939" s="53"/>
      <c r="E1939" s="131"/>
      <c r="F1939" s="127"/>
      <c r="G1939" s="127"/>
      <c r="H1939" s="54"/>
      <c r="I1939" s="138"/>
    </row>
    <row r="1940" spans="1:9" x14ac:dyDescent="0.3">
      <c r="A1940" s="126"/>
      <c r="B1940" s="126"/>
      <c r="C1940" s="53"/>
      <c r="D1940" s="53"/>
      <c r="E1940" s="131"/>
      <c r="F1940" s="127"/>
      <c r="G1940" s="127"/>
      <c r="H1940" s="54"/>
      <c r="I1940" s="138"/>
    </row>
    <row r="1941" spans="1:9" x14ac:dyDescent="0.3">
      <c r="A1941" s="126"/>
      <c r="B1941" s="126"/>
      <c r="C1941" s="53"/>
      <c r="D1941" s="53"/>
      <c r="E1941" s="131"/>
      <c r="F1941" s="127"/>
      <c r="G1941" s="127"/>
      <c r="H1941" s="54"/>
      <c r="I1941" s="138"/>
    </row>
    <row r="1942" spans="1:9" x14ac:dyDescent="0.3">
      <c r="A1942" s="126"/>
      <c r="B1942" s="126"/>
      <c r="C1942" s="53"/>
      <c r="D1942" s="53"/>
      <c r="E1942" s="131"/>
      <c r="F1942" s="127"/>
      <c r="G1942" s="127"/>
      <c r="H1942" s="54"/>
      <c r="I1942" s="138"/>
    </row>
    <row r="1943" spans="1:9" x14ac:dyDescent="0.3">
      <c r="A1943" s="126"/>
      <c r="B1943" s="126"/>
      <c r="C1943" s="53"/>
      <c r="D1943" s="53"/>
      <c r="E1943" s="131"/>
      <c r="F1943" s="127"/>
      <c r="G1943" s="127"/>
      <c r="H1943" s="54"/>
      <c r="I1943" s="138"/>
    </row>
    <row r="1944" spans="1:9" x14ac:dyDescent="0.3">
      <c r="A1944" s="126"/>
      <c r="B1944" s="126"/>
      <c r="C1944" s="53"/>
      <c r="D1944" s="53"/>
      <c r="E1944" s="131"/>
      <c r="F1944" s="127"/>
      <c r="G1944" s="127"/>
      <c r="H1944" s="54"/>
      <c r="I1944" s="138"/>
    </row>
    <row r="1945" spans="1:9" x14ac:dyDescent="0.3">
      <c r="A1945" s="126"/>
      <c r="B1945" s="126"/>
      <c r="C1945" s="53"/>
      <c r="D1945" s="53"/>
      <c r="E1945" s="131"/>
      <c r="F1945" s="127"/>
      <c r="G1945" s="127"/>
      <c r="H1945" s="54"/>
      <c r="I1945" s="138"/>
    </row>
    <row r="1946" spans="1:9" x14ac:dyDescent="0.3">
      <c r="A1946" s="126"/>
      <c r="B1946" s="126"/>
      <c r="C1946" s="53"/>
      <c r="D1946" s="53"/>
      <c r="E1946" s="131"/>
      <c r="F1946" s="127"/>
      <c r="G1946" s="127"/>
      <c r="H1946" s="54"/>
      <c r="I1946" s="138"/>
    </row>
    <row r="1947" spans="1:9" x14ac:dyDescent="0.3">
      <c r="A1947" s="126"/>
      <c r="B1947" s="126"/>
      <c r="C1947" s="53"/>
      <c r="D1947" s="53"/>
      <c r="E1947" s="131"/>
      <c r="F1947" s="127"/>
      <c r="G1947" s="127"/>
      <c r="H1947" s="54"/>
      <c r="I1947" s="138"/>
    </row>
    <row r="1948" spans="1:9" x14ac:dyDescent="0.3">
      <c r="A1948" s="126"/>
      <c r="B1948" s="126"/>
      <c r="C1948" s="53"/>
      <c r="D1948" s="53"/>
      <c r="E1948" s="131"/>
      <c r="F1948" s="127"/>
      <c r="G1948" s="127"/>
      <c r="H1948" s="54"/>
      <c r="I1948" s="138"/>
    </row>
    <row r="1949" spans="1:9" x14ac:dyDescent="0.3">
      <c r="A1949" s="126"/>
      <c r="B1949" s="126"/>
      <c r="C1949" s="53"/>
      <c r="D1949" s="53"/>
      <c r="E1949" s="131"/>
      <c r="F1949" s="127"/>
      <c r="G1949" s="127"/>
      <c r="H1949" s="54"/>
      <c r="I1949" s="138"/>
    </row>
    <row r="1950" spans="1:9" x14ac:dyDescent="0.3">
      <c r="A1950" s="126"/>
      <c r="B1950" s="126"/>
      <c r="C1950" s="53"/>
      <c r="D1950" s="53"/>
      <c r="E1950" s="131"/>
      <c r="F1950" s="127"/>
      <c r="G1950" s="127"/>
      <c r="H1950" s="54"/>
      <c r="I1950" s="138"/>
    </row>
    <row r="1951" spans="1:9" x14ac:dyDescent="0.3">
      <c r="A1951" s="126"/>
      <c r="B1951" s="126"/>
      <c r="C1951" s="53"/>
      <c r="D1951" s="53"/>
      <c r="E1951" s="131"/>
      <c r="F1951" s="127"/>
      <c r="G1951" s="127"/>
      <c r="H1951" s="54"/>
      <c r="I1951" s="138"/>
    </row>
    <row r="1952" spans="1:9" x14ac:dyDescent="0.3">
      <c r="A1952" s="126"/>
      <c r="B1952" s="126"/>
      <c r="C1952" s="53"/>
      <c r="D1952" s="53"/>
      <c r="E1952" s="131"/>
      <c r="F1952" s="127"/>
      <c r="G1952" s="127"/>
      <c r="H1952" s="54"/>
      <c r="I1952" s="138"/>
    </row>
    <row r="1953" spans="1:9" x14ac:dyDescent="0.3">
      <c r="A1953" s="126"/>
      <c r="B1953" s="126"/>
      <c r="C1953" s="53"/>
      <c r="D1953" s="53"/>
      <c r="E1953" s="131"/>
      <c r="F1953" s="127"/>
      <c r="G1953" s="127"/>
      <c r="H1953" s="54"/>
      <c r="I1953" s="138"/>
    </row>
    <row r="1954" spans="1:9" x14ac:dyDescent="0.3">
      <c r="A1954" s="126"/>
      <c r="B1954" s="126"/>
      <c r="C1954" s="53"/>
      <c r="D1954" s="53"/>
      <c r="E1954" s="131"/>
      <c r="F1954" s="127"/>
      <c r="G1954" s="127"/>
      <c r="H1954" s="54"/>
      <c r="I1954" s="138"/>
    </row>
    <row r="1955" spans="1:9" x14ac:dyDescent="0.3">
      <c r="A1955" s="126"/>
      <c r="B1955" s="126"/>
      <c r="C1955" s="53"/>
      <c r="D1955" s="53"/>
      <c r="E1955" s="131"/>
      <c r="F1955" s="127"/>
      <c r="G1955" s="127"/>
      <c r="H1955" s="54"/>
      <c r="I1955" s="138"/>
    </row>
    <row r="1956" spans="1:9" x14ac:dyDescent="0.3">
      <c r="A1956" s="126"/>
      <c r="B1956" s="126"/>
      <c r="C1956" s="53"/>
      <c r="D1956" s="53"/>
      <c r="E1956" s="131"/>
      <c r="F1956" s="127"/>
      <c r="G1956" s="127"/>
      <c r="H1956" s="54"/>
      <c r="I1956" s="138"/>
    </row>
    <row r="1957" spans="1:9" x14ac:dyDescent="0.3">
      <c r="A1957" s="126"/>
      <c r="B1957" s="126"/>
      <c r="C1957" s="53"/>
      <c r="D1957" s="53"/>
      <c r="E1957" s="131"/>
      <c r="F1957" s="127"/>
      <c r="G1957" s="127"/>
      <c r="H1957" s="54"/>
      <c r="I1957" s="138"/>
    </row>
    <row r="1958" spans="1:9" x14ac:dyDescent="0.3">
      <c r="A1958" s="126"/>
      <c r="B1958" s="126"/>
      <c r="C1958" s="53"/>
      <c r="D1958" s="53"/>
      <c r="E1958" s="131"/>
      <c r="F1958" s="127"/>
      <c r="G1958" s="127"/>
      <c r="H1958" s="54"/>
      <c r="I1958" s="138"/>
    </row>
    <row r="1959" spans="1:9" x14ac:dyDescent="0.3">
      <c r="A1959" s="126"/>
      <c r="B1959" s="126"/>
      <c r="C1959" s="53"/>
      <c r="D1959" s="53"/>
      <c r="E1959" s="131"/>
      <c r="F1959" s="127"/>
      <c r="G1959" s="127"/>
      <c r="H1959" s="54"/>
      <c r="I1959" s="138"/>
    </row>
    <row r="1960" spans="1:9" x14ac:dyDescent="0.3">
      <c r="A1960" s="126"/>
      <c r="B1960" s="126"/>
      <c r="C1960" s="53"/>
      <c r="D1960" s="53"/>
      <c r="E1960" s="131"/>
      <c r="F1960" s="127"/>
      <c r="G1960" s="127"/>
      <c r="H1960" s="54"/>
      <c r="I1960" s="138"/>
    </row>
    <row r="1961" spans="1:9" x14ac:dyDescent="0.3">
      <c r="A1961" s="126"/>
      <c r="B1961" s="126"/>
      <c r="C1961" s="53"/>
      <c r="D1961" s="53"/>
      <c r="E1961" s="131"/>
      <c r="F1961" s="127"/>
      <c r="G1961" s="127"/>
      <c r="H1961" s="54"/>
      <c r="I1961" s="138"/>
    </row>
    <row r="1962" spans="1:9" x14ac:dyDescent="0.3">
      <c r="A1962" s="126"/>
      <c r="B1962" s="126"/>
      <c r="C1962" s="53"/>
      <c r="D1962" s="53"/>
      <c r="E1962" s="131"/>
      <c r="F1962" s="127"/>
      <c r="G1962" s="127"/>
      <c r="H1962" s="54"/>
      <c r="I1962" s="138"/>
    </row>
    <row r="1963" spans="1:9" x14ac:dyDescent="0.3">
      <c r="A1963" s="126"/>
      <c r="B1963" s="126"/>
      <c r="C1963" s="53"/>
      <c r="D1963" s="53"/>
      <c r="E1963" s="131"/>
      <c r="F1963" s="127"/>
      <c r="G1963" s="127"/>
      <c r="H1963" s="54"/>
      <c r="I1963" s="138"/>
    </row>
    <row r="1964" spans="1:9" x14ac:dyDescent="0.3">
      <c r="A1964" s="126"/>
      <c r="B1964" s="126"/>
      <c r="C1964" s="53"/>
      <c r="D1964" s="53"/>
      <c r="E1964" s="131"/>
      <c r="F1964" s="127"/>
      <c r="G1964" s="127"/>
      <c r="H1964" s="54"/>
      <c r="I1964" s="138"/>
    </row>
    <row r="1965" spans="1:9" x14ac:dyDescent="0.3">
      <c r="A1965" s="126"/>
      <c r="B1965" s="126"/>
      <c r="C1965" s="53"/>
      <c r="D1965" s="53"/>
      <c r="E1965" s="131"/>
      <c r="F1965" s="127"/>
      <c r="G1965" s="127"/>
      <c r="H1965" s="54"/>
      <c r="I1965" s="138"/>
    </row>
    <row r="1966" spans="1:9" x14ac:dyDescent="0.3">
      <c r="A1966" s="126"/>
      <c r="B1966" s="126"/>
      <c r="C1966" s="53"/>
      <c r="D1966" s="53"/>
      <c r="E1966" s="131"/>
      <c r="F1966" s="127"/>
      <c r="G1966" s="127"/>
      <c r="H1966" s="54"/>
      <c r="I1966" s="138"/>
    </row>
    <row r="1967" spans="1:9" x14ac:dyDescent="0.3">
      <c r="A1967" s="126"/>
      <c r="B1967" s="126"/>
      <c r="C1967" s="53"/>
      <c r="D1967" s="53"/>
      <c r="E1967" s="131"/>
      <c r="F1967" s="127"/>
      <c r="G1967" s="127"/>
      <c r="H1967" s="54"/>
      <c r="I1967" s="138"/>
    </row>
    <row r="1968" spans="1:9" x14ac:dyDescent="0.3">
      <c r="A1968" s="126"/>
      <c r="B1968" s="126"/>
      <c r="C1968" s="53"/>
      <c r="D1968" s="53"/>
      <c r="E1968" s="131"/>
      <c r="F1968" s="127"/>
      <c r="G1968" s="127"/>
      <c r="H1968" s="54"/>
      <c r="I1968" s="138"/>
    </row>
    <row r="1969" spans="1:9" x14ac:dyDescent="0.3">
      <c r="A1969" s="126"/>
      <c r="B1969" s="126"/>
      <c r="C1969" s="53"/>
      <c r="D1969" s="53"/>
      <c r="E1969" s="131"/>
      <c r="F1969" s="127"/>
      <c r="G1969" s="127"/>
      <c r="H1969" s="54"/>
      <c r="I1969" s="138"/>
    </row>
    <row r="1970" spans="1:9" x14ac:dyDescent="0.3">
      <c r="A1970" s="126"/>
      <c r="B1970" s="126"/>
      <c r="C1970" s="53"/>
      <c r="D1970" s="53"/>
      <c r="E1970" s="131"/>
      <c r="F1970" s="127"/>
      <c r="G1970" s="127"/>
      <c r="H1970" s="54"/>
      <c r="I1970" s="138"/>
    </row>
    <row r="1971" spans="1:9" x14ac:dyDescent="0.3">
      <c r="A1971" s="126"/>
      <c r="B1971" s="126"/>
      <c r="C1971" s="53"/>
      <c r="D1971" s="53"/>
      <c r="E1971" s="131"/>
      <c r="F1971" s="127"/>
      <c r="G1971" s="127"/>
      <c r="H1971" s="54"/>
      <c r="I1971" s="138"/>
    </row>
    <row r="1972" spans="1:9" x14ac:dyDescent="0.3">
      <c r="A1972" s="126"/>
      <c r="B1972" s="126"/>
      <c r="C1972" s="53"/>
      <c r="D1972" s="53"/>
      <c r="E1972" s="131"/>
      <c r="F1972" s="127"/>
      <c r="G1972" s="127"/>
      <c r="H1972" s="54"/>
      <c r="I1972" s="138"/>
    </row>
    <row r="1973" spans="1:9" x14ac:dyDescent="0.3">
      <c r="A1973" s="126"/>
      <c r="B1973" s="126"/>
      <c r="C1973" s="53"/>
      <c r="D1973" s="53"/>
      <c r="E1973" s="131"/>
      <c r="F1973" s="127"/>
      <c r="G1973" s="127"/>
      <c r="H1973" s="54"/>
      <c r="I1973" s="138"/>
    </row>
    <row r="1974" spans="1:9" x14ac:dyDescent="0.3">
      <c r="A1974" s="126"/>
      <c r="B1974" s="126"/>
      <c r="C1974" s="53"/>
      <c r="D1974" s="53"/>
      <c r="E1974" s="131"/>
      <c r="F1974" s="127"/>
      <c r="G1974" s="127"/>
      <c r="H1974" s="54"/>
      <c r="I1974" s="138"/>
    </row>
    <row r="1975" spans="1:9" x14ac:dyDescent="0.3">
      <c r="A1975" s="126"/>
      <c r="B1975" s="126"/>
      <c r="C1975" s="53"/>
      <c r="D1975" s="53"/>
      <c r="E1975" s="131"/>
      <c r="F1975" s="127"/>
      <c r="G1975" s="127"/>
      <c r="H1975" s="54"/>
      <c r="I1975" s="138"/>
    </row>
    <row r="1976" spans="1:9" x14ac:dyDescent="0.3">
      <c r="A1976" s="126"/>
      <c r="B1976" s="126"/>
      <c r="C1976" s="53"/>
      <c r="D1976" s="53"/>
      <c r="E1976" s="131"/>
      <c r="F1976" s="127"/>
      <c r="G1976" s="127"/>
      <c r="H1976" s="54"/>
      <c r="I1976" s="138"/>
    </row>
    <row r="1977" spans="1:9" x14ac:dyDescent="0.3">
      <c r="A1977" s="126"/>
      <c r="B1977" s="126"/>
      <c r="C1977" s="53"/>
      <c r="D1977" s="53"/>
      <c r="E1977" s="131"/>
      <c r="F1977" s="127"/>
      <c r="G1977" s="127"/>
      <c r="H1977" s="54"/>
      <c r="I1977" s="138"/>
    </row>
    <row r="1978" spans="1:9" x14ac:dyDescent="0.3">
      <c r="A1978" s="126"/>
      <c r="B1978" s="126"/>
      <c r="C1978" s="53"/>
      <c r="D1978" s="53"/>
      <c r="E1978" s="131"/>
      <c r="F1978" s="127"/>
      <c r="G1978" s="127"/>
      <c r="H1978" s="54"/>
      <c r="I1978" s="138"/>
    </row>
    <row r="1979" spans="1:9" x14ac:dyDescent="0.3">
      <c r="A1979" s="126"/>
      <c r="B1979" s="126"/>
      <c r="C1979" s="53"/>
      <c r="D1979" s="53"/>
      <c r="E1979" s="131"/>
      <c r="F1979" s="127"/>
      <c r="G1979" s="127"/>
      <c r="H1979" s="54"/>
      <c r="I1979" s="138"/>
    </row>
    <row r="1980" spans="1:9" x14ac:dyDescent="0.3">
      <c r="A1980" s="126"/>
      <c r="B1980" s="126"/>
      <c r="C1980" s="53"/>
      <c r="D1980" s="53"/>
      <c r="E1980" s="131"/>
      <c r="F1980" s="127"/>
      <c r="G1980" s="127"/>
      <c r="H1980" s="54"/>
      <c r="I1980" s="138"/>
    </row>
    <row r="1981" spans="1:9" x14ac:dyDescent="0.3">
      <c r="A1981" s="126"/>
      <c r="B1981" s="126"/>
      <c r="C1981" s="53"/>
      <c r="D1981" s="53"/>
      <c r="E1981" s="131"/>
      <c r="F1981" s="127"/>
      <c r="G1981" s="127"/>
      <c r="H1981" s="54"/>
      <c r="I1981" s="138"/>
    </row>
    <row r="1982" spans="1:9" x14ac:dyDescent="0.3">
      <c r="A1982" s="126"/>
      <c r="B1982" s="126"/>
      <c r="C1982" s="53"/>
      <c r="D1982" s="53"/>
      <c r="E1982" s="131"/>
      <c r="F1982" s="127"/>
      <c r="G1982" s="127"/>
      <c r="H1982" s="54"/>
      <c r="I1982" s="138"/>
    </row>
    <row r="1983" spans="1:9" x14ac:dyDescent="0.3">
      <c r="A1983" s="126"/>
      <c r="B1983" s="126"/>
      <c r="C1983" s="53"/>
      <c r="D1983" s="53"/>
      <c r="E1983" s="131"/>
      <c r="F1983" s="127"/>
      <c r="G1983" s="127"/>
      <c r="H1983" s="54"/>
      <c r="I1983" s="138"/>
    </row>
    <row r="1984" spans="1:9" x14ac:dyDescent="0.3">
      <c r="A1984" s="126"/>
      <c r="B1984" s="126"/>
      <c r="C1984" s="53"/>
      <c r="D1984" s="53"/>
      <c r="E1984" s="131"/>
      <c r="F1984" s="127"/>
      <c r="G1984" s="127"/>
      <c r="H1984" s="54"/>
      <c r="I1984" s="138"/>
    </row>
    <row r="1985" spans="1:9" x14ac:dyDescent="0.3">
      <c r="A1985" s="126"/>
      <c r="B1985" s="126"/>
      <c r="C1985" s="53"/>
      <c r="D1985" s="53"/>
      <c r="E1985" s="131"/>
      <c r="F1985" s="127"/>
      <c r="G1985" s="127"/>
      <c r="H1985" s="54"/>
      <c r="I1985" s="138"/>
    </row>
  </sheetData>
  <autoFilter ref="A1:K856" xr:uid="{0D8D0776-F304-42B9-A935-462979BBDE43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16D9-97B2-4DEF-9F20-3944F60E79E4}">
  <dimension ref="A1:K1263"/>
  <sheetViews>
    <sheetView zoomScaleNormal="100" workbookViewId="0">
      <pane ySplit="1" topLeftCell="A1148" activePane="bottomLeft" state="frozen"/>
      <selection pane="bottomLeft" activeCell="D1171" sqref="D1171"/>
    </sheetView>
  </sheetViews>
  <sheetFormatPr baseColWidth="10" defaultColWidth="11.44140625" defaultRowHeight="14.4" x14ac:dyDescent="0.3"/>
  <cols>
    <col min="1" max="3" width="11.44140625" style="44"/>
    <col min="4" max="4" width="21" style="44" bestFit="1" customWidth="1"/>
    <col min="5" max="6" width="11.44140625" style="44"/>
    <col min="7" max="7" width="49.109375" style="44" bestFit="1" customWidth="1"/>
    <col min="8" max="8" width="14.109375" style="44" customWidth="1"/>
    <col min="9" max="9" width="14.109375" style="44" bestFit="1" customWidth="1"/>
    <col min="10" max="10" width="12.6640625" style="44" customWidth="1"/>
    <col min="11" max="11" width="16.44140625" style="44" customWidth="1"/>
    <col min="12" max="16384" width="11.44140625" style="44"/>
  </cols>
  <sheetData>
    <row r="1" spans="1:11" x14ac:dyDescent="0.3">
      <c r="A1" s="100" t="s">
        <v>70</v>
      </c>
      <c r="B1" s="101" t="s">
        <v>61</v>
      </c>
      <c r="C1" s="101" t="s">
        <v>71</v>
      </c>
      <c r="D1" s="101" t="s">
        <v>72</v>
      </c>
      <c r="E1" s="102" t="s">
        <v>73</v>
      </c>
      <c r="F1" s="101" t="s">
        <v>74</v>
      </c>
      <c r="G1" s="101" t="s">
        <v>825</v>
      </c>
      <c r="H1" s="103" t="s">
        <v>76</v>
      </c>
      <c r="I1" s="103" t="s">
        <v>828</v>
      </c>
      <c r="J1" s="104" t="s">
        <v>829</v>
      </c>
      <c r="K1" s="103" t="s">
        <v>1543</v>
      </c>
    </row>
    <row r="2" spans="1:11" hidden="1" x14ac:dyDescent="0.3">
      <c r="A2" s="100" t="s">
        <v>392</v>
      </c>
      <c r="B2" s="101" t="s">
        <v>4</v>
      </c>
      <c r="C2" s="101" t="s">
        <v>868</v>
      </c>
      <c r="D2" s="101" t="s">
        <v>869</v>
      </c>
      <c r="E2" s="102">
        <v>45660</v>
      </c>
      <c r="F2" s="101" t="s">
        <v>372</v>
      </c>
      <c r="G2" s="101" t="s">
        <v>10</v>
      </c>
      <c r="H2" s="103">
        <v>16362.29</v>
      </c>
      <c r="I2" s="133">
        <v>0.42299999999999999</v>
      </c>
      <c r="J2" s="104" t="s">
        <v>848</v>
      </c>
    </row>
    <row r="3" spans="1:11" hidden="1" x14ac:dyDescent="0.3">
      <c r="A3" s="100" t="s">
        <v>392</v>
      </c>
      <c r="B3" s="101" t="s">
        <v>4</v>
      </c>
      <c r="C3" s="101" t="s">
        <v>870</v>
      </c>
      <c r="D3" s="101" t="s">
        <v>871</v>
      </c>
      <c r="E3" s="102">
        <v>45660</v>
      </c>
      <c r="F3" s="101" t="s">
        <v>372</v>
      </c>
      <c r="G3" s="101" t="s">
        <v>10</v>
      </c>
      <c r="H3" s="103">
        <v>17562.29</v>
      </c>
      <c r="I3" s="133">
        <v>0.44900000000000001</v>
      </c>
      <c r="J3" s="104" t="s">
        <v>848</v>
      </c>
    </row>
    <row r="4" spans="1:11" hidden="1" x14ac:dyDescent="0.3">
      <c r="A4" s="100" t="s">
        <v>390</v>
      </c>
      <c r="B4" s="101" t="s">
        <v>4</v>
      </c>
      <c r="C4" s="101" t="s">
        <v>872</v>
      </c>
      <c r="D4" s="101" t="s">
        <v>873</v>
      </c>
      <c r="E4" s="102">
        <v>45660</v>
      </c>
      <c r="F4" s="101" t="s">
        <v>372</v>
      </c>
      <c r="G4" s="101" t="s">
        <v>10</v>
      </c>
      <c r="H4" s="103">
        <v>112970.32</v>
      </c>
      <c r="I4" s="133">
        <v>0.28399999999999997</v>
      </c>
      <c r="J4" s="104" t="s">
        <v>833</v>
      </c>
    </row>
    <row r="5" spans="1:11" hidden="1" x14ac:dyDescent="0.3">
      <c r="A5" s="100" t="s">
        <v>390</v>
      </c>
      <c r="B5" s="101" t="s">
        <v>4</v>
      </c>
      <c r="C5" s="101" t="s">
        <v>874</v>
      </c>
      <c r="D5" s="101" t="s">
        <v>875</v>
      </c>
      <c r="E5" s="102">
        <v>45660</v>
      </c>
      <c r="F5" s="101" t="s">
        <v>372</v>
      </c>
      <c r="G5" s="101" t="s">
        <v>10</v>
      </c>
      <c r="H5" s="103">
        <v>3540</v>
      </c>
      <c r="I5" s="133">
        <v>0.25900000000000001</v>
      </c>
      <c r="J5" s="104" t="s">
        <v>833</v>
      </c>
    </row>
    <row r="6" spans="1:11" hidden="1" x14ac:dyDescent="0.3">
      <c r="A6" s="100" t="s">
        <v>392</v>
      </c>
      <c r="B6" s="101" t="s">
        <v>4</v>
      </c>
      <c r="C6" s="101" t="s">
        <v>876</v>
      </c>
      <c r="D6" s="101" t="s">
        <v>877</v>
      </c>
      <c r="E6" s="102">
        <v>45660</v>
      </c>
      <c r="F6" s="101" t="s">
        <v>372</v>
      </c>
      <c r="G6" s="101" t="s">
        <v>10</v>
      </c>
      <c r="H6" s="103">
        <v>2928.25</v>
      </c>
      <c r="I6" s="133">
        <v>0.59</v>
      </c>
      <c r="J6" s="104" t="s">
        <v>848</v>
      </c>
    </row>
    <row r="7" spans="1:11" hidden="1" x14ac:dyDescent="0.3">
      <c r="A7" s="100" t="s">
        <v>392</v>
      </c>
      <c r="B7" s="101" t="s">
        <v>4</v>
      </c>
      <c r="C7" s="101" t="s">
        <v>878</v>
      </c>
      <c r="D7" s="101" t="s">
        <v>879</v>
      </c>
      <c r="E7" s="102">
        <v>45660</v>
      </c>
      <c r="F7" s="101" t="s">
        <v>372</v>
      </c>
      <c r="G7" s="101" t="s">
        <v>10</v>
      </c>
      <c r="H7" s="103">
        <v>16361.73</v>
      </c>
      <c r="I7" s="133">
        <v>0.42299999999999999</v>
      </c>
      <c r="J7" s="104" t="s">
        <v>848</v>
      </c>
    </row>
    <row r="8" spans="1:11" hidden="1" x14ac:dyDescent="0.3">
      <c r="A8" s="100" t="s">
        <v>390</v>
      </c>
      <c r="B8" s="101" t="s">
        <v>4</v>
      </c>
      <c r="C8" s="101" t="s">
        <v>880</v>
      </c>
      <c r="D8" s="101" t="s">
        <v>881</v>
      </c>
      <c r="E8" s="102">
        <v>45660</v>
      </c>
      <c r="F8" s="101" t="s">
        <v>372</v>
      </c>
      <c r="G8" s="101" t="s">
        <v>10</v>
      </c>
      <c r="H8" s="103">
        <v>10620</v>
      </c>
      <c r="I8" s="133">
        <v>0.25900000000000001</v>
      </c>
      <c r="J8" s="104" t="s">
        <v>833</v>
      </c>
    </row>
    <row r="9" spans="1:11" hidden="1" x14ac:dyDescent="0.3">
      <c r="A9" s="100" t="s">
        <v>390</v>
      </c>
      <c r="B9" s="101" t="s">
        <v>4</v>
      </c>
      <c r="C9" s="101" t="s">
        <v>882</v>
      </c>
      <c r="D9" s="101" t="s">
        <v>883</v>
      </c>
      <c r="E9" s="102">
        <v>45660</v>
      </c>
      <c r="F9" s="101" t="s">
        <v>372</v>
      </c>
      <c r="G9" s="101" t="s">
        <v>10</v>
      </c>
      <c r="H9" s="103">
        <v>79824.55</v>
      </c>
      <c r="I9" s="133">
        <v>0.22500000000000001</v>
      </c>
      <c r="J9" s="104" t="s">
        <v>833</v>
      </c>
    </row>
    <row r="10" spans="1:11" hidden="1" x14ac:dyDescent="0.3">
      <c r="A10" s="100" t="s">
        <v>392</v>
      </c>
      <c r="B10" s="101" t="s">
        <v>4</v>
      </c>
      <c r="C10" s="101" t="s">
        <v>884</v>
      </c>
      <c r="D10" s="101" t="s">
        <v>885</v>
      </c>
      <c r="E10" s="102">
        <v>45660</v>
      </c>
      <c r="F10" s="101" t="s">
        <v>370</v>
      </c>
      <c r="G10" s="101" t="s">
        <v>63</v>
      </c>
      <c r="H10" s="103">
        <v>6908.32</v>
      </c>
      <c r="I10" s="133">
        <v>0.55100000000000005</v>
      </c>
      <c r="J10" s="104" t="s">
        <v>830</v>
      </c>
    </row>
    <row r="11" spans="1:11" hidden="1" x14ac:dyDescent="0.3">
      <c r="A11" s="100" t="s">
        <v>390</v>
      </c>
      <c r="B11" s="101" t="s">
        <v>4</v>
      </c>
      <c r="C11" s="101" t="s">
        <v>886</v>
      </c>
      <c r="D11" s="101" t="s">
        <v>856</v>
      </c>
      <c r="E11" s="102">
        <v>45665</v>
      </c>
      <c r="F11" s="101" t="s">
        <v>811</v>
      </c>
      <c r="G11" s="101" t="s">
        <v>813</v>
      </c>
      <c r="H11" s="103">
        <v>0.01</v>
      </c>
      <c r="I11" s="133">
        <v>0</v>
      </c>
      <c r="J11" s="104" t="s">
        <v>832</v>
      </c>
    </row>
    <row r="12" spans="1:11" hidden="1" x14ac:dyDescent="0.3">
      <c r="A12" s="100" t="s">
        <v>390</v>
      </c>
      <c r="B12" s="101" t="s">
        <v>4</v>
      </c>
      <c r="C12" s="101" t="s">
        <v>887</v>
      </c>
      <c r="D12" s="101" t="s">
        <v>888</v>
      </c>
      <c r="E12" s="102">
        <v>45666</v>
      </c>
      <c r="F12" s="101" t="s">
        <v>372</v>
      </c>
      <c r="G12" s="101" t="s">
        <v>10</v>
      </c>
      <c r="H12" s="103">
        <v>106812.52</v>
      </c>
      <c r="I12" s="133">
        <v>0.308</v>
      </c>
      <c r="J12" s="104" t="s">
        <v>833</v>
      </c>
    </row>
    <row r="13" spans="1:11" hidden="1" x14ac:dyDescent="0.3">
      <c r="A13" s="100" t="s">
        <v>390</v>
      </c>
      <c r="B13" s="101" t="s">
        <v>4</v>
      </c>
      <c r="C13" s="101" t="s">
        <v>889</v>
      </c>
      <c r="D13" s="101" t="s">
        <v>890</v>
      </c>
      <c r="E13" s="102">
        <v>45666</v>
      </c>
      <c r="F13" s="101" t="s">
        <v>372</v>
      </c>
      <c r="G13" s="101" t="s">
        <v>10</v>
      </c>
      <c r="H13" s="103">
        <v>84790.76</v>
      </c>
      <c r="I13" s="133">
        <v>0.29299999999999998</v>
      </c>
      <c r="J13" s="104" t="s">
        <v>833</v>
      </c>
    </row>
    <row r="14" spans="1:11" hidden="1" x14ac:dyDescent="0.3">
      <c r="A14" s="100" t="s">
        <v>392</v>
      </c>
      <c r="B14" s="101" t="s">
        <v>4</v>
      </c>
      <c r="C14" s="101" t="s">
        <v>891</v>
      </c>
      <c r="D14" s="101" t="s">
        <v>892</v>
      </c>
      <c r="E14" s="102">
        <v>45666</v>
      </c>
      <c r="F14" s="101" t="s">
        <v>372</v>
      </c>
      <c r="G14" s="101" t="s">
        <v>10</v>
      </c>
      <c r="H14" s="103">
        <v>18579.25</v>
      </c>
      <c r="I14" s="133">
        <v>0.42099999999999999</v>
      </c>
      <c r="J14" s="104" t="s">
        <v>848</v>
      </c>
    </row>
    <row r="15" spans="1:11" hidden="1" x14ac:dyDescent="0.3">
      <c r="A15" s="100" t="s">
        <v>390</v>
      </c>
      <c r="B15" s="101" t="s">
        <v>4</v>
      </c>
      <c r="C15" s="101" t="s">
        <v>893</v>
      </c>
      <c r="D15" s="101" t="s">
        <v>858</v>
      </c>
      <c r="E15" s="102">
        <v>45666</v>
      </c>
      <c r="F15" s="101" t="s">
        <v>371</v>
      </c>
      <c r="G15" s="101" t="s">
        <v>864</v>
      </c>
      <c r="H15" s="103">
        <v>205227.85</v>
      </c>
      <c r="I15" s="133">
        <v>0.40400000000000003</v>
      </c>
      <c r="J15" s="104" t="s">
        <v>833</v>
      </c>
    </row>
    <row r="16" spans="1:11" hidden="1" x14ac:dyDescent="0.3">
      <c r="A16" s="100" t="s">
        <v>390</v>
      </c>
      <c r="B16" s="101" t="s">
        <v>4</v>
      </c>
      <c r="C16" s="101" t="s">
        <v>894</v>
      </c>
      <c r="D16" s="101" t="s">
        <v>895</v>
      </c>
      <c r="E16" s="102">
        <v>45667</v>
      </c>
      <c r="F16" s="101" t="s">
        <v>372</v>
      </c>
      <c r="G16" s="101" t="s">
        <v>10</v>
      </c>
      <c r="H16" s="103">
        <v>27182.81</v>
      </c>
      <c r="I16" s="133">
        <v>0.21</v>
      </c>
      <c r="J16" s="104" t="s">
        <v>833</v>
      </c>
    </row>
    <row r="17" spans="1:10" hidden="1" x14ac:dyDescent="0.3">
      <c r="A17" s="100" t="s">
        <v>390</v>
      </c>
      <c r="B17" s="101" t="s">
        <v>4</v>
      </c>
      <c r="C17" s="101" t="s">
        <v>896</v>
      </c>
      <c r="D17" s="101" t="s">
        <v>897</v>
      </c>
      <c r="E17" s="102">
        <v>45670</v>
      </c>
      <c r="F17" s="101" t="s">
        <v>371</v>
      </c>
      <c r="G17" s="101" t="s">
        <v>864</v>
      </c>
      <c r="H17" s="103">
        <v>16728.86</v>
      </c>
      <c r="I17" s="133">
        <v>0.41199999999999998</v>
      </c>
      <c r="J17" s="104" t="s">
        <v>833</v>
      </c>
    </row>
    <row r="18" spans="1:10" hidden="1" x14ac:dyDescent="0.3">
      <c r="A18" s="100" t="s">
        <v>392</v>
      </c>
      <c r="B18" s="101" t="s">
        <v>4</v>
      </c>
      <c r="C18" s="101" t="s">
        <v>898</v>
      </c>
      <c r="D18" s="101" t="s">
        <v>899</v>
      </c>
      <c r="E18" s="102">
        <v>45670</v>
      </c>
      <c r="F18" s="101" t="s">
        <v>370</v>
      </c>
      <c r="G18" s="101" t="s">
        <v>63</v>
      </c>
      <c r="H18" s="103">
        <v>15835.71</v>
      </c>
      <c r="I18" s="133">
        <v>0.76600000000000001</v>
      </c>
      <c r="J18" s="104" t="s">
        <v>830</v>
      </c>
    </row>
    <row r="19" spans="1:10" hidden="1" x14ac:dyDescent="0.3">
      <c r="A19" s="100" t="s">
        <v>390</v>
      </c>
      <c r="B19" s="101" t="s">
        <v>4</v>
      </c>
      <c r="C19" s="101" t="s">
        <v>900</v>
      </c>
      <c r="D19" s="101" t="s">
        <v>901</v>
      </c>
      <c r="E19" s="102">
        <v>45670</v>
      </c>
      <c r="F19" s="101" t="s">
        <v>811</v>
      </c>
      <c r="G19" s="101" t="s">
        <v>813</v>
      </c>
      <c r="H19" s="103">
        <v>26279.86</v>
      </c>
      <c r="I19" s="133">
        <v>0.314</v>
      </c>
      <c r="J19" s="104" t="s">
        <v>832</v>
      </c>
    </row>
    <row r="20" spans="1:10" hidden="1" x14ac:dyDescent="0.3">
      <c r="A20" s="100" t="s">
        <v>392</v>
      </c>
      <c r="B20" s="101" t="s">
        <v>4</v>
      </c>
      <c r="C20" s="101" t="s">
        <v>902</v>
      </c>
      <c r="D20" s="101" t="s">
        <v>903</v>
      </c>
      <c r="E20" s="102">
        <v>45671</v>
      </c>
      <c r="F20" s="101" t="s">
        <v>370</v>
      </c>
      <c r="G20" s="101" t="s">
        <v>63</v>
      </c>
      <c r="H20" s="103">
        <v>8006.14</v>
      </c>
      <c r="I20" s="133">
        <v>0.75800000000000001</v>
      </c>
      <c r="J20" s="104" t="s">
        <v>830</v>
      </c>
    </row>
    <row r="21" spans="1:10" hidden="1" x14ac:dyDescent="0.3">
      <c r="A21" s="100" t="s">
        <v>392</v>
      </c>
      <c r="B21" s="101" t="s">
        <v>4</v>
      </c>
      <c r="C21" s="101" t="s">
        <v>904</v>
      </c>
      <c r="D21" s="101" t="s">
        <v>905</v>
      </c>
      <c r="E21" s="102">
        <v>45671</v>
      </c>
      <c r="F21" s="101" t="s">
        <v>370</v>
      </c>
      <c r="G21" s="101" t="s">
        <v>63</v>
      </c>
      <c r="H21" s="103">
        <v>8013.9</v>
      </c>
      <c r="I21" s="133">
        <v>0.75800000000000001</v>
      </c>
      <c r="J21" s="104" t="s">
        <v>830</v>
      </c>
    </row>
    <row r="22" spans="1:10" hidden="1" x14ac:dyDescent="0.3">
      <c r="A22" s="100" t="s">
        <v>392</v>
      </c>
      <c r="B22" s="101" t="s">
        <v>4</v>
      </c>
      <c r="C22" s="101" t="s">
        <v>906</v>
      </c>
      <c r="D22" s="101" t="s">
        <v>907</v>
      </c>
      <c r="E22" s="102">
        <v>45671</v>
      </c>
      <c r="F22" s="101" t="s">
        <v>370</v>
      </c>
      <c r="G22" s="101" t="s">
        <v>63</v>
      </c>
      <c r="H22" s="103">
        <v>8008.72</v>
      </c>
      <c r="I22" s="133">
        <v>0.75800000000000001</v>
      </c>
      <c r="J22" s="104" t="s">
        <v>830</v>
      </c>
    </row>
    <row r="23" spans="1:10" hidden="1" x14ac:dyDescent="0.3">
      <c r="A23" s="100" t="s">
        <v>392</v>
      </c>
      <c r="B23" s="101" t="s">
        <v>4</v>
      </c>
      <c r="C23" s="101" t="s">
        <v>908</v>
      </c>
      <c r="D23" s="101" t="s">
        <v>909</v>
      </c>
      <c r="E23" s="102">
        <v>45671</v>
      </c>
      <c r="F23" s="101" t="s">
        <v>370</v>
      </c>
      <c r="G23" s="101" t="s">
        <v>63</v>
      </c>
      <c r="H23" s="103">
        <v>8013.9</v>
      </c>
      <c r="I23" s="133">
        <v>0.75800000000000001</v>
      </c>
      <c r="J23" s="104" t="s">
        <v>830</v>
      </c>
    </row>
    <row r="24" spans="1:10" hidden="1" x14ac:dyDescent="0.3">
      <c r="A24" s="100" t="s">
        <v>392</v>
      </c>
      <c r="B24" s="101" t="s">
        <v>4</v>
      </c>
      <c r="C24" s="101" t="s">
        <v>910</v>
      </c>
      <c r="D24" s="101" t="s">
        <v>911</v>
      </c>
      <c r="E24" s="102">
        <v>45671</v>
      </c>
      <c r="F24" s="101" t="s">
        <v>370</v>
      </c>
      <c r="G24" s="101" t="s">
        <v>63</v>
      </c>
      <c r="H24" s="103">
        <v>12013.9</v>
      </c>
      <c r="I24" s="133">
        <v>0.81</v>
      </c>
      <c r="J24" s="104" t="s">
        <v>830</v>
      </c>
    </row>
    <row r="25" spans="1:10" hidden="1" x14ac:dyDescent="0.3">
      <c r="A25" s="100" t="s">
        <v>392</v>
      </c>
      <c r="B25" s="101" t="s">
        <v>4</v>
      </c>
      <c r="C25" s="101" t="s">
        <v>912</v>
      </c>
      <c r="D25" s="101" t="s">
        <v>913</v>
      </c>
      <c r="E25" s="102">
        <v>45671</v>
      </c>
      <c r="F25" s="101" t="s">
        <v>370</v>
      </c>
      <c r="G25" s="101" t="s">
        <v>63</v>
      </c>
      <c r="H25" s="103">
        <v>8114.5</v>
      </c>
      <c r="I25" s="133">
        <v>0.58099999999999996</v>
      </c>
      <c r="J25" s="104" t="s">
        <v>830</v>
      </c>
    </row>
    <row r="26" spans="1:10" hidden="1" x14ac:dyDescent="0.3">
      <c r="A26" s="100" t="s">
        <v>392</v>
      </c>
      <c r="B26" s="101" t="s">
        <v>4</v>
      </c>
      <c r="C26" s="101" t="s">
        <v>914</v>
      </c>
      <c r="D26" s="101" t="s">
        <v>915</v>
      </c>
      <c r="E26" s="102">
        <v>45672</v>
      </c>
      <c r="F26" s="101" t="s">
        <v>370</v>
      </c>
      <c r="G26" s="101" t="s">
        <v>63</v>
      </c>
      <c r="H26" s="103">
        <v>8054.06</v>
      </c>
      <c r="I26" s="133">
        <v>0.85099999999999998</v>
      </c>
      <c r="J26" s="104" t="s">
        <v>830</v>
      </c>
    </row>
    <row r="27" spans="1:10" hidden="1" x14ac:dyDescent="0.3">
      <c r="A27" s="100" t="s">
        <v>392</v>
      </c>
      <c r="B27" s="101" t="s">
        <v>4</v>
      </c>
      <c r="C27" s="101" t="s">
        <v>916</v>
      </c>
      <c r="D27" s="101" t="s">
        <v>917</v>
      </c>
      <c r="E27" s="102">
        <v>45672</v>
      </c>
      <c r="F27" s="101" t="s">
        <v>370</v>
      </c>
      <c r="G27" s="101" t="s">
        <v>63</v>
      </c>
      <c r="H27" s="103">
        <v>8026.46</v>
      </c>
      <c r="I27" s="133">
        <v>0.57599999999999996</v>
      </c>
      <c r="J27" s="104" t="s">
        <v>830</v>
      </c>
    </row>
    <row r="28" spans="1:10" hidden="1" x14ac:dyDescent="0.3">
      <c r="A28" s="100" t="s">
        <v>390</v>
      </c>
      <c r="B28" s="101" t="s">
        <v>4</v>
      </c>
      <c r="C28" s="101" t="s">
        <v>918</v>
      </c>
      <c r="D28" s="101" t="s">
        <v>919</v>
      </c>
      <c r="E28" s="102">
        <v>45674</v>
      </c>
      <c r="F28" s="101" t="s">
        <v>371</v>
      </c>
      <c r="G28" s="101" t="s">
        <v>864</v>
      </c>
      <c r="H28" s="103">
        <v>38843.08</v>
      </c>
      <c r="I28" s="133">
        <v>0.20300000000000001</v>
      </c>
      <c r="J28" s="104" t="s">
        <v>833</v>
      </c>
    </row>
    <row r="29" spans="1:10" hidden="1" x14ac:dyDescent="0.3">
      <c r="A29" s="100" t="s">
        <v>390</v>
      </c>
      <c r="B29" s="101" t="s">
        <v>4</v>
      </c>
      <c r="C29" s="101" t="s">
        <v>920</v>
      </c>
      <c r="D29" s="101" t="s">
        <v>921</v>
      </c>
      <c r="E29" s="102">
        <v>45677</v>
      </c>
      <c r="F29" s="101" t="s">
        <v>375</v>
      </c>
      <c r="G29" s="101" t="s">
        <v>62</v>
      </c>
      <c r="H29" s="103">
        <v>87814.69</v>
      </c>
      <c r="I29" s="133">
        <v>0.29299999999999998</v>
      </c>
      <c r="J29" s="104" t="s">
        <v>831</v>
      </c>
    </row>
    <row r="30" spans="1:10" hidden="1" x14ac:dyDescent="0.3">
      <c r="A30" s="100" t="s">
        <v>392</v>
      </c>
      <c r="B30" s="101" t="s">
        <v>4</v>
      </c>
      <c r="C30" s="101" t="s">
        <v>922</v>
      </c>
      <c r="D30" s="101" t="s">
        <v>923</v>
      </c>
      <c r="E30" s="102">
        <v>45677</v>
      </c>
      <c r="F30" s="101" t="s">
        <v>844</v>
      </c>
      <c r="G30" s="101" t="s">
        <v>863</v>
      </c>
      <c r="H30" s="103">
        <v>43000</v>
      </c>
      <c r="I30" s="133">
        <v>0.43</v>
      </c>
      <c r="J30" s="104" t="s">
        <v>831</v>
      </c>
    </row>
    <row r="31" spans="1:10" hidden="1" x14ac:dyDescent="0.3">
      <c r="A31" s="100" t="s">
        <v>392</v>
      </c>
      <c r="B31" s="101" t="s">
        <v>4</v>
      </c>
      <c r="C31" s="101" t="s">
        <v>924</v>
      </c>
      <c r="D31" s="101" t="s">
        <v>925</v>
      </c>
      <c r="E31" s="102">
        <v>45677</v>
      </c>
      <c r="F31" s="101" t="s">
        <v>374</v>
      </c>
      <c r="G31" s="101" t="s">
        <v>17</v>
      </c>
      <c r="H31" s="103">
        <v>4076.46</v>
      </c>
      <c r="I31" s="133">
        <v>0.63200000000000001</v>
      </c>
      <c r="J31" s="104" t="s">
        <v>848</v>
      </c>
    </row>
    <row r="32" spans="1:10" hidden="1" x14ac:dyDescent="0.3">
      <c r="A32" s="100" t="s">
        <v>392</v>
      </c>
      <c r="B32" s="101" t="s">
        <v>4</v>
      </c>
      <c r="C32" s="101" t="s">
        <v>926</v>
      </c>
      <c r="D32" s="101" t="s">
        <v>927</v>
      </c>
      <c r="E32" s="102">
        <v>45677</v>
      </c>
      <c r="F32" s="101" t="s">
        <v>370</v>
      </c>
      <c r="G32" s="101" t="s">
        <v>63</v>
      </c>
      <c r="H32" s="103">
        <v>4738.54</v>
      </c>
      <c r="I32" s="133">
        <v>0.62</v>
      </c>
      <c r="J32" s="104" t="s">
        <v>830</v>
      </c>
    </row>
    <row r="33" spans="1:10" hidden="1" x14ac:dyDescent="0.3">
      <c r="A33" s="100" t="s">
        <v>390</v>
      </c>
      <c r="B33" s="101" t="s">
        <v>4</v>
      </c>
      <c r="C33" s="101" t="s">
        <v>928</v>
      </c>
      <c r="D33" s="101" t="s">
        <v>929</v>
      </c>
      <c r="E33" s="102">
        <v>45678</v>
      </c>
      <c r="F33" s="101" t="s">
        <v>375</v>
      </c>
      <c r="G33" s="101" t="s">
        <v>62</v>
      </c>
      <c r="H33" s="103">
        <v>73564.69</v>
      </c>
      <c r="I33" s="133">
        <v>0.59499999999999997</v>
      </c>
      <c r="J33" s="104" t="s">
        <v>831</v>
      </c>
    </row>
    <row r="34" spans="1:10" hidden="1" x14ac:dyDescent="0.3">
      <c r="A34" s="100" t="s">
        <v>392</v>
      </c>
      <c r="B34" s="101" t="s">
        <v>4</v>
      </c>
      <c r="C34" s="101" t="s">
        <v>930</v>
      </c>
      <c r="D34" s="101" t="s">
        <v>931</v>
      </c>
      <c r="E34" s="102">
        <v>45679</v>
      </c>
      <c r="F34" s="101" t="s">
        <v>844</v>
      </c>
      <c r="G34" s="101" t="s">
        <v>863</v>
      </c>
      <c r="H34" s="103">
        <v>7450</v>
      </c>
      <c r="I34" s="133">
        <v>0.29799999999999999</v>
      </c>
      <c r="J34" s="104" t="s">
        <v>831</v>
      </c>
    </row>
    <row r="35" spans="1:10" hidden="1" x14ac:dyDescent="0.3">
      <c r="A35" s="100" t="s">
        <v>390</v>
      </c>
      <c r="B35" s="101" t="s">
        <v>4</v>
      </c>
      <c r="C35" s="101" t="s">
        <v>932</v>
      </c>
      <c r="D35" s="101" t="s">
        <v>933</v>
      </c>
      <c r="E35" s="102">
        <v>45679</v>
      </c>
      <c r="F35" s="101" t="s">
        <v>372</v>
      </c>
      <c r="G35" s="101" t="s">
        <v>10</v>
      </c>
      <c r="H35" s="103">
        <v>101167.89</v>
      </c>
      <c r="I35" s="133">
        <v>0.36099999999999999</v>
      </c>
      <c r="J35" s="104" t="s">
        <v>833</v>
      </c>
    </row>
    <row r="36" spans="1:10" hidden="1" x14ac:dyDescent="0.3">
      <c r="A36" s="100" t="s">
        <v>392</v>
      </c>
      <c r="B36" s="101" t="s">
        <v>4</v>
      </c>
      <c r="C36" s="101" t="s">
        <v>934</v>
      </c>
      <c r="D36" s="101" t="s">
        <v>935</v>
      </c>
      <c r="E36" s="102">
        <v>45679</v>
      </c>
      <c r="F36" s="101" t="s">
        <v>844</v>
      </c>
      <c r="G36" s="101" t="s">
        <v>863</v>
      </c>
      <c r="H36" s="103">
        <v>20000</v>
      </c>
      <c r="I36" s="133">
        <v>0.82299999999999995</v>
      </c>
      <c r="J36" s="104" t="s">
        <v>831</v>
      </c>
    </row>
    <row r="37" spans="1:10" hidden="1" x14ac:dyDescent="0.3">
      <c r="A37" s="100" t="s">
        <v>390</v>
      </c>
      <c r="B37" s="101" t="s">
        <v>4</v>
      </c>
      <c r="C37" s="101" t="s">
        <v>936</v>
      </c>
      <c r="D37" s="101" t="s">
        <v>937</v>
      </c>
      <c r="E37" s="102">
        <v>45679</v>
      </c>
      <c r="F37" s="101" t="s">
        <v>371</v>
      </c>
      <c r="G37" s="101" t="s">
        <v>864</v>
      </c>
      <c r="H37" s="103">
        <v>15830.09</v>
      </c>
      <c r="I37" s="133">
        <v>0.47099999999999997</v>
      </c>
      <c r="J37" s="104" t="s">
        <v>832</v>
      </c>
    </row>
    <row r="38" spans="1:10" hidden="1" x14ac:dyDescent="0.3">
      <c r="A38" s="100" t="s">
        <v>390</v>
      </c>
      <c r="B38" s="101" t="s">
        <v>4</v>
      </c>
      <c r="C38" s="101" t="s">
        <v>938</v>
      </c>
      <c r="D38" s="101" t="s">
        <v>939</v>
      </c>
      <c r="E38" s="102">
        <v>45679</v>
      </c>
      <c r="F38" s="101" t="s">
        <v>371</v>
      </c>
      <c r="G38" s="101" t="s">
        <v>864</v>
      </c>
      <c r="H38" s="103">
        <v>15129.35</v>
      </c>
      <c r="I38" s="133">
        <v>0.48499999999999999</v>
      </c>
      <c r="J38" s="104" t="s">
        <v>832</v>
      </c>
    </row>
    <row r="39" spans="1:10" hidden="1" x14ac:dyDescent="0.3">
      <c r="A39" s="100" t="s">
        <v>390</v>
      </c>
      <c r="B39" s="101" t="s">
        <v>4</v>
      </c>
      <c r="C39" s="101" t="s">
        <v>940</v>
      </c>
      <c r="D39" s="101" t="s">
        <v>941</v>
      </c>
      <c r="E39" s="102">
        <v>45679</v>
      </c>
      <c r="F39" s="101" t="s">
        <v>372</v>
      </c>
      <c r="G39" s="101" t="s">
        <v>10</v>
      </c>
      <c r="H39" s="103">
        <v>3540</v>
      </c>
      <c r="I39" s="133">
        <v>0.25900000000000001</v>
      </c>
      <c r="J39" s="104" t="s">
        <v>833</v>
      </c>
    </row>
    <row r="40" spans="1:10" hidden="1" x14ac:dyDescent="0.3">
      <c r="A40" s="100" t="s">
        <v>390</v>
      </c>
      <c r="B40" s="101" t="s">
        <v>4</v>
      </c>
      <c r="C40" s="101" t="s">
        <v>942</v>
      </c>
      <c r="D40" s="101" t="s">
        <v>850</v>
      </c>
      <c r="E40" s="102">
        <v>45681</v>
      </c>
      <c r="F40" s="101" t="s">
        <v>371</v>
      </c>
      <c r="G40" s="101" t="s">
        <v>864</v>
      </c>
      <c r="H40" s="103">
        <v>53262</v>
      </c>
      <c r="I40" s="133">
        <v>0.23599999999999999</v>
      </c>
      <c r="J40" s="104" t="s">
        <v>833</v>
      </c>
    </row>
    <row r="41" spans="1:10" hidden="1" x14ac:dyDescent="0.3">
      <c r="A41" s="100" t="s">
        <v>392</v>
      </c>
      <c r="B41" s="101" t="s">
        <v>4</v>
      </c>
      <c r="C41" s="101" t="s">
        <v>943</v>
      </c>
      <c r="D41" s="101" t="s">
        <v>944</v>
      </c>
      <c r="E41" s="102">
        <v>45681</v>
      </c>
      <c r="F41" s="101" t="s">
        <v>372</v>
      </c>
      <c r="G41" s="101" t="s">
        <v>10</v>
      </c>
      <c r="H41" s="103">
        <v>43208</v>
      </c>
      <c r="I41" s="133">
        <v>0.38100000000000001</v>
      </c>
      <c r="J41" s="104" t="s">
        <v>848</v>
      </c>
    </row>
    <row r="42" spans="1:10" hidden="1" x14ac:dyDescent="0.3">
      <c r="A42" s="100" t="s">
        <v>392</v>
      </c>
      <c r="B42" s="101" t="s">
        <v>4</v>
      </c>
      <c r="C42" s="101" t="s">
        <v>945</v>
      </c>
      <c r="D42" s="101" t="s">
        <v>946</v>
      </c>
      <c r="E42" s="102">
        <v>45684</v>
      </c>
      <c r="F42" s="101" t="s">
        <v>372</v>
      </c>
      <c r="G42" s="101" t="s">
        <v>10</v>
      </c>
      <c r="H42" s="103">
        <v>23630.09</v>
      </c>
      <c r="I42" s="133">
        <v>0.40799999999999997</v>
      </c>
      <c r="J42" s="104" t="s">
        <v>848</v>
      </c>
    </row>
    <row r="43" spans="1:10" hidden="1" x14ac:dyDescent="0.3">
      <c r="A43" s="100" t="s">
        <v>390</v>
      </c>
      <c r="B43" s="101" t="s">
        <v>4</v>
      </c>
      <c r="C43" s="101" t="s">
        <v>947</v>
      </c>
      <c r="D43" s="101" t="s">
        <v>948</v>
      </c>
      <c r="E43" s="102">
        <v>45684</v>
      </c>
      <c r="F43" s="101" t="s">
        <v>372</v>
      </c>
      <c r="G43" s="101" t="s">
        <v>10</v>
      </c>
      <c r="H43" s="103">
        <v>29438.47</v>
      </c>
      <c r="I43" s="133">
        <v>0.21099999999999999</v>
      </c>
      <c r="J43" s="104" t="s">
        <v>833</v>
      </c>
    </row>
    <row r="44" spans="1:10" hidden="1" x14ac:dyDescent="0.3">
      <c r="A44" s="100" t="s">
        <v>392</v>
      </c>
      <c r="B44" s="101" t="s">
        <v>4</v>
      </c>
      <c r="C44" s="101" t="s">
        <v>949</v>
      </c>
      <c r="D44" s="101" t="s">
        <v>950</v>
      </c>
      <c r="E44" s="102">
        <v>45685</v>
      </c>
      <c r="F44" s="101" t="s">
        <v>370</v>
      </c>
      <c r="G44" s="101" t="s">
        <v>63</v>
      </c>
      <c r="H44" s="103">
        <v>14131.96</v>
      </c>
      <c r="I44" s="133">
        <v>0.61099999999999999</v>
      </c>
      <c r="J44" s="104" t="s">
        <v>830</v>
      </c>
    </row>
    <row r="45" spans="1:10" hidden="1" x14ac:dyDescent="0.3">
      <c r="A45" s="100" t="s">
        <v>392</v>
      </c>
      <c r="B45" s="101" t="s">
        <v>4</v>
      </c>
      <c r="C45" s="101" t="s">
        <v>951</v>
      </c>
      <c r="D45" s="101" t="s">
        <v>952</v>
      </c>
      <c r="E45" s="102">
        <v>45685</v>
      </c>
      <c r="F45" s="101" t="s">
        <v>370</v>
      </c>
      <c r="G45" s="101" t="s">
        <v>63</v>
      </c>
      <c r="H45" s="103">
        <v>8084.16</v>
      </c>
      <c r="I45" s="133">
        <v>0.67800000000000005</v>
      </c>
      <c r="J45" s="104" t="s">
        <v>830</v>
      </c>
    </row>
    <row r="46" spans="1:10" hidden="1" x14ac:dyDescent="0.3">
      <c r="A46" s="100" t="s">
        <v>392</v>
      </c>
      <c r="B46" s="101" t="s">
        <v>4</v>
      </c>
      <c r="C46" s="101" t="s">
        <v>953</v>
      </c>
      <c r="D46" s="101" t="s">
        <v>954</v>
      </c>
      <c r="E46" s="102">
        <v>45685</v>
      </c>
      <c r="F46" s="101" t="s">
        <v>370</v>
      </c>
      <c r="G46" s="101" t="s">
        <v>63</v>
      </c>
      <c r="H46" s="103">
        <v>8058.6</v>
      </c>
      <c r="I46" s="133">
        <v>0.67700000000000005</v>
      </c>
      <c r="J46" s="104" t="s">
        <v>830</v>
      </c>
    </row>
    <row r="47" spans="1:10" hidden="1" x14ac:dyDescent="0.3">
      <c r="A47" s="100" t="s">
        <v>392</v>
      </c>
      <c r="B47" s="101" t="s">
        <v>4</v>
      </c>
      <c r="C47" s="101" t="s">
        <v>955</v>
      </c>
      <c r="D47" s="101" t="s">
        <v>956</v>
      </c>
      <c r="E47" s="102">
        <v>45685</v>
      </c>
      <c r="F47" s="101" t="s">
        <v>370</v>
      </c>
      <c r="G47" s="101" t="s">
        <v>63</v>
      </c>
      <c r="H47" s="103">
        <v>12680.77</v>
      </c>
      <c r="I47" s="133">
        <v>0.70799999999999996</v>
      </c>
      <c r="J47" s="104" t="s">
        <v>830</v>
      </c>
    </row>
    <row r="48" spans="1:10" hidden="1" x14ac:dyDescent="0.3">
      <c r="A48" s="100" t="s">
        <v>392</v>
      </c>
      <c r="B48" s="101" t="s">
        <v>4</v>
      </c>
      <c r="C48" s="101" t="s">
        <v>957</v>
      </c>
      <c r="D48" s="101" t="s">
        <v>958</v>
      </c>
      <c r="E48" s="102">
        <v>45685</v>
      </c>
      <c r="F48" s="101" t="s">
        <v>370</v>
      </c>
      <c r="G48" s="101" t="s">
        <v>63</v>
      </c>
      <c r="H48" s="103">
        <v>14131.96</v>
      </c>
      <c r="I48" s="133">
        <v>0.61099999999999999</v>
      </c>
      <c r="J48" s="104" t="s">
        <v>830</v>
      </c>
    </row>
    <row r="49" spans="1:10" hidden="1" x14ac:dyDescent="0.3">
      <c r="A49" s="100" t="s">
        <v>390</v>
      </c>
      <c r="B49" s="101" t="s">
        <v>4</v>
      </c>
      <c r="C49" s="101" t="s">
        <v>959</v>
      </c>
      <c r="D49" s="101" t="s">
        <v>960</v>
      </c>
      <c r="E49" s="102">
        <v>45685</v>
      </c>
      <c r="F49" s="101" t="s">
        <v>370</v>
      </c>
      <c r="G49" s="101" t="s">
        <v>63</v>
      </c>
      <c r="H49" s="103">
        <v>40097.5</v>
      </c>
      <c r="I49" s="133">
        <v>0.45700000000000002</v>
      </c>
      <c r="J49" s="104" t="s">
        <v>830</v>
      </c>
    </row>
    <row r="50" spans="1:10" hidden="1" x14ac:dyDescent="0.3">
      <c r="A50" s="100" t="s">
        <v>390</v>
      </c>
      <c r="B50" s="101" t="s">
        <v>4</v>
      </c>
      <c r="C50" s="101" t="s">
        <v>961</v>
      </c>
      <c r="D50" s="101" t="s">
        <v>962</v>
      </c>
      <c r="E50" s="102">
        <v>45685</v>
      </c>
      <c r="F50" s="101" t="s">
        <v>375</v>
      </c>
      <c r="G50" s="101" t="s">
        <v>62</v>
      </c>
      <c r="H50" s="103">
        <v>50206.47</v>
      </c>
      <c r="I50" s="133">
        <v>0.27200000000000002</v>
      </c>
      <c r="J50" s="104" t="s">
        <v>831</v>
      </c>
    </row>
    <row r="51" spans="1:10" hidden="1" x14ac:dyDescent="0.3">
      <c r="A51" s="100" t="s">
        <v>392</v>
      </c>
      <c r="B51" s="101" t="s">
        <v>4</v>
      </c>
      <c r="C51" s="101" t="s">
        <v>963</v>
      </c>
      <c r="D51" s="101" t="s">
        <v>964</v>
      </c>
      <c r="E51" s="102">
        <v>45685</v>
      </c>
      <c r="F51" s="101" t="s">
        <v>370</v>
      </c>
      <c r="G51" s="101" t="s">
        <v>63</v>
      </c>
      <c r="H51" s="103">
        <v>6928.26</v>
      </c>
      <c r="I51" s="133">
        <v>0.53800000000000003</v>
      </c>
      <c r="J51" s="104" t="s">
        <v>830</v>
      </c>
    </row>
    <row r="52" spans="1:10" hidden="1" x14ac:dyDescent="0.3">
      <c r="A52" s="100" t="s">
        <v>392</v>
      </c>
      <c r="B52" s="101" t="s">
        <v>4</v>
      </c>
      <c r="C52" s="101" t="s">
        <v>965</v>
      </c>
      <c r="D52" s="101" t="s">
        <v>966</v>
      </c>
      <c r="E52" s="102">
        <v>45685</v>
      </c>
      <c r="F52" s="101" t="s">
        <v>370</v>
      </c>
      <c r="G52" s="101" t="s">
        <v>63</v>
      </c>
      <c r="H52" s="103">
        <v>14661.91</v>
      </c>
      <c r="I52" s="133">
        <v>0.47499999999999998</v>
      </c>
      <c r="J52" s="104" t="s">
        <v>830</v>
      </c>
    </row>
    <row r="53" spans="1:10" hidden="1" x14ac:dyDescent="0.3">
      <c r="A53" s="100" t="s">
        <v>392</v>
      </c>
      <c r="B53" s="101" t="s">
        <v>4</v>
      </c>
      <c r="C53" s="101" t="s">
        <v>967</v>
      </c>
      <c r="D53" s="101" t="s">
        <v>968</v>
      </c>
      <c r="E53" s="102">
        <v>45685</v>
      </c>
      <c r="F53" s="101" t="s">
        <v>370</v>
      </c>
      <c r="G53" s="101" t="s">
        <v>63</v>
      </c>
      <c r="H53" s="103">
        <v>3073.13</v>
      </c>
      <c r="I53" s="133">
        <v>0.61</v>
      </c>
      <c r="J53" s="104" t="s">
        <v>830</v>
      </c>
    </row>
    <row r="54" spans="1:10" hidden="1" x14ac:dyDescent="0.3">
      <c r="A54" s="100" t="s">
        <v>390</v>
      </c>
      <c r="B54" s="101" t="s">
        <v>4</v>
      </c>
      <c r="C54" s="101" t="s">
        <v>969</v>
      </c>
      <c r="D54" s="101" t="s">
        <v>970</v>
      </c>
      <c r="E54" s="102">
        <v>45685</v>
      </c>
      <c r="F54" s="101" t="s">
        <v>375</v>
      </c>
      <c r="G54" s="101" t="s">
        <v>62</v>
      </c>
      <c r="H54" s="103">
        <v>86910</v>
      </c>
      <c r="I54" s="133">
        <v>0.37</v>
      </c>
      <c r="J54" s="104" t="s">
        <v>831</v>
      </c>
    </row>
    <row r="55" spans="1:10" hidden="1" x14ac:dyDescent="0.3">
      <c r="A55" s="100" t="s">
        <v>390</v>
      </c>
      <c r="B55" s="101" t="s">
        <v>4</v>
      </c>
      <c r="C55" s="101" t="s">
        <v>971</v>
      </c>
      <c r="D55" s="101" t="s">
        <v>972</v>
      </c>
      <c r="E55" s="102">
        <v>45685</v>
      </c>
      <c r="F55" s="101" t="s">
        <v>375</v>
      </c>
      <c r="G55" s="101" t="s">
        <v>62</v>
      </c>
      <c r="H55" s="103">
        <v>1627.5</v>
      </c>
      <c r="I55" s="133">
        <v>0.34289999999999998</v>
      </c>
      <c r="J55" s="104" t="s">
        <v>831</v>
      </c>
    </row>
    <row r="56" spans="1:10" hidden="1" x14ac:dyDescent="0.3">
      <c r="A56" s="100" t="s">
        <v>392</v>
      </c>
      <c r="B56" s="101" t="s">
        <v>4</v>
      </c>
      <c r="C56" s="101" t="s">
        <v>973</v>
      </c>
      <c r="D56" s="101" t="s">
        <v>974</v>
      </c>
      <c r="E56" s="102">
        <v>45685</v>
      </c>
      <c r="F56" s="101" t="s">
        <v>370</v>
      </c>
      <c r="G56" s="101" t="s">
        <v>63</v>
      </c>
      <c r="H56" s="103">
        <v>15815.59</v>
      </c>
      <c r="I56" s="133">
        <v>0.76600000000000001</v>
      </c>
      <c r="J56" s="104" t="s">
        <v>830</v>
      </c>
    </row>
    <row r="57" spans="1:10" hidden="1" x14ac:dyDescent="0.3">
      <c r="A57" s="100" t="s">
        <v>390</v>
      </c>
      <c r="B57" s="101" t="s">
        <v>4</v>
      </c>
      <c r="C57" s="101" t="s">
        <v>975</v>
      </c>
      <c r="D57" s="101" t="s">
        <v>976</v>
      </c>
      <c r="E57" s="102">
        <v>45687</v>
      </c>
      <c r="F57" s="101" t="s">
        <v>371</v>
      </c>
      <c r="G57" s="101" t="s">
        <v>864</v>
      </c>
      <c r="H57" s="103">
        <v>14016.38</v>
      </c>
      <c r="I57" s="133">
        <v>0.50800000000000001</v>
      </c>
      <c r="J57" s="104" t="s">
        <v>832</v>
      </c>
    </row>
    <row r="58" spans="1:10" hidden="1" x14ac:dyDescent="0.3">
      <c r="A58" s="100" t="s">
        <v>390</v>
      </c>
      <c r="B58" s="101" t="s">
        <v>4</v>
      </c>
      <c r="C58" s="101" t="s">
        <v>977</v>
      </c>
      <c r="D58" s="101" t="s">
        <v>978</v>
      </c>
      <c r="E58" s="102">
        <v>45687</v>
      </c>
      <c r="F58" s="101" t="s">
        <v>371</v>
      </c>
      <c r="G58" s="101" t="s">
        <v>864</v>
      </c>
      <c r="H58" s="103">
        <v>34614.5</v>
      </c>
      <c r="I58" s="133">
        <v>0.27200000000000002</v>
      </c>
      <c r="J58" s="104" t="s">
        <v>832</v>
      </c>
    </row>
    <row r="59" spans="1:10" hidden="1" x14ac:dyDescent="0.3">
      <c r="A59" s="100" t="s">
        <v>392</v>
      </c>
      <c r="B59" s="101" t="s">
        <v>4</v>
      </c>
      <c r="C59" s="101" t="s">
        <v>979</v>
      </c>
      <c r="D59" s="101" t="s">
        <v>980</v>
      </c>
      <c r="E59" s="102">
        <v>45687</v>
      </c>
      <c r="F59" s="101" t="s">
        <v>842</v>
      </c>
      <c r="G59" s="101" t="s">
        <v>843</v>
      </c>
      <c r="H59" s="103">
        <v>22000</v>
      </c>
      <c r="I59" s="133">
        <v>0.437</v>
      </c>
      <c r="J59" s="104" t="s">
        <v>1018</v>
      </c>
    </row>
    <row r="60" spans="1:10" hidden="1" x14ac:dyDescent="0.3">
      <c r="A60" s="100" t="s">
        <v>392</v>
      </c>
      <c r="B60" s="101" t="s">
        <v>4</v>
      </c>
      <c r="C60" s="101" t="s">
        <v>981</v>
      </c>
      <c r="D60" s="101" t="s">
        <v>982</v>
      </c>
      <c r="E60" s="102">
        <v>45687</v>
      </c>
      <c r="F60" s="101" t="s">
        <v>844</v>
      </c>
      <c r="G60" s="101" t="s">
        <v>863</v>
      </c>
      <c r="H60" s="103">
        <v>27288.7</v>
      </c>
      <c r="I60" s="133">
        <v>0.35899999999999999</v>
      </c>
      <c r="J60" s="104" t="s">
        <v>831</v>
      </c>
    </row>
    <row r="61" spans="1:10" hidden="1" x14ac:dyDescent="0.3">
      <c r="A61" s="100" t="s">
        <v>392</v>
      </c>
      <c r="B61" s="101" t="s">
        <v>4</v>
      </c>
      <c r="C61" s="101" t="s">
        <v>983</v>
      </c>
      <c r="D61" s="101" t="s">
        <v>984</v>
      </c>
      <c r="E61" s="102">
        <v>45688</v>
      </c>
      <c r="F61" s="101" t="s">
        <v>619</v>
      </c>
      <c r="G61" s="101" t="s">
        <v>16</v>
      </c>
      <c r="H61" s="103">
        <v>7483.43</v>
      </c>
      <c r="I61" s="133">
        <v>0.495</v>
      </c>
      <c r="J61" s="104" t="s">
        <v>831</v>
      </c>
    </row>
    <row r="62" spans="1:10" hidden="1" x14ac:dyDescent="0.3">
      <c r="A62" s="100" t="s">
        <v>390</v>
      </c>
      <c r="B62" s="101" t="s">
        <v>4</v>
      </c>
      <c r="C62" s="101" t="s">
        <v>985</v>
      </c>
      <c r="D62" s="101" t="s">
        <v>860</v>
      </c>
      <c r="E62" s="102">
        <v>45688</v>
      </c>
      <c r="F62" s="101" t="s">
        <v>619</v>
      </c>
      <c r="G62" s="101" t="s">
        <v>16</v>
      </c>
      <c r="H62" s="103">
        <v>2170</v>
      </c>
      <c r="I62" s="133">
        <v>0.311</v>
      </c>
      <c r="J62" s="104" t="s">
        <v>831</v>
      </c>
    </row>
    <row r="63" spans="1:10" hidden="1" x14ac:dyDescent="0.3">
      <c r="A63" s="100" t="s">
        <v>392</v>
      </c>
      <c r="B63" s="101" t="s">
        <v>4</v>
      </c>
      <c r="C63" s="101" t="s">
        <v>986</v>
      </c>
      <c r="D63" s="101" t="s">
        <v>987</v>
      </c>
      <c r="E63" s="102">
        <v>45688</v>
      </c>
      <c r="F63" s="101" t="s">
        <v>370</v>
      </c>
      <c r="G63" s="101" t="s">
        <v>63</v>
      </c>
      <c r="H63" s="103">
        <v>14110.06</v>
      </c>
      <c r="I63" s="133">
        <v>0.61</v>
      </c>
      <c r="J63" s="104" t="s">
        <v>830</v>
      </c>
    </row>
    <row r="64" spans="1:10" hidden="1" x14ac:dyDescent="0.3">
      <c r="A64" s="100" t="s">
        <v>392</v>
      </c>
      <c r="B64" s="101" t="s">
        <v>4</v>
      </c>
      <c r="C64" s="101" t="s">
        <v>988</v>
      </c>
      <c r="D64" s="101" t="s">
        <v>989</v>
      </c>
      <c r="E64" s="102">
        <v>45688</v>
      </c>
      <c r="F64" s="101" t="s">
        <v>370</v>
      </c>
      <c r="G64" s="101" t="s">
        <v>63</v>
      </c>
      <c r="H64" s="103">
        <v>14710.06</v>
      </c>
      <c r="I64" s="133">
        <v>0.626</v>
      </c>
      <c r="J64" s="104" t="s">
        <v>830</v>
      </c>
    </row>
    <row r="65" spans="1:11" hidden="1" x14ac:dyDescent="0.3">
      <c r="A65" s="100" t="s">
        <v>390</v>
      </c>
      <c r="B65" s="101" t="s">
        <v>4</v>
      </c>
      <c r="C65" s="101" t="s">
        <v>990</v>
      </c>
      <c r="D65" s="101" t="s">
        <v>991</v>
      </c>
      <c r="E65" s="102">
        <v>45688</v>
      </c>
      <c r="F65" s="101" t="s">
        <v>854</v>
      </c>
      <c r="G65" s="101" t="s">
        <v>855</v>
      </c>
      <c r="H65" s="103">
        <v>29447.57</v>
      </c>
      <c r="I65" s="133">
        <v>0.34200000000000003</v>
      </c>
      <c r="J65" s="104" t="s">
        <v>831</v>
      </c>
    </row>
    <row r="66" spans="1:11" hidden="1" x14ac:dyDescent="0.3">
      <c r="A66" s="100" t="s">
        <v>392</v>
      </c>
      <c r="B66" s="101" t="s">
        <v>4</v>
      </c>
      <c r="C66" s="101" t="s">
        <v>992</v>
      </c>
      <c r="D66" s="101" t="s">
        <v>993</v>
      </c>
      <c r="E66" s="102">
        <v>45688</v>
      </c>
      <c r="F66" s="101" t="s">
        <v>844</v>
      </c>
      <c r="G66" s="101" t="s">
        <v>863</v>
      </c>
      <c r="H66" s="103">
        <v>21730.959999999999</v>
      </c>
      <c r="I66" s="133">
        <v>0.248</v>
      </c>
      <c r="J66" s="104" t="s">
        <v>831</v>
      </c>
    </row>
    <row r="67" spans="1:11" hidden="1" x14ac:dyDescent="0.3">
      <c r="A67" s="100" t="s">
        <v>392</v>
      </c>
      <c r="B67" s="101" t="s">
        <v>4</v>
      </c>
      <c r="C67" s="101" t="s">
        <v>994</v>
      </c>
      <c r="D67" s="101" t="s">
        <v>995</v>
      </c>
      <c r="E67" s="102">
        <v>45688</v>
      </c>
      <c r="F67" s="101" t="s">
        <v>844</v>
      </c>
      <c r="G67" s="101" t="s">
        <v>863</v>
      </c>
      <c r="H67" s="103">
        <v>17400</v>
      </c>
      <c r="I67" s="133">
        <v>0.46</v>
      </c>
      <c r="J67" s="104" t="s">
        <v>831</v>
      </c>
    </row>
    <row r="68" spans="1:11" hidden="1" x14ac:dyDescent="0.3">
      <c r="A68" s="100" t="s">
        <v>390</v>
      </c>
      <c r="B68" s="101" t="s">
        <v>4</v>
      </c>
      <c r="C68" s="101" t="s">
        <v>996</v>
      </c>
      <c r="D68" s="101" t="s">
        <v>997</v>
      </c>
      <c r="E68" s="102">
        <v>45688</v>
      </c>
      <c r="F68" s="101" t="s">
        <v>375</v>
      </c>
      <c r="G68" s="101" t="s">
        <v>62</v>
      </c>
      <c r="H68" s="103">
        <v>45120.39</v>
      </c>
      <c r="I68" s="133">
        <v>0.26300000000000001</v>
      </c>
      <c r="J68" s="104" t="s">
        <v>831</v>
      </c>
    </row>
    <row r="69" spans="1:11" hidden="1" x14ac:dyDescent="0.3">
      <c r="A69" s="100" t="s">
        <v>390</v>
      </c>
      <c r="B69" s="101" t="s">
        <v>4</v>
      </c>
      <c r="C69" s="101" t="s">
        <v>998</v>
      </c>
      <c r="D69" s="101" t="s">
        <v>999</v>
      </c>
      <c r="E69" s="102">
        <v>45688</v>
      </c>
      <c r="F69" s="101" t="s">
        <v>375</v>
      </c>
      <c r="G69" s="101" t="s">
        <v>62</v>
      </c>
      <c r="H69" s="103">
        <v>98665</v>
      </c>
      <c r="I69" s="133">
        <v>0.34899999999999998</v>
      </c>
      <c r="J69" s="104" t="s">
        <v>831</v>
      </c>
    </row>
    <row r="70" spans="1:11" hidden="1" x14ac:dyDescent="0.3">
      <c r="A70" s="100" t="s">
        <v>390</v>
      </c>
      <c r="B70" s="101" t="s">
        <v>4</v>
      </c>
      <c r="C70" s="101" t="s">
        <v>1000</v>
      </c>
      <c r="D70" s="101" t="s">
        <v>901</v>
      </c>
      <c r="E70" s="102">
        <v>45670</v>
      </c>
      <c r="F70" s="101" t="s">
        <v>811</v>
      </c>
      <c r="G70" s="101" t="s">
        <v>813</v>
      </c>
      <c r="H70" s="103">
        <v>31460.280705000001</v>
      </c>
      <c r="I70" s="133">
        <v>0.314</v>
      </c>
      <c r="J70" s="104" t="s">
        <v>832</v>
      </c>
    </row>
    <row r="71" spans="1:11" hidden="1" x14ac:dyDescent="0.3">
      <c r="A71" s="100" t="s">
        <v>392</v>
      </c>
      <c r="B71" s="101" t="s">
        <v>4</v>
      </c>
      <c r="C71" s="101" t="s">
        <v>1001</v>
      </c>
      <c r="D71" s="101" t="s">
        <v>1002</v>
      </c>
      <c r="E71" s="102">
        <v>45680</v>
      </c>
      <c r="F71" s="101" t="s">
        <v>844</v>
      </c>
      <c r="G71" s="101" t="s">
        <v>863</v>
      </c>
      <c r="H71" s="103">
        <v>18116.4375</v>
      </c>
      <c r="I71" s="133">
        <v>0.27</v>
      </c>
      <c r="J71" s="104" t="s">
        <v>831</v>
      </c>
    </row>
    <row r="72" spans="1:11" hidden="1" x14ac:dyDescent="0.3">
      <c r="A72" s="100" t="s">
        <v>392</v>
      </c>
      <c r="B72" s="101" t="s">
        <v>4</v>
      </c>
      <c r="C72" s="101" t="s">
        <v>1003</v>
      </c>
      <c r="D72" s="101" t="s">
        <v>1004</v>
      </c>
      <c r="E72" s="102">
        <v>45680</v>
      </c>
      <c r="F72" s="101" t="s">
        <v>844</v>
      </c>
      <c r="G72" s="101" t="s">
        <v>863</v>
      </c>
      <c r="H72" s="103">
        <v>140301.69999999998</v>
      </c>
      <c r="I72" s="133">
        <v>0.17499999999999999</v>
      </c>
      <c r="J72" s="104" t="s">
        <v>831</v>
      </c>
    </row>
    <row r="73" spans="1:11" hidden="1" x14ac:dyDescent="0.3">
      <c r="A73" s="100" t="s">
        <v>390</v>
      </c>
      <c r="B73" s="101" t="s">
        <v>4</v>
      </c>
      <c r="C73" s="101" t="s">
        <v>1005</v>
      </c>
      <c r="D73" s="101" t="s">
        <v>1006</v>
      </c>
      <c r="E73" s="102">
        <v>45681</v>
      </c>
      <c r="F73" s="101" t="s">
        <v>1007</v>
      </c>
      <c r="G73" s="101" t="s">
        <v>865</v>
      </c>
      <c r="H73" s="103">
        <v>83820.573000000004</v>
      </c>
      <c r="I73" s="133">
        <v>0.34599999999999997</v>
      </c>
      <c r="J73" s="104" t="s">
        <v>831</v>
      </c>
      <c r="K73" s="44" t="s">
        <v>1542</v>
      </c>
    </row>
    <row r="74" spans="1:11" hidden="1" x14ac:dyDescent="0.3">
      <c r="A74" s="100" t="s">
        <v>390</v>
      </c>
      <c r="B74" s="101" t="s">
        <v>4</v>
      </c>
      <c r="C74" s="101" t="s">
        <v>1008</v>
      </c>
      <c r="D74" s="101" t="s">
        <v>1009</v>
      </c>
      <c r="E74" s="102">
        <v>45681</v>
      </c>
      <c r="F74" s="101" t="s">
        <v>372</v>
      </c>
      <c r="G74" s="101" t="s">
        <v>10</v>
      </c>
      <c r="H74" s="103">
        <v>114208.08</v>
      </c>
      <c r="I74" s="133">
        <v>0.27100000000000002</v>
      </c>
      <c r="J74" s="104" t="s">
        <v>833</v>
      </c>
    </row>
    <row r="75" spans="1:11" hidden="1" x14ac:dyDescent="0.3">
      <c r="A75" s="100" t="s">
        <v>392</v>
      </c>
      <c r="B75" s="101" t="s">
        <v>4</v>
      </c>
      <c r="C75" s="101" t="s">
        <v>1010</v>
      </c>
      <c r="D75" s="101" t="s">
        <v>1011</v>
      </c>
      <c r="E75" s="102">
        <v>45687</v>
      </c>
      <c r="F75" s="101" t="s">
        <v>844</v>
      </c>
      <c r="G75" s="101" t="s">
        <v>863</v>
      </c>
      <c r="H75" s="103">
        <v>125977.16249999999</v>
      </c>
      <c r="I75" s="133">
        <v>0.20499999999999999</v>
      </c>
      <c r="J75" s="104" t="s">
        <v>831</v>
      </c>
    </row>
    <row r="76" spans="1:11" hidden="1" x14ac:dyDescent="0.3">
      <c r="A76" s="100" t="s">
        <v>390</v>
      </c>
      <c r="B76" s="101" t="s">
        <v>4</v>
      </c>
      <c r="C76" s="101" t="s">
        <v>1012</v>
      </c>
      <c r="D76" s="101" t="s">
        <v>1013</v>
      </c>
      <c r="E76" s="102">
        <v>45687</v>
      </c>
      <c r="F76" s="101" t="s">
        <v>811</v>
      </c>
      <c r="G76" s="101" t="s">
        <v>813</v>
      </c>
      <c r="H76" s="103">
        <v>7712.8874999999998</v>
      </c>
      <c r="I76" s="133">
        <v>0.3</v>
      </c>
      <c r="J76" s="104" t="s">
        <v>832</v>
      </c>
    </row>
    <row r="77" spans="1:11" hidden="1" x14ac:dyDescent="0.3">
      <c r="A77" s="100" t="s">
        <v>390</v>
      </c>
      <c r="B77" s="101" t="s">
        <v>4</v>
      </c>
      <c r="C77" s="101" t="s">
        <v>1014</v>
      </c>
      <c r="D77" s="101" t="s">
        <v>841</v>
      </c>
      <c r="E77" s="102">
        <v>45687</v>
      </c>
      <c r="F77" s="101" t="s">
        <v>811</v>
      </c>
      <c r="G77" s="101" t="s">
        <v>813</v>
      </c>
      <c r="H77" s="103">
        <v>5141.9249999999993</v>
      </c>
      <c r="I77" s="133">
        <v>0.23200000000000001</v>
      </c>
      <c r="J77" s="104" t="s">
        <v>832</v>
      </c>
    </row>
    <row r="78" spans="1:11" hidden="1" x14ac:dyDescent="0.3">
      <c r="A78" s="100" t="s">
        <v>390</v>
      </c>
      <c r="B78" s="101" t="s">
        <v>4</v>
      </c>
      <c r="C78" s="101" t="s">
        <v>1015</v>
      </c>
      <c r="D78" s="101" t="s">
        <v>1016</v>
      </c>
      <c r="E78" s="102">
        <v>45688</v>
      </c>
      <c r="F78" s="101" t="s">
        <v>1017</v>
      </c>
      <c r="G78" s="101" t="s">
        <v>862</v>
      </c>
      <c r="H78" s="103">
        <v>1230867.443</v>
      </c>
      <c r="I78" s="133">
        <v>0.41499999999999998</v>
      </c>
      <c r="J78" s="104" t="s">
        <v>1018</v>
      </c>
    </row>
    <row r="79" spans="1:11" hidden="1" x14ac:dyDescent="0.3">
      <c r="A79" s="100" t="s">
        <v>390</v>
      </c>
      <c r="B79" s="101" t="s">
        <v>1019</v>
      </c>
      <c r="C79" s="101" t="s">
        <v>1020</v>
      </c>
      <c r="D79" s="101" t="s">
        <v>1009</v>
      </c>
      <c r="E79" s="102">
        <v>45694</v>
      </c>
      <c r="F79" s="101" t="s">
        <v>372</v>
      </c>
      <c r="G79" s="101" t="s">
        <v>10</v>
      </c>
      <c r="H79" s="103">
        <v>107360.24</v>
      </c>
      <c r="I79" s="133">
        <v>0.27100000000000002</v>
      </c>
      <c r="J79" s="104" t="s">
        <v>833</v>
      </c>
    </row>
    <row r="80" spans="1:11" hidden="1" x14ac:dyDescent="0.3">
      <c r="A80" s="100" t="s">
        <v>390</v>
      </c>
      <c r="B80" s="101" t="s">
        <v>1019</v>
      </c>
      <c r="C80" s="101" t="s">
        <v>1021</v>
      </c>
      <c r="D80" s="101" t="s">
        <v>1022</v>
      </c>
      <c r="E80" s="102">
        <v>45694</v>
      </c>
      <c r="F80" s="101" t="s">
        <v>372</v>
      </c>
      <c r="G80" s="101" t="s">
        <v>10</v>
      </c>
      <c r="H80" s="103">
        <v>73868.289999999994</v>
      </c>
      <c r="I80" s="133">
        <v>0.28799999999999998</v>
      </c>
      <c r="J80" s="104" t="s">
        <v>833</v>
      </c>
    </row>
    <row r="81" spans="1:10" hidden="1" x14ac:dyDescent="0.3">
      <c r="A81" s="100" t="s">
        <v>390</v>
      </c>
      <c r="B81" s="101" t="s">
        <v>1019</v>
      </c>
      <c r="C81" s="101" t="s">
        <v>1023</v>
      </c>
      <c r="D81" s="101" t="s">
        <v>1024</v>
      </c>
      <c r="E81" s="102">
        <v>45694</v>
      </c>
      <c r="F81" s="101" t="s">
        <v>371</v>
      </c>
      <c r="G81" s="101" t="s">
        <v>864</v>
      </c>
      <c r="H81" s="103">
        <v>13293.3</v>
      </c>
      <c r="I81" s="133">
        <v>0.41399999999999998</v>
      </c>
      <c r="J81" s="104" t="s">
        <v>832</v>
      </c>
    </row>
    <row r="82" spans="1:10" hidden="1" x14ac:dyDescent="0.3">
      <c r="A82" s="100" t="s">
        <v>390</v>
      </c>
      <c r="B82" s="101" t="s">
        <v>1019</v>
      </c>
      <c r="C82" s="101" t="s">
        <v>1025</v>
      </c>
      <c r="D82" s="101" t="s">
        <v>1026</v>
      </c>
      <c r="E82" s="102">
        <v>45694</v>
      </c>
      <c r="F82" s="101" t="s">
        <v>375</v>
      </c>
      <c r="G82" s="101" t="s">
        <v>62</v>
      </c>
      <c r="H82" s="103">
        <v>143742.45000000001</v>
      </c>
      <c r="I82" s="133">
        <v>0.36099999999999999</v>
      </c>
      <c r="J82" s="104" t="s">
        <v>831</v>
      </c>
    </row>
    <row r="83" spans="1:10" hidden="1" x14ac:dyDescent="0.3">
      <c r="A83" s="100" t="s">
        <v>392</v>
      </c>
      <c r="B83" s="101" t="s">
        <v>1019</v>
      </c>
      <c r="C83" s="101" t="s">
        <v>1027</v>
      </c>
      <c r="D83" s="101" t="s">
        <v>1028</v>
      </c>
      <c r="E83" s="102">
        <v>45695</v>
      </c>
      <c r="F83" s="101" t="s">
        <v>372</v>
      </c>
      <c r="G83" s="101" t="s">
        <v>10</v>
      </c>
      <c r="H83" s="103">
        <v>26000.04</v>
      </c>
      <c r="I83" s="133">
        <v>0.38600000000000001</v>
      </c>
      <c r="J83" s="104" t="s">
        <v>848</v>
      </c>
    </row>
    <row r="84" spans="1:10" hidden="1" x14ac:dyDescent="0.3">
      <c r="A84" s="100" t="s">
        <v>392</v>
      </c>
      <c r="B84" s="101" t="s">
        <v>1019</v>
      </c>
      <c r="C84" s="101" t="s">
        <v>1029</v>
      </c>
      <c r="D84" s="101" t="s">
        <v>1030</v>
      </c>
      <c r="E84" s="102">
        <v>45695</v>
      </c>
      <c r="F84" s="101" t="s">
        <v>371</v>
      </c>
      <c r="G84" s="101" t="s">
        <v>864</v>
      </c>
      <c r="H84" s="103">
        <v>15295.72</v>
      </c>
      <c r="I84" s="133">
        <v>0.85599999999999998</v>
      </c>
      <c r="J84" s="104" t="s">
        <v>848</v>
      </c>
    </row>
    <row r="85" spans="1:10" hidden="1" x14ac:dyDescent="0.3">
      <c r="A85" s="100" t="s">
        <v>390</v>
      </c>
      <c r="B85" s="101" t="s">
        <v>1019</v>
      </c>
      <c r="C85" s="101" t="s">
        <v>1031</v>
      </c>
      <c r="D85" s="101" t="s">
        <v>1032</v>
      </c>
      <c r="E85" s="102">
        <v>45699</v>
      </c>
      <c r="F85" s="101" t="s">
        <v>844</v>
      </c>
      <c r="G85" s="101" t="s">
        <v>863</v>
      </c>
      <c r="H85" s="103">
        <v>21320.23</v>
      </c>
      <c r="I85" s="133">
        <v>0.25900000000000001</v>
      </c>
      <c r="J85" s="104" t="s">
        <v>831</v>
      </c>
    </row>
    <row r="86" spans="1:10" hidden="1" x14ac:dyDescent="0.3">
      <c r="A86" s="100" t="s">
        <v>392</v>
      </c>
      <c r="B86" s="101" t="s">
        <v>1019</v>
      </c>
      <c r="C86" s="101" t="s">
        <v>1033</v>
      </c>
      <c r="D86" s="101" t="s">
        <v>1034</v>
      </c>
      <c r="E86" s="102">
        <v>45699</v>
      </c>
      <c r="F86" s="101" t="s">
        <v>842</v>
      </c>
      <c r="G86" s="101" t="s">
        <v>843</v>
      </c>
      <c r="H86" s="103">
        <v>66000</v>
      </c>
      <c r="I86" s="133">
        <v>0.438</v>
      </c>
      <c r="J86" s="104" t="s">
        <v>832</v>
      </c>
    </row>
    <row r="87" spans="1:10" hidden="1" x14ac:dyDescent="0.3">
      <c r="A87" s="100" t="s">
        <v>392</v>
      </c>
      <c r="B87" s="101" t="s">
        <v>1019</v>
      </c>
      <c r="C87" s="101" t="s">
        <v>1035</v>
      </c>
      <c r="D87" s="101" t="s">
        <v>1036</v>
      </c>
      <c r="E87" s="102">
        <v>45699</v>
      </c>
      <c r="F87" s="101" t="s">
        <v>370</v>
      </c>
      <c r="G87" s="101" t="s">
        <v>63</v>
      </c>
      <c r="H87" s="103">
        <v>8039.94</v>
      </c>
      <c r="I87" s="133">
        <v>0.74199999999999999</v>
      </c>
      <c r="J87" s="104" t="s">
        <v>830</v>
      </c>
    </row>
    <row r="88" spans="1:10" hidden="1" x14ac:dyDescent="0.3">
      <c r="A88" s="100" t="s">
        <v>392</v>
      </c>
      <c r="B88" s="101" t="s">
        <v>1019</v>
      </c>
      <c r="C88" s="101" t="s">
        <v>1037</v>
      </c>
      <c r="D88" s="101" t="s">
        <v>1038</v>
      </c>
      <c r="E88" s="102">
        <v>45699</v>
      </c>
      <c r="F88" s="101" t="s">
        <v>370</v>
      </c>
      <c r="G88" s="101" t="s">
        <v>63</v>
      </c>
      <c r="H88" s="103">
        <v>4121.3599999999997</v>
      </c>
      <c r="I88" s="133">
        <v>0.56299999999999994</v>
      </c>
      <c r="J88" s="104" t="s">
        <v>830</v>
      </c>
    </row>
    <row r="89" spans="1:10" hidden="1" x14ac:dyDescent="0.3">
      <c r="A89" s="100" t="s">
        <v>392</v>
      </c>
      <c r="B89" s="101" t="s">
        <v>1019</v>
      </c>
      <c r="C89" s="101" t="s">
        <v>1039</v>
      </c>
      <c r="D89" s="101" t="s">
        <v>1040</v>
      </c>
      <c r="E89" s="102">
        <v>45699</v>
      </c>
      <c r="F89" s="101" t="s">
        <v>370</v>
      </c>
      <c r="G89" s="101" t="s">
        <v>63</v>
      </c>
      <c r="H89" s="103">
        <v>8071.36</v>
      </c>
      <c r="I89" s="133">
        <v>0.74299999999999999</v>
      </c>
      <c r="J89" s="104" t="s">
        <v>830</v>
      </c>
    </row>
    <row r="90" spans="1:10" hidden="1" x14ac:dyDescent="0.3">
      <c r="A90" s="100" t="s">
        <v>392</v>
      </c>
      <c r="B90" s="101" t="s">
        <v>1019</v>
      </c>
      <c r="C90" s="101" t="s">
        <v>1041</v>
      </c>
      <c r="D90" s="101" t="s">
        <v>1042</v>
      </c>
      <c r="E90" s="102">
        <v>45699</v>
      </c>
      <c r="F90" s="101" t="s">
        <v>370</v>
      </c>
      <c r="G90" s="101" t="s">
        <v>63</v>
      </c>
      <c r="H90" s="103">
        <v>8035.36</v>
      </c>
      <c r="I90" s="133">
        <v>0.74199999999999999</v>
      </c>
      <c r="J90" s="104" t="s">
        <v>830</v>
      </c>
    </row>
    <row r="91" spans="1:10" hidden="1" x14ac:dyDescent="0.3">
      <c r="A91" s="100" t="s">
        <v>392</v>
      </c>
      <c r="B91" s="101" t="s">
        <v>1019</v>
      </c>
      <c r="C91" s="101" t="s">
        <v>1043</v>
      </c>
      <c r="D91" s="101" t="s">
        <v>1044</v>
      </c>
      <c r="E91" s="102">
        <v>45699</v>
      </c>
      <c r="F91" s="101" t="s">
        <v>370</v>
      </c>
      <c r="G91" s="101" t="s">
        <v>63</v>
      </c>
      <c r="H91" s="103">
        <v>8035.36</v>
      </c>
      <c r="I91" s="133">
        <v>0.74199999999999999</v>
      </c>
      <c r="J91" s="104" t="s">
        <v>830</v>
      </c>
    </row>
    <row r="92" spans="1:10" hidden="1" x14ac:dyDescent="0.3">
      <c r="A92" s="100" t="s">
        <v>392</v>
      </c>
      <c r="B92" s="101" t="s">
        <v>1019</v>
      </c>
      <c r="C92" s="101" t="s">
        <v>1045</v>
      </c>
      <c r="D92" s="101" t="s">
        <v>1046</v>
      </c>
      <c r="E92" s="102">
        <v>45699</v>
      </c>
      <c r="F92" s="101" t="s">
        <v>370</v>
      </c>
      <c r="G92" s="101" t="s">
        <v>63</v>
      </c>
      <c r="H92" s="103">
        <v>8022.43</v>
      </c>
      <c r="I92" s="133">
        <v>0.74099999999999999</v>
      </c>
      <c r="J92" s="104" t="s">
        <v>830</v>
      </c>
    </row>
    <row r="93" spans="1:10" hidden="1" x14ac:dyDescent="0.3">
      <c r="A93" s="100" t="s">
        <v>392</v>
      </c>
      <c r="B93" s="101" t="s">
        <v>1019</v>
      </c>
      <c r="C93" s="101" t="s">
        <v>1047</v>
      </c>
      <c r="D93" s="101" t="s">
        <v>1048</v>
      </c>
      <c r="E93" s="102">
        <v>45699</v>
      </c>
      <c r="F93" s="101" t="s">
        <v>370</v>
      </c>
      <c r="G93" s="101" t="s">
        <v>63</v>
      </c>
      <c r="H93" s="103">
        <v>8025.02</v>
      </c>
      <c r="I93" s="133">
        <v>0.74099999999999999</v>
      </c>
      <c r="J93" s="104" t="s">
        <v>830</v>
      </c>
    </row>
    <row r="94" spans="1:10" hidden="1" x14ac:dyDescent="0.3">
      <c r="A94" s="100" t="s">
        <v>392</v>
      </c>
      <c r="B94" s="101" t="s">
        <v>1019</v>
      </c>
      <c r="C94" s="101" t="s">
        <v>1049</v>
      </c>
      <c r="D94" s="101" t="s">
        <v>1050</v>
      </c>
      <c r="E94" s="102">
        <v>45699</v>
      </c>
      <c r="F94" s="101" t="s">
        <v>372</v>
      </c>
      <c r="G94" s="101" t="s">
        <v>10</v>
      </c>
      <c r="H94" s="103">
        <v>9013.77</v>
      </c>
      <c r="I94" s="133">
        <v>0.42699999999999999</v>
      </c>
      <c r="J94" s="104" t="s">
        <v>848</v>
      </c>
    </row>
    <row r="95" spans="1:10" hidden="1" x14ac:dyDescent="0.3">
      <c r="A95" s="100" t="s">
        <v>392</v>
      </c>
      <c r="B95" s="101" t="s">
        <v>1019</v>
      </c>
      <c r="C95" s="101" t="s">
        <v>1051</v>
      </c>
      <c r="D95" s="101" t="s">
        <v>1052</v>
      </c>
      <c r="E95" s="102">
        <v>45700</v>
      </c>
      <c r="F95" s="101" t="s">
        <v>370</v>
      </c>
      <c r="G95" s="101" t="s">
        <v>63</v>
      </c>
      <c r="H95" s="103">
        <v>9677.26</v>
      </c>
      <c r="I95" s="133">
        <v>0.70299999999999996</v>
      </c>
      <c r="J95" s="104" t="s">
        <v>830</v>
      </c>
    </row>
    <row r="96" spans="1:10" hidden="1" x14ac:dyDescent="0.3">
      <c r="A96" s="100" t="s">
        <v>392</v>
      </c>
      <c r="B96" s="101" t="s">
        <v>1019</v>
      </c>
      <c r="C96" s="101" t="s">
        <v>1053</v>
      </c>
      <c r="D96" s="101" t="s">
        <v>1054</v>
      </c>
      <c r="E96" s="102">
        <v>45700</v>
      </c>
      <c r="F96" s="101" t="s">
        <v>370</v>
      </c>
      <c r="G96" s="101" t="s">
        <v>63</v>
      </c>
      <c r="H96" s="103">
        <v>20291.439999999999</v>
      </c>
      <c r="I96" s="133">
        <v>0.72499999999999998</v>
      </c>
      <c r="J96" s="104" t="s">
        <v>830</v>
      </c>
    </row>
    <row r="97" spans="1:10" hidden="1" x14ac:dyDescent="0.3">
      <c r="A97" s="100" t="s">
        <v>390</v>
      </c>
      <c r="B97" s="101" t="s">
        <v>1019</v>
      </c>
      <c r="C97" s="101" t="s">
        <v>1055</v>
      </c>
      <c r="D97" s="101" t="s">
        <v>1056</v>
      </c>
      <c r="E97" s="102">
        <v>45700</v>
      </c>
      <c r="F97" s="101" t="s">
        <v>372</v>
      </c>
      <c r="G97" s="101" t="s">
        <v>10</v>
      </c>
      <c r="H97" s="103">
        <v>38816.61</v>
      </c>
      <c r="I97" s="133">
        <v>0.25600000000000001</v>
      </c>
      <c r="J97" s="104" t="s">
        <v>833</v>
      </c>
    </row>
    <row r="98" spans="1:10" hidden="1" x14ac:dyDescent="0.3">
      <c r="A98" s="100" t="s">
        <v>392</v>
      </c>
      <c r="B98" s="101" t="s">
        <v>1019</v>
      </c>
      <c r="C98" s="101" t="s">
        <v>1057</v>
      </c>
      <c r="D98" s="101" t="s">
        <v>1058</v>
      </c>
      <c r="E98" s="102">
        <v>45701</v>
      </c>
      <c r="F98" s="101" t="s">
        <v>842</v>
      </c>
      <c r="G98" s="101" t="s">
        <v>843</v>
      </c>
      <c r="H98" s="103">
        <v>22000</v>
      </c>
      <c r="I98" s="133">
        <v>0.443</v>
      </c>
      <c r="J98" s="104" t="s">
        <v>832</v>
      </c>
    </row>
    <row r="99" spans="1:10" hidden="1" x14ac:dyDescent="0.3">
      <c r="A99" s="100" t="s">
        <v>390</v>
      </c>
      <c r="B99" s="101" t="s">
        <v>1019</v>
      </c>
      <c r="C99" s="101" t="s">
        <v>1059</v>
      </c>
      <c r="D99" s="101" t="s">
        <v>1060</v>
      </c>
      <c r="E99" s="102">
        <v>45701</v>
      </c>
      <c r="F99" s="101" t="s">
        <v>619</v>
      </c>
      <c r="G99" s="101" t="s">
        <v>16</v>
      </c>
      <c r="H99" s="103">
        <v>21926.3</v>
      </c>
      <c r="I99" s="133">
        <v>0.36799999999999999</v>
      </c>
      <c r="J99" s="104" t="s">
        <v>831</v>
      </c>
    </row>
    <row r="100" spans="1:10" hidden="1" x14ac:dyDescent="0.3">
      <c r="A100" s="100" t="s">
        <v>390</v>
      </c>
      <c r="B100" s="101" t="s">
        <v>1019</v>
      </c>
      <c r="C100" s="101" t="s">
        <v>1061</v>
      </c>
      <c r="D100" s="101" t="s">
        <v>1062</v>
      </c>
      <c r="E100" s="102">
        <v>45701</v>
      </c>
      <c r="F100" s="101" t="s">
        <v>619</v>
      </c>
      <c r="G100" s="101" t="s">
        <v>16</v>
      </c>
      <c r="H100" s="103">
        <v>22092.27</v>
      </c>
      <c r="I100" s="133">
        <v>0.24299999999999999</v>
      </c>
      <c r="J100" s="104" t="s">
        <v>831</v>
      </c>
    </row>
    <row r="101" spans="1:10" hidden="1" x14ac:dyDescent="0.3">
      <c r="A101" s="100" t="s">
        <v>390</v>
      </c>
      <c r="B101" s="101" t="s">
        <v>1019</v>
      </c>
      <c r="C101" s="101" t="s">
        <v>1063</v>
      </c>
      <c r="D101" s="101" t="s">
        <v>1064</v>
      </c>
      <c r="E101" s="102">
        <v>45701</v>
      </c>
      <c r="F101" s="101" t="s">
        <v>371</v>
      </c>
      <c r="G101" s="101" t="s">
        <v>864</v>
      </c>
      <c r="H101" s="103">
        <v>61555.79</v>
      </c>
      <c r="I101" s="133">
        <v>0.20799999999999999</v>
      </c>
      <c r="J101" s="104" t="s">
        <v>832</v>
      </c>
    </row>
    <row r="102" spans="1:10" hidden="1" x14ac:dyDescent="0.3">
      <c r="A102" s="100" t="s">
        <v>390</v>
      </c>
      <c r="B102" s="101" t="s">
        <v>1019</v>
      </c>
      <c r="C102" s="101" t="s">
        <v>1065</v>
      </c>
      <c r="D102" s="101" t="s">
        <v>1066</v>
      </c>
      <c r="E102" s="102">
        <v>45701</v>
      </c>
      <c r="F102" s="101" t="s">
        <v>371</v>
      </c>
      <c r="G102" s="101" t="s">
        <v>864</v>
      </c>
      <c r="H102" s="103">
        <v>10776.17</v>
      </c>
      <c r="I102" s="133">
        <v>0.57399999999999995</v>
      </c>
      <c r="J102" s="104" t="s">
        <v>832</v>
      </c>
    </row>
    <row r="103" spans="1:10" hidden="1" x14ac:dyDescent="0.3">
      <c r="A103" s="100" t="s">
        <v>390</v>
      </c>
      <c r="B103" s="101" t="s">
        <v>1019</v>
      </c>
      <c r="C103" s="101" t="s">
        <v>1067</v>
      </c>
      <c r="D103" s="101" t="s">
        <v>1068</v>
      </c>
      <c r="E103" s="102">
        <v>45701</v>
      </c>
      <c r="F103" s="101" t="s">
        <v>376</v>
      </c>
      <c r="G103" s="101" t="s">
        <v>14</v>
      </c>
      <c r="H103" s="103">
        <v>9336.15</v>
      </c>
      <c r="I103" s="133">
        <v>0.35699999999999998</v>
      </c>
      <c r="J103" s="104" t="s">
        <v>832</v>
      </c>
    </row>
    <row r="104" spans="1:10" hidden="1" x14ac:dyDescent="0.3">
      <c r="A104" s="100" t="s">
        <v>392</v>
      </c>
      <c r="B104" s="101" t="s">
        <v>1019</v>
      </c>
      <c r="C104" s="101" t="s">
        <v>1069</v>
      </c>
      <c r="D104" s="101" t="s">
        <v>1070</v>
      </c>
      <c r="E104" s="102">
        <v>45701</v>
      </c>
      <c r="F104" s="101" t="s">
        <v>842</v>
      </c>
      <c r="G104" s="101" t="s">
        <v>843</v>
      </c>
      <c r="H104" s="103">
        <v>20000</v>
      </c>
      <c r="I104" s="133">
        <v>0.35</v>
      </c>
      <c r="J104" s="104" t="s">
        <v>832</v>
      </c>
    </row>
    <row r="105" spans="1:10" hidden="1" x14ac:dyDescent="0.3">
      <c r="A105" s="100" t="s">
        <v>392</v>
      </c>
      <c r="B105" s="101" t="s">
        <v>1019</v>
      </c>
      <c r="C105" s="101" t="s">
        <v>1071</v>
      </c>
      <c r="D105" s="101" t="s">
        <v>1072</v>
      </c>
      <c r="E105" s="102">
        <v>45705</v>
      </c>
      <c r="F105" s="101" t="s">
        <v>371</v>
      </c>
      <c r="G105" s="101" t="s">
        <v>864</v>
      </c>
      <c r="H105" s="103">
        <v>100458.15</v>
      </c>
      <c r="I105" s="133">
        <v>0.52800000000000002</v>
      </c>
      <c r="J105" s="104" t="s">
        <v>848</v>
      </c>
    </row>
    <row r="106" spans="1:10" hidden="1" x14ac:dyDescent="0.3">
      <c r="A106" s="100" t="s">
        <v>390</v>
      </c>
      <c r="B106" s="101" t="s">
        <v>1019</v>
      </c>
      <c r="C106" s="101" t="s">
        <v>1073</v>
      </c>
      <c r="D106" s="101" t="s">
        <v>1074</v>
      </c>
      <c r="E106" s="102">
        <v>45705</v>
      </c>
      <c r="F106" s="101" t="s">
        <v>372</v>
      </c>
      <c r="G106" s="101" t="s">
        <v>10</v>
      </c>
      <c r="H106" s="103">
        <v>11406.38</v>
      </c>
      <c r="I106" s="133">
        <v>0.36299999999999999</v>
      </c>
      <c r="J106" s="104" t="s">
        <v>833</v>
      </c>
    </row>
    <row r="107" spans="1:10" hidden="1" x14ac:dyDescent="0.3">
      <c r="A107" s="100" t="s">
        <v>392</v>
      </c>
      <c r="B107" s="101" t="s">
        <v>1019</v>
      </c>
      <c r="C107" s="101" t="s">
        <v>1075</v>
      </c>
      <c r="D107" s="101" t="s">
        <v>1076</v>
      </c>
      <c r="E107" s="102">
        <v>45705</v>
      </c>
      <c r="F107" s="101" t="s">
        <v>372</v>
      </c>
      <c r="G107" s="101" t="s">
        <v>10</v>
      </c>
      <c r="H107" s="103">
        <v>41110.239999999998</v>
      </c>
      <c r="I107" s="133">
        <v>0.314</v>
      </c>
      <c r="J107" s="104" t="s">
        <v>848</v>
      </c>
    </row>
    <row r="108" spans="1:10" hidden="1" x14ac:dyDescent="0.3">
      <c r="A108" s="100" t="s">
        <v>392</v>
      </c>
      <c r="B108" s="101" t="s">
        <v>1019</v>
      </c>
      <c r="C108" s="101" t="s">
        <v>1077</v>
      </c>
      <c r="D108" s="101" t="s">
        <v>1078</v>
      </c>
      <c r="E108" s="102">
        <v>45706</v>
      </c>
      <c r="F108" s="101" t="s">
        <v>370</v>
      </c>
      <c r="G108" s="101" t="s">
        <v>63</v>
      </c>
      <c r="H108" s="103">
        <v>6985.2</v>
      </c>
      <c r="I108" s="133">
        <v>0.48499999999999999</v>
      </c>
      <c r="J108" s="104" t="s">
        <v>830</v>
      </c>
    </row>
    <row r="109" spans="1:10" hidden="1" x14ac:dyDescent="0.3">
      <c r="A109" s="100" t="s">
        <v>392</v>
      </c>
      <c r="B109" s="101" t="s">
        <v>1019</v>
      </c>
      <c r="C109" s="101" t="s">
        <v>1079</v>
      </c>
      <c r="D109" s="101" t="s">
        <v>1080</v>
      </c>
      <c r="E109" s="102">
        <v>45706</v>
      </c>
      <c r="F109" s="101" t="s">
        <v>372</v>
      </c>
      <c r="G109" s="101" t="s">
        <v>10</v>
      </c>
      <c r="H109" s="103">
        <v>41113.599999999999</v>
      </c>
      <c r="I109" s="133">
        <v>0.40300000000000002</v>
      </c>
      <c r="J109" s="104" t="s">
        <v>848</v>
      </c>
    </row>
    <row r="110" spans="1:10" hidden="1" x14ac:dyDescent="0.3">
      <c r="A110" s="100" t="s">
        <v>392</v>
      </c>
      <c r="B110" s="101" t="s">
        <v>1019</v>
      </c>
      <c r="C110" s="101" t="s">
        <v>1081</v>
      </c>
      <c r="D110" s="101" t="s">
        <v>1082</v>
      </c>
      <c r="E110" s="102">
        <v>45706</v>
      </c>
      <c r="F110" s="101" t="s">
        <v>370</v>
      </c>
      <c r="G110" s="101" t="s">
        <v>63</v>
      </c>
      <c r="H110" s="103">
        <v>7045.45</v>
      </c>
      <c r="I110" s="133">
        <v>0.48899999999999999</v>
      </c>
      <c r="J110" s="104" t="s">
        <v>830</v>
      </c>
    </row>
    <row r="111" spans="1:10" hidden="1" x14ac:dyDescent="0.3">
      <c r="A111" s="100" t="s">
        <v>392</v>
      </c>
      <c r="B111" s="101" t="s">
        <v>1019</v>
      </c>
      <c r="C111" s="101" t="s">
        <v>1083</v>
      </c>
      <c r="D111" s="101" t="s">
        <v>1084</v>
      </c>
      <c r="E111" s="102">
        <v>45706</v>
      </c>
      <c r="F111" s="101" t="s">
        <v>370</v>
      </c>
      <c r="G111" s="101" t="s">
        <v>63</v>
      </c>
      <c r="H111" s="103">
        <v>14090.89</v>
      </c>
      <c r="I111" s="133">
        <v>0.42199999999999999</v>
      </c>
      <c r="J111" s="104" t="s">
        <v>830</v>
      </c>
    </row>
    <row r="112" spans="1:10" hidden="1" x14ac:dyDescent="0.3">
      <c r="A112" s="100" t="s">
        <v>390</v>
      </c>
      <c r="B112" s="101" t="s">
        <v>1019</v>
      </c>
      <c r="C112" s="101" t="s">
        <v>1085</v>
      </c>
      <c r="D112" s="101" t="s">
        <v>1086</v>
      </c>
      <c r="E112" s="102">
        <v>45706</v>
      </c>
      <c r="F112" s="101" t="s">
        <v>372</v>
      </c>
      <c r="G112" s="101" t="s">
        <v>10</v>
      </c>
      <c r="H112" s="103">
        <v>16244.3</v>
      </c>
      <c r="I112" s="133">
        <v>0.41799999999999998</v>
      </c>
      <c r="J112" s="104" t="s">
        <v>833</v>
      </c>
    </row>
    <row r="113" spans="1:11" hidden="1" x14ac:dyDescent="0.3">
      <c r="A113" s="100" t="s">
        <v>390</v>
      </c>
      <c r="B113" s="101" t="s">
        <v>1019</v>
      </c>
      <c r="C113" s="101" t="s">
        <v>1087</v>
      </c>
      <c r="D113" s="101" t="s">
        <v>860</v>
      </c>
      <c r="E113" s="102">
        <v>45707</v>
      </c>
      <c r="F113" s="101" t="s">
        <v>619</v>
      </c>
      <c r="G113" s="101" t="s">
        <v>16</v>
      </c>
      <c r="H113" s="103">
        <v>94500</v>
      </c>
      <c r="I113" s="133">
        <v>0.26600000000000001</v>
      </c>
      <c r="J113" s="104" t="s">
        <v>831</v>
      </c>
    </row>
    <row r="114" spans="1:11" hidden="1" x14ac:dyDescent="0.3">
      <c r="A114" s="100" t="s">
        <v>392</v>
      </c>
      <c r="B114" s="101" t="s">
        <v>1019</v>
      </c>
      <c r="C114" s="101" t="s">
        <v>1088</v>
      </c>
      <c r="D114" s="101" t="s">
        <v>1089</v>
      </c>
      <c r="E114" s="102">
        <v>45707</v>
      </c>
      <c r="F114" s="101" t="s">
        <v>370</v>
      </c>
      <c r="G114" s="101" t="s">
        <v>63</v>
      </c>
      <c r="H114" s="103">
        <v>8060.24</v>
      </c>
      <c r="I114" s="133">
        <v>0.64</v>
      </c>
      <c r="J114" s="104" t="s">
        <v>830</v>
      </c>
    </row>
    <row r="115" spans="1:11" hidden="1" x14ac:dyDescent="0.3">
      <c r="A115" s="100" t="s">
        <v>392</v>
      </c>
      <c r="B115" s="101" t="s">
        <v>1019</v>
      </c>
      <c r="C115" s="101" t="s">
        <v>1090</v>
      </c>
      <c r="D115" s="101" t="s">
        <v>1091</v>
      </c>
      <c r="E115" s="102">
        <v>45707</v>
      </c>
      <c r="F115" s="101" t="s">
        <v>370</v>
      </c>
      <c r="G115" s="101" t="s">
        <v>63</v>
      </c>
      <c r="H115" s="103">
        <v>8060.24</v>
      </c>
      <c r="I115" s="133">
        <v>0.64</v>
      </c>
      <c r="J115" s="104" t="s">
        <v>830</v>
      </c>
    </row>
    <row r="116" spans="1:11" hidden="1" x14ac:dyDescent="0.3">
      <c r="A116" s="100" t="s">
        <v>392</v>
      </c>
      <c r="B116" s="101" t="s">
        <v>1019</v>
      </c>
      <c r="C116" s="101" t="s">
        <v>1092</v>
      </c>
      <c r="D116" s="101" t="s">
        <v>1093</v>
      </c>
      <c r="E116" s="102">
        <v>45707</v>
      </c>
      <c r="F116" s="101" t="s">
        <v>370</v>
      </c>
      <c r="G116" s="101" t="s">
        <v>63</v>
      </c>
      <c r="H116" s="103">
        <v>11224.98</v>
      </c>
      <c r="I116" s="133">
        <v>0.72399999999999998</v>
      </c>
      <c r="J116" s="104" t="s">
        <v>830</v>
      </c>
    </row>
    <row r="117" spans="1:11" hidden="1" x14ac:dyDescent="0.3">
      <c r="A117" s="100" t="s">
        <v>392</v>
      </c>
      <c r="B117" s="101" t="s">
        <v>1019</v>
      </c>
      <c r="C117" s="101" t="s">
        <v>1094</v>
      </c>
      <c r="D117" s="101" t="s">
        <v>1095</v>
      </c>
      <c r="E117" s="102">
        <v>45707</v>
      </c>
      <c r="F117" s="101" t="s">
        <v>370</v>
      </c>
      <c r="G117" s="101" t="s">
        <v>63</v>
      </c>
      <c r="H117" s="103">
        <v>14070.4</v>
      </c>
      <c r="I117" s="133">
        <v>0.47399999999999998</v>
      </c>
      <c r="J117" s="104" t="s">
        <v>830</v>
      </c>
    </row>
    <row r="118" spans="1:11" hidden="1" x14ac:dyDescent="0.3">
      <c r="A118" s="100" t="s">
        <v>390</v>
      </c>
      <c r="B118" s="101" t="s">
        <v>1019</v>
      </c>
      <c r="C118" s="101" t="s">
        <v>1096</v>
      </c>
      <c r="D118" s="101" t="s">
        <v>1097</v>
      </c>
      <c r="E118" s="102">
        <v>45707</v>
      </c>
      <c r="F118" s="101" t="s">
        <v>371</v>
      </c>
      <c r="G118" s="101" t="s">
        <v>864</v>
      </c>
      <c r="H118" s="103">
        <v>14879.38</v>
      </c>
      <c r="I118" s="133">
        <v>0.38300000000000001</v>
      </c>
      <c r="J118" s="104" t="s">
        <v>832</v>
      </c>
    </row>
    <row r="119" spans="1:11" hidden="1" x14ac:dyDescent="0.3">
      <c r="A119" s="100" t="s">
        <v>392</v>
      </c>
      <c r="B119" s="101" t="s">
        <v>1019</v>
      </c>
      <c r="C119" s="101" t="s">
        <v>1098</v>
      </c>
      <c r="D119" s="101" t="s">
        <v>1099</v>
      </c>
      <c r="E119" s="102">
        <v>45707</v>
      </c>
      <c r="F119" s="101" t="s">
        <v>844</v>
      </c>
      <c r="G119" s="101" t="s">
        <v>863</v>
      </c>
      <c r="H119" s="103">
        <v>18000</v>
      </c>
      <c r="I119" s="133">
        <v>0.26</v>
      </c>
      <c r="J119" s="104" t="s">
        <v>831</v>
      </c>
    </row>
    <row r="120" spans="1:11" hidden="1" x14ac:dyDescent="0.3">
      <c r="A120" s="100" t="s">
        <v>390</v>
      </c>
      <c r="B120" s="101" t="s">
        <v>1019</v>
      </c>
      <c r="C120" s="101" t="s">
        <v>1100</v>
      </c>
      <c r="D120" s="101" t="s">
        <v>1101</v>
      </c>
      <c r="E120" s="102">
        <v>45707</v>
      </c>
      <c r="F120" s="101" t="s">
        <v>844</v>
      </c>
      <c r="G120" s="101" t="s">
        <v>863</v>
      </c>
      <c r="H120" s="103">
        <v>25000</v>
      </c>
      <c r="I120" s="133">
        <v>0.55900000000000005</v>
      </c>
      <c r="J120" s="104" t="s">
        <v>831</v>
      </c>
    </row>
    <row r="121" spans="1:11" hidden="1" x14ac:dyDescent="0.3">
      <c r="A121" s="100" t="s">
        <v>392</v>
      </c>
      <c r="B121" s="101" t="s">
        <v>1019</v>
      </c>
      <c r="C121" s="101" t="s">
        <v>1102</v>
      </c>
      <c r="D121" s="101" t="s">
        <v>1103</v>
      </c>
      <c r="E121" s="102">
        <v>45708</v>
      </c>
      <c r="F121" s="101" t="s">
        <v>374</v>
      </c>
      <c r="G121" s="101" t="s">
        <v>17</v>
      </c>
      <c r="H121" s="103">
        <v>10275.6</v>
      </c>
      <c r="I121" s="133">
        <v>0.63</v>
      </c>
      <c r="J121" s="104" t="s">
        <v>848</v>
      </c>
    </row>
    <row r="122" spans="1:11" hidden="1" x14ac:dyDescent="0.3">
      <c r="A122" s="100" t="s">
        <v>390</v>
      </c>
      <c r="B122" s="101" t="s">
        <v>1019</v>
      </c>
      <c r="C122" s="101" t="s">
        <v>1104</v>
      </c>
      <c r="D122" s="101" t="s">
        <v>972</v>
      </c>
      <c r="E122" s="102">
        <v>45708</v>
      </c>
      <c r="F122" s="101" t="s">
        <v>375</v>
      </c>
      <c r="G122" s="101" t="s">
        <v>62</v>
      </c>
      <c r="H122" s="103">
        <v>87882.04</v>
      </c>
      <c r="I122" s="133">
        <v>0.30299999999999999</v>
      </c>
      <c r="J122" s="104" t="s">
        <v>831</v>
      </c>
    </row>
    <row r="123" spans="1:11" hidden="1" x14ac:dyDescent="0.3">
      <c r="A123" s="100" t="s">
        <v>392</v>
      </c>
      <c r="B123" s="101" t="s">
        <v>1019</v>
      </c>
      <c r="C123" s="101" t="s">
        <v>1105</v>
      </c>
      <c r="D123" s="101" t="s">
        <v>1106</v>
      </c>
      <c r="E123" s="102">
        <v>45708</v>
      </c>
      <c r="F123" s="101" t="s">
        <v>370</v>
      </c>
      <c r="G123" s="101" t="s">
        <v>63</v>
      </c>
      <c r="H123" s="103">
        <v>4713.54</v>
      </c>
      <c r="I123" s="133">
        <v>0.61799999999999999</v>
      </c>
      <c r="J123" s="104" t="s">
        <v>830</v>
      </c>
    </row>
    <row r="124" spans="1:11" hidden="1" x14ac:dyDescent="0.3">
      <c r="A124" s="100" t="s">
        <v>392</v>
      </c>
      <c r="B124" s="101" t="s">
        <v>1019</v>
      </c>
      <c r="C124" s="101" t="s">
        <v>1107</v>
      </c>
      <c r="D124" s="101" t="s">
        <v>1108</v>
      </c>
      <c r="E124" s="102">
        <v>45708</v>
      </c>
      <c r="F124" s="101" t="s">
        <v>370</v>
      </c>
      <c r="G124" s="101" t="s">
        <v>63</v>
      </c>
      <c r="H124" s="103">
        <v>8047.47</v>
      </c>
      <c r="I124" s="133">
        <v>0.64</v>
      </c>
      <c r="J124" s="104" t="s">
        <v>830</v>
      </c>
    </row>
    <row r="125" spans="1:11" hidden="1" x14ac:dyDescent="0.3">
      <c r="A125" s="100" t="s">
        <v>390</v>
      </c>
      <c r="B125" s="101" t="s">
        <v>1019</v>
      </c>
      <c r="C125" s="101" t="s">
        <v>1109</v>
      </c>
      <c r="D125" s="101" t="s">
        <v>1006</v>
      </c>
      <c r="E125" s="102">
        <v>45709</v>
      </c>
      <c r="F125" s="101" t="s">
        <v>1007</v>
      </c>
      <c r="G125" s="101" t="s">
        <v>865</v>
      </c>
      <c r="H125" s="103">
        <v>95976</v>
      </c>
      <c r="I125" s="133">
        <v>0.34599999999999997</v>
      </c>
      <c r="J125" s="104" t="s">
        <v>831</v>
      </c>
      <c r="K125" s="44" t="s">
        <v>1542</v>
      </c>
    </row>
    <row r="126" spans="1:11" hidden="1" x14ac:dyDescent="0.3">
      <c r="A126" s="100" t="s">
        <v>390</v>
      </c>
      <c r="B126" s="101" t="s">
        <v>1019</v>
      </c>
      <c r="C126" s="101" t="s">
        <v>1110</v>
      </c>
      <c r="D126" s="101" t="s">
        <v>1006</v>
      </c>
      <c r="E126" s="102">
        <v>45709</v>
      </c>
      <c r="F126" s="101" t="s">
        <v>1007</v>
      </c>
      <c r="G126" s="101" t="s">
        <v>865</v>
      </c>
      <c r="H126" s="103">
        <v>1333</v>
      </c>
      <c r="I126" s="133">
        <v>0.34599999999999997</v>
      </c>
      <c r="J126" s="104" t="s">
        <v>831</v>
      </c>
      <c r="K126" s="44" t="s">
        <v>1542</v>
      </c>
    </row>
    <row r="127" spans="1:11" hidden="1" x14ac:dyDescent="0.3">
      <c r="A127" s="100" t="s">
        <v>392</v>
      </c>
      <c r="B127" s="101" t="s">
        <v>1019</v>
      </c>
      <c r="C127" s="101" t="s">
        <v>1111</v>
      </c>
      <c r="D127" s="101" t="s">
        <v>1112</v>
      </c>
      <c r="E127" s="102">
        <v>45709</v>
      </c>
      <c r="F127" s="101" t="s">
        <v>370</v>
      </c>
      <c r="G127" s="101" t="s">
        <v>63</v>
      </c>
      <c r="H127" s="103">
        <v>4133.8599999999997</v>
      </c>
      <c r="I127" s="133">
        <v>0.56499999999999995</v>
      </c>
      <c r="J127" s="104" t="s">
        <v>830</v>
      </c>
    </row>
    <row r="128" spans="1:11" hidden="1" x14ac:dyDescent="0.3">
      <c r="A128" s="100" t="s">
        <v>392</v>
      </c>
      <c r="B128" s="101" t="s">
        <v>1019</v>
      </c>
      <c r="C128" s="101" t="s">
        <v>1113</v>
      </c>
      <c r="D128" s="101" t="s">
        <v>1114</v>
      </c>
      <c r="E128" s="102">
        <v>45709</v>
      </c>
      <c r="F128" s="101" t="s">
        <v>370</v>
      </c>
      <c r="G128" s="101" t="s">
        <v>63</v>
      </c>
      <c r="H128" s="103">
        <v>20348.240000000002</v>
      </c>
      <c r="I128" s="133">
        <v>0.66100000000000003</v>
      </c>
      <c r="J128" s="104" t="s">
        <v>830</v>
      </c>
    </row>
    <row r="129" spans="1:10" hidden="1" x14ac:dyDescent="0.3">
      <c r="A129" s="100" t="s">
        <v>392</v>
      </c>
      <c r="B129" s="101" t="s">
        <v>1019</v>
      </c>
      <c r="C129" s="101" t="s">
        <v>1115</v>
      </c>
      <c r="D129" s="101" t="s">
        <v>1116</v>
      </c>
      <c r="E129" s="102">
        <v>45712</v>
      </c>
      <c r="F129" s="101" t="s">
        <v>372</v>
      </c>
      <c r="G129" s="101" t="s">
        <v>10</v>
      </c>
      <c r="H129" s="103">
        <v>41061.64</v>
      </c>
      <c r="I129" s="133">
        <v>0.35</v>
      </c>
      <c r="J129" s="104" t="s">
        <v>848</v>
      </c>
    </row>
    <row r="130" spans="1:10" hidden="1" x14ac:dyDescent="0.3">
      <c r="A130" s="100" t="s">
        <v>390</v>
      </c>
      <c r="B130" s="101" t="s">
        <v>1019</v>
      </c>
      <c r="C130" s="101" t="s">
        <v>1117</v>
      </c>
      <c r="D130" s="101" t="s">
        <v>1118</v>
      </c>
      <c r="E130" s="102">
        <v>45713</v>
      </c>
      <c r="F130" s="101" t="s">
        <v>372</v>
      </c>
      <c r="G130" s="101" t="s">
        <v>10</v>
      </c>
      <c r="H130" s="103">
        <v>31019.93</v>
      </c>
      <c r="I130" s="133">
        <v>0.20599999999999999</v>
      </c>
      <c r="J130" s="104" t="s">
        <v>833</v>
      </c>
    </row>
    <row r="131" spans="1:10" hidden="1" x14ac:dyDescent="0.3">
      <c r="A131" s="100" t="s">
        <v>392</v>
      </c>
      <c r="B131" s="101" t="s">
        <v>1019</v>
      </c>
      <c r="C131" s="101" t="s">
        <v>1119</v>
      </c>
      <c r="D131" s="101" t="s">
        <v>1120</v>
      </c>
      <c r="E131" s="102">
        <v>45713</v>
      </c>
      <c r="F131" s="101" t="s">
        <v>372</v>
      </c>
      <c r="G131" s="101" t="s">
        <v>10</v>
      </c>
      <c r="H131" s="103">
        <v>2982.36</v>
      </c>
      <c r="I131" s="133">
        <v>0.46400000000000002</v>
      </c>
      <c r="J131" s="104" t="s">
        <v>848</v>
      </c>
    </row>
    <row r="132" spans="1:10" hidden="1" x14ac:dyDescent="0.3">
      <c r="A132" s="100" t="s">
        <v>390</v>
      </c>
      <c r="B132" s="101" t="s">
        <v>1019</v>
      </c>
      <c r="C132" s="101" t="s">
        <v>1121</v>
      </c>
      <c r="D132" s="101" t="s">
        <v>1122</v>
      </c>
      <c r="E132" s="102">
        <v>45713</v>
      </c>
      <c r="F132" s="101" t="s">
        <v>375</v>
      </c>
      <c r="G132" s="101" t="s">
        <v>62</v>
      </c>
      <c r="H132" s="103">
        <v>42337.5</v>
      </c>
      <c r="I132" s="133">
        <v>0.40500000000000003</v>
      </c>
      <c r="J132" s="104" t="s">
        <v>831</v>
      </c>
    </row>
    <row r="133" spans="1:10" hidden="1" x14ac:dyDescent="0.3">
      <c r="A133" s="100" t="s">
        <v>392</v>
      </c>
      <c r="B133" s="101" t="s">
        <v>1019</v>
      </c>
      <c r="C133" s="101" t="s">
        <v>1123</v>
      </c>
      <c r="D133" s="101" t="s">
        <v>1124</v>
      </c>
      <c r="E133" s="102">
        <v>45713</v>
      </c>
      <c r="F133" s="101" t="s">
        <v>842</v>
      </c>
      <c r="G133" s="101" t="s">
        <v>843</v>
      </c>
      <c r="H133" s="103">
        <v>22000</v>
      </c>
      <c r="I133" s="133">
        <v>0.4</v>
      </c>
      <c r="J133" s="104" t="s">
        <v>832</v>
      </c>
    </row>
    <row r="134" spans="1:10" hidden="1" x14ac:dyDescent="0.3">
      <c r="A134" s="100" t="s">
        <v>392</v>
      </c>
      <c r="B134" s="101" t="s">
        <v>1019</v>
      </c>
      <c r="C134" s="101" t="s">
        <v>1125</v>
      </c>
      <c r="D134" s="101" t="s">
        <v>1126</v>
      </c>
      <c r="E134" s="102">
        <v>45714</v>
      </c>
      <c r="F134" s="101" t="s">
        <v>372</v>
      </c>
      <c r="G134" s="101" t="s">
        <v>10</v>
      </c>
      <c r="H134" s="103">
        <v>42268.959999999999</v>
      </c>
      <c r="I134" s="133">
        <v>0.437</v>
      </c>
      <c r="J134" s="104" t="s">
        <v>848</v>
      </c>
    </row>
    <row r="135" spans="1:10" hidden="1" x14ac:dyDescent="0.3">
      <c r="A135" s="100" t="s">
        <v>392</v>
      </c>
      <c r="B135" s="101" t="s">
        <v>1019</v>
      </c>
      <c r="C135" s="101" t="s">
        <v>1127</v>
      </c>
      <c r="D135" s="101" t="s">
        <v>1128</v>
      </c>
      <c r="E135" s="102">
        <v>45714</v>
      </c>
      <c r="F135" s="101" t="s">
        <v>842</v>
      </c>
      <c r="G135" s="101" t="s">
        <v>843</v>
      </c>
      <c r="H135" s="103">
        <v>22000</v>
      </c>
      <c r="I135" s="133">
        <v>0.44700000000000001</v>
      </c>
      <c r="J135" s="104" t="s">
        <v>832</v>
      </c>
    </row>
    <row r="136" spans="1:10" hidden="1" x14ac:dyDescent="0.3">
      <c r="A136" s="100" t="s">
        <v>392</v>
      </c>
      <c r="B136" s="101" t="s">
        <v>1019</v>
      </c>
      <c r="C136" s="101" t="s">
        <v>1129</v>
      </c>
      <c r="D136" s="101" t="s">
        <v>1130</v>
      </c>
      <c r="E136" s="102">
        <v>45714</v>
      </c>
      <c r="F136" s="101" t="s">
        <v>842</v>
      </c>
      <c r="G136" s="101" t="s">
        <v>843</v>
      </c>
      <c r="H136" s="103">
        <v>22000</v>
      </c>
      <c r="I136" s="133">
        <v>0.44700000000000001</v>
      </c>
      <c r="J136" s="104" t="s">
        <v>832</v>
      </c>
    </row>
    <row r="137" spans="1:10" hidden="1" x14ac:dyDescent="0.3">
      <c r="A137" s="100" t="s">
        <v>392</v>
      </c>
      <c r="B137" s="101" t="s">
        <v>1019</v>
      </c>
      <c r="C137" s="101" t="s">
        <v>1131</v>
      </c>
      <c r="D137" s="101" t="s">
        <v>1132</v>
      </c>
      <c r="E137" s="102">
        <v>45714</v>
      </c>
      <c r="F137" s="101" t="s">
        <v>844</v>
      </c>
      <c r="G137" s="101" t="s">
        <v>863</v>
      </c>
      <c r="H137" s="103">
        <v>17000</v>
      </c>
      <c r="I137" s="133">
        <v>0.106</v>
      </c>
      <c r="J137" s="104" t="s">
        <v>831</v>
      </c>
    </row>
    <row r="138" spans="1:10" hidden="1" x14ac:dyDescent="0.3">
      <c r="A138" s="100" t="s">
        <v>392</v>
      </c>
      <c r="B138" s="101" t="s">
        <v>1019</v>
      </c>
      <c r="C138" s="101" t="s">
        <v>1133</v>
      </c>
      <c r="D138" s="101" t="s">
        <v>1134</v>
      </c>
      <c r="E138" s="102">
        <v>45714</v>
      </c>
      <c r="F138" s="101" t="s">
        <v>842</v>
      </c>
      <c r="G138" s="101" t="s">
        <v>843</v>
      </c>
      <c r="H138" s="103">
        <v>22000</v>
      </c>
      <c r="I138" s="133">
        <v>0.44400000000000001</v>
      </c>
      <c r="J138" s="104" t="s">
        <v>832</v>
      </c>
    </row>
    <row r="139" spans="1:10" hidden="1" x14ac:dyDescent="0.3">
      <c r="A139" s="100" t="s">
        <v>392</v>
      </c>
      <c r="B139" s="101" t="s">
        <v>1019</v>
      </c>
      <c r="C139" s="101" t="s">
        <v>1135</v>
      </c>
      <c r="D139" s="101" t="s">
        <v>1136</v>
      </c>
      <c r="E139" s="102">
        <v>45714</v>
      </c>
      <c r="F139" s="101" t="s">
        <v>842</v>
      </c>
      <c r="G139" s="101" t="s">
        <v>843</v>
      </c>
      <c r="H139" s="103">
        <v>22000</v>
      </c>
      <c r="I139" s="133">
        <v>0.44400000000000001</v>
      </c>
      <c r="J139" s="104" t="s">
        <v>832</v>
      </c>
    </row>
    <row r="140" spans="1:10" hidden="1" x14ac:dyDescent="0.3">
      <c r="A140" s="100" t="s">
        <v>392</v>
      </c>
      <c r="B140" s="101" t="s">
        <v>1019</v>
      </c>
      <c r="C140" s="101" t="s">
        <v>1137</v>
      </c>
      <c r="D140" s="101" t="s">
        <v>1138</v>
      </c>
      <c r="E140" s="102">
        <v>45714</v>
      </c>
      <c r="F140" s="101" t="s">
        <v>370</v>
      </c>
      <c r="G140" s="101" t="s">
        <v>63</v>
      </c>
      <c r="H140" s="103">
        <v>4099.5600000000004</v>
      </c>
      <c r="I140" s="133">
        <v>0.56100000000000005</v>
      </c>
      <c r="J140" s="104" t="s">
        <v>830</v>
      </c>
    </row>
    <row r="141" spans="1:10" hidden="1" x14ac:dyDescent="0.3">
      <c r="A141" s="100" t="s">
        <v>392</v>
      </c>
      <c r="B141" s="101" t="s">
        <v>1019</v>
      </c>
      <c r="C141" s="101" t="s">
        <v>1139</v>
      </c>
      <c r="D141" s="101" t="s">
        <v>1140</v>
      </c>
      <c r="E141" s="102">
        <v>45714</v>
      </c>
      <c r="F141" s="101" t="s">
        <v>370</v>
      </c>
      <c r="G141" s="101" t="s">
        <v>63</v>
      </c>
      <c r="H141" s="103">
        <v>6992.45</v>
      </c>
      <c r="I141" s="133">
        <v>0.48499999999999999</v>
      </c>
      <c r="J141" s="104" t="s">
        <v>830</v>
      </c>
    </row>
    <row r="142" spans="1:10" hidden="1" x14ac:dyDescent="0.3">
      <c r="A142" s="100" t="s">
        <v>392</v>
      </c>
      <c r="B142" s="101" t="s">
        <v>1019</v>
      </c>
      <c r="C142" s="101" t="s">
        <v>1141</v>
      </c>
      <c r="D142" s="101" t="s">
        <v>1142</v>
      </c>
      <c r="E142" s="102">
        <v>45714</v>
      </c>
      <c r="F142" s="101" t="s">
        <v>370</v>
      </c>
      <c r="G142" s="101" t="s">
        <v>63</v>
      </c>
      <c r="H142" s="103">
        <v>14034.9</v>
      </c>
      <c r="I142" s="133">
        <v>0.47299999999999998</v>
      </c>
      <c r="J142" s="104" t="s">
        <v>830</v>
      </c>
    </row>
    <row r="143" spans="1:10" hidden="1" x14ac:dyDescent="0.3">
      <c r="A143" s="100" t="s">
        <v>390</v>
      </c>
      <c r="B143" s="101" t="s">
        <v>1019</v>
      </c>
      <c r="C143" s="101" t="s">
        <v>1143</v>
      </c>
      <c r="D143" s="101" t="s">
        <v>1144</v>
      </c>
      <c r="E143" s="102">
        <v>45714</v>
      </c>
      <c r="F143" s="101" t="s">
        <v>372</v>
      </c>
      <c r="G143" s="101" t="s">
        <v>10</v>
      </c>
      <c r="H143" s="103">
        <v>101221.38</v>
      </c>
      <c r="I143" s="133">
        <v>0.36499999999999999</v>
      </c>
      <c r="J143" s="104" t="s">
        <v>833</v>
      </c>
    </row>
    <row r="144" spans="1:10" hidden="1" x14ac:dyDescent="0.3">
      <c r="A144" s="100" t="s">
        <v>390</v>
      </c>
      <c r="B144" s="101" t="s">
        <v>1019</v>
      </c>
      <c r="C144" s="101" t="s">
        <v>1145</v>
      </c>
      <c r="D144" s="101" t="s">
        <v>1146</v>
      </c>
      <c r="E144" s="102">
        <v>45715</v>
      </c>
      <c r="F144" s="101" t="s">
        <v>854</v>
      </c>
      <c r="G144" s="101" t="s">
        <v>855</v>
      </c>
      <c r="H144" s="103">
        <v>11572.07</v>
      </c>
      <c r="I144" s="133">
        <v>0.29899999999999999</v>
      </c>
      <c r="J144" s="104" t="s">
        <v>832</v>
      </c>
    </row>
    <row r="145" spans="1:10" hidden="1" x14ac:dyDescent="0.3">
      <c r="A145" s="100" t="s">
        <v>390</v>
      </c>
      <c r="B145" s="101" t="s">
        <v>1019</v>
      </c>
      <c r="C145" s="101" t="s">
        <v>1147</v>
      </c>
      <c r="D145" s="101" t="s">
        <v>1148</v>
      </c>
      <c r="E145" s="102">
        <v>45715</v>
      </c>
      <c r="F145" s="101" t="s">
        <v>375</v>
      </c>
      <c r="G145" s="101" t="s">
        <v>62</v>
      </c>
      <c r="H145" s="103">
        <v>16149.34</v>
      </c>
      <c r="I145" s="133">
        <v>0.59699999999999998</v>
      </c>
      <c r="J145" s="104" t="s">
        <v>831</v>
      </c>
    </row>
    <row r="146" spans="1:10" hidden="1" x14ac:dyDescent="0.3">
      <c r="A146" s="100" t="s">
        <v>392</v>
      </c>
      <c r="B146" s="101" t="s">
        <v>1019</v>
      </c>
      <c r="C146" s="101" t="s">
        <v>1149</v>
      </c>
      <c r="D146" s="101" t="s">
        <v>1150</v>
      </c>
      <c r="E146" s="102">
        <v>45715</v>
      </c>
      <c r="F146" s="101" t="s">
        <v>370</v>
      </c>
      <c r="G146" s="101" t="s">
        <v>63</v>
      </c>
      <c r="H146" s="103">
        <v>4092.8</v>
      </c>
      <c r="I146" s="133">
        <v>0.56000000000000005</v>
      </c>
      <c r="J146" s="104" t="s">
        <v>830</v>
      </c>
    </row>
    <row r="147" spans="1:10" hidden="1" x14ac:dyDescent="0.3">
      <c r="A147" s="100" t="s">
        <v>392</v>
      </c>
      <c r="B147" s="101" t="s">
        <v>1019</v>
      </c>
      <c r="C147" s="101" t="s">
        <v>1151</v>
      </c>
      <c r="D147" s="101" t="s">
        <v>1152</v>
      </c>
      <c r="E147" s="102">
        <v>45715</v>
      </c>
      <c r="F147" s="101" t="s">
        <v>370</v>
      </c>
      <c r="G147" s="101" t="s">
        <v>63</v>
      </c>
      <c r="H147" s="103">
        <v>20248.64</v>
      </c>
      <c r="I147" s="133">
        <v>0.63</v>
      </c>
      <c r="J147" s="104" t="s">
        <v>830</v>
      </c>
    </row>
    <row r="148" spans="1:10" hidden="1" x14ac:dyDescent="0.3">
      <c r="A148" s="100" t="s">
        <v>392</v>
      </c>
      <c r="B148" s="101" t="s">
        <v>1019</v>
      </c>
      <c r="C148" s="101" t="s">
        <v>1153</v>
      </c>
      <c r="D148" s="101" t="s">
        <v>1154</v>
      </c>
      <c r="E148" s="102">
        <v>45715</v>
      </c>
      <c r="F148" s="101" t="s">
        <v>844</v>
      </c>
      <c r="G148" s="101" t="s">
        <v>863</v>
      </c>
      <c r="H148" s="103">
        <v>13605.05</v>
      </c>
      <c r="I148" s="133">
        <v>2.1999999999999999E-2</v>
      </c>
      <c r="J148" s="104" t="s">
        <v>831</v>
      </c>
    </row>
    <row r="149" spans="1:10" hidden="1" x14ac:dyDescent="0.3">
      <c r="A149" s="100" t="s">
        <v>390</v>
      </c>
      <c r="B149" s="101" t="s">
        <v>1019</v>
      </c>
      <c r="C149" s="101" t="s">
        <v>1155</v>
      </c>
      <c r="D149" s="101" t="s">
        <v>1156</v>
      </c>
      <c r="E149" s="102">
        <v>45716</v>
      </c>
      <c r="F149" s="101" t="s">
        <v>375</v>
      </c>
      <c r="G149" s="101" t="s">
        <v>62</v>
      </c>
      <c r="H149" s="103">
        <v>42762.85</v>
      </c>
      <c r="I149" s="133">
        <v>0.32400000000000001</v>
      </c>
      <c r="J149" s="104" t="s">
        <v>831</v>
      </c>
    </row>
    <row r="150" spans="1:10" hidden="1" x14ac:dyDescent="0.3">
      <c r="A150" s="100" t="s">
        <v>392</v>
      </c>
      <c r="B150" s="101" t="s">
        <v>1019</v>
      </c>
      <c r="C150" s="101" t="s">
        <v>1157</v>
      </c>
      <c r="D150" s="101" t="s">
        <v>1158</v>
      </c>
      <c r="E150" s="102">
        <v>45716</v>
      </c>
      <c r="F150" s="101" t="s">
        <v>842</v>
      </c>
      <c r="G150" s="101" t="s">
        <v>843</v>
      </c>
      <c r="H150" s="103">
        <v>22000</v>
      </c>
      <c r="I150" s="133">
        <v>0.44400000000000001</v>
      </c>
      <c r="J150" s="104" t="s">
        <v>832</v>
      </c>
    </row>
    <row r="151" spans="1:10" hidden="1" x14ac:dyDescent="0.3">
      <c r="A151" s="100" t="s">
        <v>390</v>
      </c>
      <c r="B151" s="101" t="s">
        <v>1019</v>
      </c>
      <c r="C151" s="101" t="s">
        <v>1159</v>
      </c>
      <c r="D151" s="101" t="s">
        <v>1026</v>
      </c>
      <c r="E151" s="102">
        <v>45694</v>
      </c>
      <c r="F151" s="101" t="s">
        <v>375</v>
      </c>
      <c r="G151" s="101" t="s">
        <v>62</v>
      </c>
      <c r="H151" s="103">
        <v>6087.7084999999997</v>
      </c>
      <c r="I151" s="133">
        <v>0.36099999999999999</v>
      </c>
      <c r="J151" s="104" t="s">
        <v>831</v>
      </c>
    </row>
    <row r="152" spans="1:10" hidden="1" x14ac:dyDescent="0.3">
      <c r="A152" s="100" t="s">
        <v>390</v>
      </c>
      <c r="B152" s="101" t="s">
        <v>1019</v>
      </c>
      <c r="C152" s="101" t="s">
        <v>1160</v>
      </c>
      <c r="D152" s="101" t="s">
        <v>1161</v>
      </c>
      <c r="E152" s="102">
        <v>45694</v>
      </c>
      <c r="F152" s="101" t="s">
        <v>1174</v>
      </c>
      <c r="G152" s="101" t="s">
        <v>857</v>
      </c>
      <c r="H152" s="103">
        <v>1547.7224999999999</v>
      </c>
      <c r="I152" s="133">
        <v>0.78900000000000003</v>
      </c>
      <c r="J152" s="104" t="s">
        <v>831</v>
      </c>
    </row>
    <row r="153" spans="1:10" hidden="1" x14ac:dyDescent="0.3">
      <c r="A153" s="100" t="s">
        <v>390</v>
      </c>
      <c r="B153" s="101" t="s">
        <v>1019</v>
      </c>
      <c r="C153" s="101" t="s">
        <v>1162</v>
      </c>
      <c r="D153" s="101" t="s">
        <v>1161</v>
      </c>
      <c r="E153" s="102">
        <v>45701</v>
      </c>
      <c r="F153" s="101" t="s">
        <v>1175</v>
      </c>
      <c r="G153" s="101" t="s">
        <v>852</v>
      </c>
      <c r="H153" s="103">
        <v>5020.4665000000005</v>
      </c>
      <c r="I153" s="133">
        <v>0.78900000000000003</v>
      </c>
      <c r="J153" s="104" t="s">
        <v>831</v>
      </c>
    </row>
    <row r="154" spans="1:10" hidden="1" x14ac:dyDescent="0.3">
      <c r="A154" s="100" t="s">
        <v>390</v>
      </c>
      <c r="B154" s="101" t="s">
        <v>1019</v>
      </c>
      <c r="C154" s="101" t="s">
        <v>1163</v>
      </c>
      <c r="D154" s="101" t="s">
        <v>1161</v>
      </c>
      <c r="E154" s="102">
        <v>45701</v>
      </c>
      <c r="F154" s="101" t="s">
        <v>1175</v>
      </c>
      <c r="G154" s="101" t="s">
        <v>852</v>
      </c>
      <c r="H154" s="103">
        <v>2971.2965000000004</v>
      </c>
      <c r="I154" s="133">
        <v>0.78900000000000003</v>
      </c>
      <c r="J154" s="104" t="s">
        <v>831</v>
      </c>
    </row>
    <row r="155" spans="1:10" hidden="1" x14ac:dyDescent="0.3">
      <c r="A155" s="100" t="s">
        <v>390</v>
      </c>
      <c r="B155" s="101" t="s">
        <v>1019</v>
      </c>
      <c r="C155" s="101" t="s">
        <v>1164</v>
      </c>
      <c r="D155" s="101" t="s">
        <v>1165</v>
      </c>
      <c r="E155" s="102">
        <v>45701</v>
      </c>
      <c r="F155" s="101" t="s">
        <v>1176</v>
      </c>
      <c r="G155" s="101" t="s">
        <v>1177</v>
      </c>
      <c r="H155" s="103">
        <v>4815.5495000000001</v>
      </c>
      <c r="I155" s="133">
        <v>0.66600000000000004</v>
      </c>
      <c r="J155" s="104" t="s">
        <v>832</v>
      </c>
    </row>
    <row r="156" spans="1:10" hidden="1" x14ac:dyDescent="0.3">
      <c r="A156" s="100" t="s">
        <v>390</v>
      </c>
      <c r="B156" s="101" t="s">
        <v>1019</v>
      </c>
      <c r="C156" s="101" t="s">
        <v>1166</v>
      </c>
      <c r="D156" s="101" t="s">
        <v>1165</v>
      </c>
      <c r="E156" s="102">
        <v>45707</v>
      </c>
      <c r="F156" s="101" t="s">
        <v>1178</v>
      </c>
      <c r="G156" s="101" t="s">
        <v>1179</v>
      </c>
      <c r="H156" s="103">
        <v>2127.4785000000002</v>
      </c>
      <c r="I156" s="133">
        <v>0.66600000000000004</v>
      </c>
      <c r="J156" s="104" t="s">
        <v>832</v>
      </c>
    </row>
    <row r="157" spans="1:10" hidden="1" x14ac:dyDescent="0.3">
      <c r="A157" s="100" t="s">
        <v>390</v>
      </c>
      <c r="B157" s="101" t="s">
        <v>1019</v>
      </c>
      <c r="C157" s="101" t="s">
        <v>1167</v>
      </c>
      <c r="D157" s="101" t="s">
        <v>1165</v>
      </c>
      <c r="E157" s="102">
        <v>45707</v>
      </c>
      <c r="F157" s="101" t="s">
        <v>1178</v>
      </c>
      <c r="G157" s="101" t="s">
        <v>1179</v>
      </c>
      <c r="H157" s="103">
        <v>1013.085</v>
      </c>
      <c r="I157" s="133">
        <v>0.66600000000000004</v>
      </c>
      <c r="J157" s="104" t="s">
        <v>832</v>
      </c>
    </row>
    <row r="158" spans="1:10" hidden="1" x14ac:dyDescent="0.3">
      <c r="A158" s="100" t="s">
        <v>390</v>
      </c>
      <c r="B158" s="101" t="s">
        <v>1019</v>
      </c>
      <c r="C158" s="101" t="s">
        <v>1168</v>
      </c>
      <c r="D158" s="101" t="s">
        <v>991</v>
      </c>
      <c r="E158" s="102">
        <v>45712</v>
      </c>
      <c r="F158" s="101" t="s">
        <v>854</v>
      </c>
      <c r="G158" s="101" t="s">
        <v>855</v>
      </c>
      <c r="H158" s="103">
        <v>35094.78</v>
      </c>
      <c r="I158" s="133">
        <v>0.33700000000000002</v>
      </c>
      <c r="J158" s="104" t="s">
        <v>831</v>
      </c>
    </row>
    <row r="159" spans="1:10" hidden="1" x14ac:dyDescent="0.3">
      <c r="A159" s="100" t="s">
        <v>392</v>
      </c>
      <c r="B159" s="101" t="s">
        <v>1019</v>
      </c>
      <c r="C159" s="101" t="s">
        <v>1169</v>
      </c>
      <c r="D159" s="101" t="s">
        <v>1170</v>
      </c>
      <c r="E159" s="102">
        <v>45714</v>
      </c>
      <c r="F159" s="101" t="s">
        <v>844</v>
      </c>
      <c r="G159" s="101" t="s">
        <v>863</v>
      </c>
      <c r="H159" s="103">
        <v>125368.33749999999</v>
      </c>
      <c r="I159" s="133">
        <v>0.20799999999999999</v>
      </c>
      <c r="J159" s="104" t="s">
        <v>831</v>
      </c>
    </row>
    <row r="160" spans="1:10" hidden="1" x14ac:dyDescent="0.3">
      <c r="A160" s="100" t="s">
        <v>390</v>
      </c>
      <c r="B160" s="101" t="s">
        <v>1019</v>
      </c>
      <c r="C160" s="101" t="s">
        <v>1171</v>
      </c>
      <c r="D160" s="101" t="s">
        <v>1172</v>
      </c>
      <c r="E160" s="102">
        <v>45715</v>
      </c>
      <c r="F160" s="101" t="s">
        <v>1175</v>
      </c>
      <c r="G160" s="101" t="s">
        <v>852</v>
      </c>
      <c r="H160" s="103">
        <v>5004.7865000000002</v>
      </c>
      <c r="I160" s="133">
        <v>0.65600000000000003</v>
      </c>
      <c r="J160" s="104" t="s">
        <v>831</v>
      </c>
    </row>
    <row r="161" spans="1:10" hidden="1" x14ac:dyDescent="0.3">
      <c r="A161" s="100" t="s">
        <v>390</v>
      </c>
      <c r="B161" s="101" t="s">
        <v>1019</v>
      </c>
      <c r="C161" s="101" t="s">
        <v>1173</v>
      </c>
      <c r="D161" s="101" t="s">
        <v>1172</v>
      </c>
      <c r="E161" s="102">
        <v>45715</v>
      </c>
      <c r="F161" s="101" t="s">
        <v>1175</v>
      </c>
      <c r="G161" s="101" t="s">
        <v>852</v>
      </c>
      <c r="H161" s="103">
        <v>2553.4625000000001</v>
      </c>
      <c r="I161" s="133">
        <v>0.65600000000000003</v>
      </c>
      <c r="J161" s="104" t="s">
        <v>831</v>
      </c>
    </row>
    <row r="162" spans="1:10" hidden="1" x14ac:dyDescent="0.3">
      <c r="A162" s="100" t="s">
        <v>390</v>
      </c>
      <c r="B162" s="101" t="s">
        <v>6</v>
      </c>
      <c r="C162" s="101" t="s">
        <v>1180</v>
      </c>
      <c r="D162" s="101" t="s">
        <v>1181</v>
      </c>
      <c r="E162" s="102">
        <v>45720</v>
      </c>
      <c r="F162" s="101" t="s">
        <v>375</v>
      </c>
      <c r="G162" s="101" t="s">
        <v>62</v>
      </c>
      <c r="H162" s="103">
        <v>27923.01</v>
      </c>
      <c r="I162" s="133">
        <v>0.40400000000000003</v>
      </c>
      <c r="J162" s="104" t="s">
        <v>831</v>
      </c>
    </row>
    <row r="163" spans="1:10" hidden="1" x14ac:dyDescent="0.3">
      <c r="A163" s="100" t="s">
        <v>392</v>
      </c>
      <c r="B163" s="101" t="s">
        <v>6</v>
      </c>
      <c r="C163" s="101" t="s">
        <v>1182</v>
      </c>
      <c r="D163" s="101" t="s">
        <v>1183</v>
      </c>
      <c r="E163" s="102">
        <v>45721</v>
      </c>
      <c r="F163" s="101" t="s">
        <v>370</v>
      </c>
      <c r="G163" s="101" t="s">
        <v>1184</v>
      </c>
      <c r="H163" s="103">
        <v>14040.49</v>
      </c>
      <c r="I163" s="133">
        <v>0.47299999999999998</v>
      </c>
      <c r="J163" s="104" t="s">
        <v>830</v>
      </c>
    </row>
    <row r="164" spans="1:10" hidden="1" x14ac:dyDescent="0.3">
      <c r="A164" s="100" t="s">
        <v>392</v>
      </c>
      <c r="B164" s="101" t="s">
        <v>6</v>
      </c>
      <c r="C164" s="101" t="s">
        <v>1185</v>
      </c>
      <c r="D164" s="101" t="s">
        <v>1186</v>
      </c>
      <c r="E164" s="102">
        <v>45721</v>
      </c>
      <c r="F164" s="101" t="s">
        <v>370</v>
      </c>
      <c r="G164" s="101" t="s">
        <v>1184</v>
      </c>
      <c r="H164" s="103">
        <v>14040.49</v>
      </c>
      <c r="I164" s="133">
        <v>0.47299999999999998</v>
      </c>
      <c r="J164" s="104" t="s">
        <v>830</v>
      </c>
    </row>
    <row r="165" spans="1:10" hidden="1" x14ac:dyDescent="0.3">
      <c r="A165" s="100" t="s">
        <v>390</v>
      </c>
      <c r="B165" s="101" t="s">
        <v>6</v>
      </c>
      <c r="C165" s="101" t="s">
        <v>1187</v>
      </c>
      <c r="D165" s="101" t="s">
        <v>1188</v>
      </c>
      <c r="E165" s="102">
        <v>45722</v>
      </c>
      <c r="F165" s="101" t="s">
        <v>372</v>
      </c>
      <c r="G165" s="101" t="s">
        <v>10</v>
      </c>
      <c r="H165" s="103">
        <v>73861.990000000005</v>
      </c>
      <c r="I165" s="133">
        <v>0.22900000000000001</v>
      </c>
      <c r="J165" s="104" t="s">
        <v>833</v>
      </c>
    </row>
    <row r="166" spans="1:10" hidden="1" x14ac:dyDescent="0.3">
      <c r="A166" s="100" t="s">
        <v>392</v>
      </c>
      <c r="B166" s="101" t="s">
        <v>6</v>
      </c>
      <c r="C166" s="101" t="s">
        <v>1189</v>
      </c>
      <c r="D166" s="101" t="s">
        <v>1190</v>
      </c>
      <c r="E166" s="102">
        <v>45722</v>
      </c>
      <c r="F166" s="101" t="s">
        <v>370</v>
      </c>
      <c r="G166" s="101" t="s">
        <v>1184</v>
      </c>
      <c r="H166" s="103">
        <v>14163.85</v>
      </c>
      <c r="I166" s="133">
        <v>0.57599999999999996</v>
      </c>
      <c r="J166" s="104" t="s">
        <v>830</v>
      </c>
    </row>
    <row r="167" spans="1:10" hidden="1" x14ac:dyDescent="0.3">
      <c r="A167" s="100" t="s">
        <v>392</v>
      </c>
      <c r="B167" s="101" t="s">
        <v>6</v>
      </c>
      <c r="C167" s="101" t="s">
        <v>1191</v>
      </c>
      <c r="D167" s="101" t="s">
        <v>1192</v>
      </c>
      <c r="E167" s="102">
        <v>45722</v>
      </c>
      <c r="F167" s="101" t="s">
        <v>374</v>
      </c>
      <c r="G167" s="101" t="s">
        <v>17</v>
      </c>
      <c r="H167" s="103">
        <v>7700.77</v>
      </c>
      <c r="I167" s="133">
        <v>0.70099999999999996</v>
      </c>
      <c r="J167" s="104" t="s">
        <v>848</v>
      </c>
    </row>
    <row r="168" spans="1:10" hidden="1" x14ac:dyDescent="0.3">
      <c r="A168" s="100" t="s">
        <v>390</v>
      </c>
      <c r="B168" s="101" t="s">
        <v>6</v>
      </c>
      <c r="C168" s="101" t="s">
        <v>1193</v>
      </c>
      <c r="D168" s="101" t="s">
        <v>1194</v>
      </c>
      <c r="E168" s="102">
        <v>45722</v>
      </c>
      <c r="F168" s="101" t="s">
        <v>587</v>
      </c>
      <c r="G168" s="101" t="s">
        <v>11</v>
      </c>
      <c r="H168" s="103">
        <v>34700</v>
      </c>
      <c r="I168" s="133">
        <v>0.52600000000000002</v>
      </c>
      <c r="J168" s="104" t="s">
        <v>831</v>
      </c>
    </row>
    <row r="169" spans="1:10" hidden="1" x14ac:dyDescent="0.3">
      <c r="A169" s="100" t="s">
        <v>390</v>
      </c>
      <c r="B169" s="101" t="s">
        <v>6</v>
      </c>
      <c r="C169" s="101" t="s">
        <v>1195</v>
      </c>
      <c r="D169" s="101" t="s">
        <v>1196</v>
      </c>
      <c r="E169" s="102">
        <v>45726</v>
      </c>
      <c r="F169" s="101" t="s">
        <v>372</v>
      </c>
      <c r="G169" s="101" t="s">
        <v>10</v>
      </c>
      <c r="H169" s="103">
        <v>11340.08</v>
      </c>
      <c r="I169" s="133">
        <v>0.30299999999999999</v>
      </c>
      <c r="J169" s="104" t="s">
        <v>833</v>
      </c>
    </row>
    <row r="170" spans="1:10" hidden="1" x14ac:dyDescent="0.3">
      <c r="A170" s="100" t="s">
        <v>390</v>
      </c>
      <c r="B170" s="101" t="s">
        <v>6</v>
      </c>
      <c r="C170" s="101" t="s">
        <v>1197</v>
      </c>
      <c r="D170" s="101" t="s">
        <v>1198</v>
      </c>
      <c r="E170" s="102">
        <v>45728</v>
      </c>
      <c r="F170" s="101" t="s">
        <v>372</v>
      </c>
      <c r="G170" s="101" t="s">
        <v>10</v>
      </c>
      <c r="H170" s="103">
        <v>3540</v>
      </c>
      <c r="I170" s="133">
        <v>0.25900000000000001</v>
      </c>
      <c r="J170" s="104" t="s">
        <v>833</v>
      </c>
    </row>
    <row r="171" spans="1:10" hidden="1" x14ac:dyDescent="0.3">
      <c r="A171" s="100" t="s">
        <v>392</v>
      </c>
      <c r="B171" s="101" t="s">
        <v>6</v>
      </c>
      <c r="C171" s="101" t="s">
        <v>1199</v>
      </c>
      <c r="D171" s="101" t="s">
        <v>1200</v>
      </c>
      <c r="E171" s="102">
        <v>45729</v>
      </c>
      <c r="F171" s="101" t="s">
        <v>370</v>
      </c>
      <c r="G171" s="101" t="s">
        <v>1184</v>
      </c>
      <c r="H171" s="103">
        <v>4101.6000000000004</v>
      </c>
      <c r="I171" s="133">
        <v>0.56100000000000005</v>
      </c>
      <c r="J171" s="104" t="s">
        <v>830</v>
      </c>
    </row>
    <row r="172" spans="1:10" hidden="1" x14ac:dyDescent="0.3">
      <c r="A172" s="100" t="s">
        <v>392</v>
      </c>
      <c r="B172" s="101" t="s">
        <v>6</v>
      </c>
      <c r="C172" s="101" t="s">
        <v>1201</v>
      </c>
      <c r="D172" s="101" t="s">
        <v>1202</v>
      </c>
      <c r="E172" s="102">
        <v>45729</v>
      </c>
      <c r="F172" s="101" t="s">
        <v>370</v>
      </c>
      <c r="G172" s="101" t="s">
        <v>1184</v>
      </c>
      <c r="H172" s="103">
        <v>14155.54</v>
      </c>
      <c r="I172" s="133">
        <v>0.49099999999999999</v>
      </c>
      <c r="J172" s="104" t="s">
        <v>830</v>
      </c>
    </row>
    <row r="173" spans="1:10" hidden="1" x14ac:dyDescent="0.3">
      <c r="A173" s="100" t="s">
        <v>392</v>
      </c>
      <c r="B173" s="101" t="s">
        <v>6</v>
      </c>
      <c r="C173" s="101" t="s">
        <v>1203</v>
      </c>
      <c r="D173" s="101" t="s">
        <v>1204</v>
      </c>
      <c r="E173" s="102">
        <v>45729</v>
      </c>
      <c r="F173" s="101" t="s">
        <v>370</v>
      </c>
      <c r="G173" s="101" t="s">
        <v>1184</v>
      </c>
      <c r="H173" s="103">
        <v>8120.36</v>
      </c>
      <c r="I173" s="133">
        <v>0.68799999999999994</v>
      </c>
      <c r="J173" s="104" t="s">
        <v>830</v>
      </c>
    </row>
    <row r="174" spans="1:10" hidden="1" x14ac:dyDescent="0.3">
      <c r="A174" s="100" t="s">
        <v>392</v>
      </c>
      <c r="B174" s="101" t="s">
        <v>6</v>
      </c>
      <c r="C174" s="101" t="s">
        <v>1205</v>
      </c>
      <c r="D174" s="101" t="s">
        <v>1206</v>
      </c>
      <c r="E174" s="102">
        <v>45729</v>
      </c>
      <c r="F174" s="101" t="s">
        <v>370</v>
      </c>
      <c r="G174" s="101" t="s">
        <v>1184</v>
      </c>
      <c r="H174" s="103">
        <v>8120.36</v>
      </c>
      <c r="I174" s="133">
        <v>0.68799999999999994</v>
      </c>
      <c r="J174" s="104" t="s">
        <v>830</v>
      </c>
    </row>
    <row r="175" spans="1:10" hidden="1" x14ac:dyDescent="0.3">
      <c r="A175" s="100" t="s">
        <v>392</v>
      </c>
      <c r="B175" s="101" t="s">
        <v>6</v>
      </c>
      <c r="C175" s="101" t="s">
        <v>1207</v>
      </c>
      <c r="D175" s="101" t="s">
        <v>1208</v>
      </c>
      <c r="E175" s="102">
        <v>45729</v>
      </c>
      <c r="F175" s="101" t="s">
        <v>370</v>
      </c>
      <c r="G175" s="101" t="s">
        <v>1184</v>
      </c>
      <c r="H175" s="103">
        <v>8120.36</v>
      </c>
      <c r="I175" s="133">
        <v>0.68799999999999994</v>
      </c>
      <c r="J175" s="104" t="s">
        <v>830</v>
      </c>
    </row>
    <row r="176" spans="1:10" hidden="1" x14ac:dyDescent="0.3">
      <c r="A176" s="100" t="s">
        <v>392</v>
      </c>
      <c r="B176" s="101" t="s">
        <v>6</v>
      </c>
      <c r="C176" s="101" t="s">
        <v>1209</v>
      </c>
      <c r="D176" s="101" t="s">
        <v>1210</v>
      </c>
      <c r="E176" s="102">
        <v>45729</v>
      </c>
      <c r="F176" s="101" t="s">
        <v>370</v>
      </c>
      <c r="G176" s="101" t="s">
        <v>1184</v>
      </c>
      <c r="H176" s="103">
        <v>14155.54</v>
      </c>
      <c r="I176" s="133">
        <v>0.49099999999999999</v>
      </c>
      <c r="J176" s="104" t="s">
        <v>830</v>
      </c>
    </row>
    <row r="177" spans="1:10" hidden="1" x14ac:dyDescent="0.3">
      <c r="A177" s="100" t="s">
        <v>390</v>
      </c>
      <c r="B177" s="101" t="s">
        <v>6</v>
      </c>
      <c r="C177" s="101" t="s">
        <v>1211</v>
      </c>
      <c r="D177" s="101" t="s">
        <v>1212</v>
      </c>
      <c r="E177" s="102">
        <v>45730</v>
      </c>
      <c r="F177" s="101" t="s">
        <v>372</v>
      </c>
      <c r="G177" s="101" t="s">
        <v>10</v>
      </c>
      <c r="H177" s="103">
        <v>9517.7999999999993</v>
      </c>
      <c r="I177" s="133">
        <v>0.38600000000000001</v>
      </c>
      <c r="J177" s="104" t="s">
        <v>833</v>
      </c>
    </row>
    <row r="178" spans="1:10" hidden="1" x14ac:dyDescent="0.3">
      <c r="A178" s="100" t="s">
        <v>392</v>
      </c>
      <c r="B178" s="101" t="s">
        <v>6</v>
      </c>
      <c r="C178" s="101" t="s">
        <v>1213</v>
      </c>
      <c r="D178" s="101" t="s">
        <v>1214</v>
      </c>
      <c r="E178" s="102">
        <v>45730</v>
      </c>
      <c r="F178" s="101" t="s">
        <v>371</v>
      </c>
      <c r="G178" s="101" t="s">
        <v>864</v>
      </c>
      <c r="H178" s="103">
        <v>15356</v>
      </c>
      <c r="I178" s="133">
        <v>0.65</v>
      </c>
      <c r="J178" s="104" t="s">
        <v>848</v>
      </c>
    </row>
    <row r="179" spans="1:10" hidden="1" x14ac:dyDescent="0.3">
      <c r="A179" s="100" t="s">
        <v>390</v>
      </c>
      <c r="B179" s="101" t="s">
        <v>6</v>
      </c>
      <c r="C179" s="101" t="s">
        <v>1215</v>
      </c>
      <c r="D179" s="101" t="s">
        <v>1216</v>
      </c>
      <c r="E179" s="102">
        <v>45730</v>
      </c>
      <c r="F179" s="101" t="s">
        <v>375</v>
      </c>
      <c r="G179" s="101" t="s">
        <v>62</v>
      </c>
      <c r="H179" s="103">
        <v>16078.51</v>
      </c>
      <c r="I179" s="133">
        <v>0.39700000000000002</v>
      </c>
      <c r="J179" s="104" t="s">
        <v>831</v>
      </c>
    </row>
    <row r="180" spans="1:10" hidden="1" x14ac:dyDescent="0.3">
      <c r="A180" s="100" t="s">
        <v>392</v>
      </c>
      <c r="B180" s="101" t="s">
        <v>6</v>
      </c>
      <c r="C180" s="101" t="s">
        <v>1217</v>
      </c>
      <c r="D180" s="101" t="s">
        <v>1218</v>
      </c>
      <c r="E180" s="102">
        <v>45735</v>
      </c>
      <c r="F180" s="101" t="s">
        <v>842</v>
      </c>
      <c r="G180" s="101" t="s">
        <v>843</v>
      </c>
      <c r="H180" s="103">
        <v>22000</v>
      </c>
      <c r="I180" s="133">
        <v>0.44700000000000001</v>
      </c>
      <c r="J180" s="104" t="s">
        <v>832</v>
      </c>
    </row>
    <row r="181" spans="1:10" hidden="1" x14ac:dyDescent="0.3">
      <c r="A181" s="100" t="s">
        <v>392</v>
      </c>
      <c r="B181" s="101" t="s">
        <v>6</v>
      </c>
      <c r="C181" s="101" t="s">
        <v>1219</v>
      </c>
      <c r="D181" s="101" t="s">
        <v>1220</v>
      </c>
      <c r="E181" s="102">
        <v>45735</v>
      </c>
      <c r="F181" s="101" t="s">
        <v>842</v>
      </c>
      <c r="G181" s="101" t="s">
        <v>843</v>
      </c>
      <c r="H181" s="103">
        <v>22000</v>
      </c>
      <c r="I181" s="133">
        <v>0.44700000000000001</v>
      </c>
      <c r="J181" s="104" t="s">
        <v>832</v>
      </c>
    </row>
    <row r="182" spans="1:10" hidden="1" x14ac:dyDescent="0.3">
      <c r="A182" s="100" t="s">
        <v>392</v>
      </c>
      <c r="B182" s="101" t="s">
        <v>6</v>
      </c>
      <c r="C182" s="101" t="s">
        <v>1221</v>
      </c>
      <c r="D182" s="101" t="s">
        <v>1222</v>
      </c>
      <c r="E182" s="102">
        <v>45735</v>
      </c>
      <c r="F182" s="101" t="s">
        <v>842</v>
      </c>
      <c r="G182" s="101" t="s">
        <v>843</v>
      </c>
      <c r="H182" s="103">
        <v>22000</v>
      </c>
      <c r="I182" s="133">
        <v>0.44700000000000001</v>
      </c>
      <c r="J182" s="104" t="s">
        <v>832</v>
      </c>
    </row>
    <row r="183" spans="1:10" hidden="1" x14ac:dyDescent="0.3">
      <c r="A183" s="100" t="s">
        <v>392</v>
      </c>
      <c r="B183" s="101" t="s">
        <v>6</v>
      </c>
      <c r="C183" s="101" t="s">
        <v>1223</v>
      </c>
      <c r="D183" s="101" t="s">
        <v>1224</v>
      </c>
      <c r="E183" s="102">
        <v>45735</v>
      </c>
      <c r="F183" s="101" t="s">
        <v>842</v>
      </c>
      <c r="G183" s="101" t="s">
        <v>843</v>
      </c>
      <c r="H183" s="103">
        <v>22000</v>
      </c>
      <c r="I183" s="133">
        <v>0.44700000000000001</v>
      </c>
      <c r="J183" s="104" t="s">
        <v>832</v>
      </c>
    </row>
    <row r="184" spans="1:10" hidden="1" x14ac:dyDescent="0.3">
      <c r="A184" s="100" t="s">
        <v>390</v>
      </c>
      <c r="B184" s="101" t="s">
        <v>6</v>
      </c>
      <c r="C184" s="101" t="s">
        <v>1225</v>
      </c>
      <c r="D184" s="101" t="s">
        <v>1226</v>
      </c>
      <c r="E184" s="102">
        <v>45735</v>
      </c>
      <c r="F184" s="101" t="s">
        <v>376</v>
      </c>
      <c r="G184" s="101" t="s">
        <v>14</v>
      </c>
      <c r="H184" s="103">
        <v>19998</v>
      </c>
      <c r="I184" s="133">
        <v>0.55200000000000005</v>
      </c>
      <c r="J184" s="104" t="s">
        <v>832</v>
      </c>
    </row>
    <row r="185" spans="1:10" hidden="1" x14ac:dyDescent="0.3">
      <c r="A185" s="100" t="s">
        <v>392</v>
      </c>
      <c r="B185" s="101" t="s">
        <v>6</v>
      </c>
      <c r="C185" s="101" t="s">
        <v>1227</v>
      </c>
      <c r="D185" s="101" t="s">
        <v>1228</v>
      </c>
      <c r="E185" s="102">
        <v>45735</v>
      </c>
      <c r="F185" s="101" t="s">
        <v>370</v>
      </c>
      <c r="G185" s="101" t="s">
        <v>1184</v>
      </c>
      <c r="H185" s="103">
        <v>8005.74</v>
      </c>
      <c r="I185" s="133">
        <v>0.7006</v>
      </c>
      <c r="J185" s="104" t="s">
        <v>830</v>
      </c>
    </row>
    <row r="186" spans="1:10" hidden="1" x14ac:dyDescent="0.3">
      <c r="A186" s="100" t="s">
        <v>392</v>
      </c>
      <c r="B186" s="101" t="s">
        <v>6</v>
      </c>
      <c r="C186" s="101" t="s">
        <v>1229</v>
      </c>
      <c r="D186" s="101" t="s">
        <v>1230</v>
      </c>
      <c r="E186" s="102">
        <v>45735</v>
      </c>
      <c r="F186" s="101" t="s">
        <v>370</v>
      </c>
      <c r="G186" s="101" t="s">
        <v>1184</v>
      </c>
      <c r="H186" s="103">
        <v>8036.66</v>
      </c>
      <c r="I186" s="133">
        <v>0.70799999999999996</v>
      </c>
      <c r="J186" s="104" t="s">
        <v>830</v>
      </c>
    </row>
    <row r="187" spans="1:10" hidden="1" x14ac:dyDescent="0.3">
      <c r="A187" s="100" t="s">
        <v>392</v>
      </c>
      <c r="B187" s="101" t="s">
        <v>6</v>
      </c>
      <c r="C187" s="101" t="s">
        <v>1231</v>
      </c>
      <c r="D187" s="101" t="s">
        <v>1232</v>
      </c>
      <c r="E187" s="102">
        <v>45735</v>
      </c>
      <c r="F187" s="101" t="s">
        <v>370</v>
      </c>
      <c r="G187" s="101" t="s">
        <v>1184</v>
      </c>
      <c r="H187" s="103">
        <v>8008.44</v>
      </c>
      <c r="I187" s="133">
        <v>0.70699999999999996</v>
      </c>
      <c r="J187" s="104" t="s">
        <v>830</v>
      </c>
    </row>
    <row r="188" spans="1:10" hidden="1" x14ac:dyDescent="0.3">
      <c r="A188" s="100" t="s">
        <v>392</v>
      </c>
      <c r="B188" s="101" t="s">
        <v>6</v>
      </c>
      <c r="C188" s="101" t="s">
        <v>1233</v>
      </c>
      <c r="D188" s="101" t="s">
        <v>1234</v>
      </c>
      <c r="E188" s="102">
        <v>45735</v>
      </c>
      <c r="F188" s="101" t="s">
        <v>370</v>
      </c>
      <c r="G188" s="101" t="s">
        <v>1184</v>
      </c>
      <c r="H188" s="103">
        <v>8008.44</v>
      </c>
      <c r="I188" s="133">
        <v>0.70699999999999996</v>
      </c>
      <c r="J188" s="104" t="s">
        <v>830</v>
      </c>
    </row>
    <row r="189" spans="1:10" hidden="1" x14ac:dyDescent="0.3">
      <c r="A189" s="100" t="s">
        <v>392</v>
      </c>
      <c r="B189" s="101" t="s">
        <v>6</v>
      </c>
      <c r="C189" s="101" t="s">
        <v>1235</v>
      </c>
      <c r="D189" s="101" t="s">
        <v>1236</v>
      </c>
      <c r="E189" s="102">
        <v>45735</v>
      </c>
      <c r="F189" s="101" t="s">
        <v>370</v>
      </c>
      <c r="G189" s="101" t="s">
        <v>1184</v>
      </c>
      <c r="H189" s="103">
        <v>8008.44</v>
      </c>
      <c r="I189" s="133">
        <v>0.70699999999999996</v>
      </c>
      <c r="J189" s="104" t="s">
        <v>830</v>
      </c>
    </row>
    <row r="190" spans="1:10" hidden="1" x14ac:dyDescent="0.3">
      <c r="A190" s="100" t="s">
        <v>392</v>
      </c>
      <c r="B190" s="101" t="s">
        <v>6</v>
      </c>
      <c r="C190" s="101" t="s">
        <v>1237</v>
      </c>
      <c r="D190" s="101" t="s">
        <v>1238</v>
      </c>
      <c r="E190" s="102">
        <v>45735</v>
      </c>
      <c r="F190" s="101" t="s">
        <v>370</v>
      </c>
      <c r="G190" s="101" t="s">
        <v>1184</v>
      </c>
      <c r="H190" s="103">
        <v>8017.76</v>
      </c>
      <c r="I190" s="133">
        <v>0.70699999999999996</v>
      </c>
      <c r="J190" s="104" t="s">
        <v>830</v>
      </c>
    </row>
    <row r="191" spans="1:10" hidden="1" x14ac:dyDescent="0.3">
      <c r="A191" s="100" t="s">
        <v>392</v>
      </c>
      <c r="B191" s="101" t="s">
        <v>6</v>
      </c>
      <c r="C191" s="101" t="s">
        <v>1239</v>
      </c>
      <c r="D191" s="101" t="s">
        <v>1240</v>
      </c>
      <c r="E191" s="102">
        <v>45735</v>
      </c>
      <c r="F191" s="101" t="s">
        <v>370</v>
      </c>
      <c r="G191" s="101" t="s">
        <v>1184</v>
      </c>
      <c r="H191" s="103">
        <v>8017.76</v>
      </c>
      <c r="I191" s="133">
        <v>0.70699999999999996</v>
      </c>
      <c r="J191" s="104" t="s">
        <v>830</v>
      </c>
    </row>
    <row r="192" spans="1:10" hidden="1" x14ac:dyDescent="0.3">
      <c r="A192" s="100" t="s">
        <v>390</v>
      </c>
      <c r="B192" s="101" t="s">
        <v>6</v>
      </c>
      <c r="C192" s="101" t="s">
        <v>1241</v>
      </c>
      <c r="D192" s="101" t="s">
        <v>1242</v>
      </c>
      <c r="E192" s="102">
        <v>45736</v>
      </c>
      <c r="F192" s="101" t="s">
        <v>371</v>
      </c>
      <c r="G192" s="101" t="s">
        <v>864</v>
      </c>
      <c r="H192" s="103">
        <v>30790.959999999999</v>
      </c>
      <c r="I192" s="133">
        <v>0.23300000000000001</v>
      </c>
      <c r="J192" s="104" t="s">
        <v>833</v>
      </c>
    </row>
    <row r="193" spans="1:10" hidden="1" x14ac:dyDescent="0.3">
      <c r="A193" s="100" t="s">
        <v>392</v>
      </c>
      <c r="B193" s="101" t="s">
        <v>6</v>
      </c>
      <c r="C193" s="101" t="s">
        <v>1243</v>
      </c>
      <c r="D193" s="101" t="s">
        <v>1244</v>
      </c>
      <c r="E193" s="102">
        <v>45736</v>
      </c>
      <c r="F193" s="101" t="s">
        <v>370</v>
      </c>
      <c r="G193" s="101" t="s">
        <v>1184</v>
      </c>
      <c r="H193" s="103">
        <v>20221.04</v>
      </c>
      <c r="I193" s="133">
        <v>0.68600000000000005</v>
      </c>
      <c r="J193" s="104" t="s">
        <v>830</v>
      </c>
    </row>
    <row r="194" spans="1:10" hidden="1" x14ac:dyDescent="0.3">
      <c r="A194" s="100" t="s">
        <v>392</v>
      </c>
      <c r="B194" s="101" t="s">
        <v>6</v>
      </c>
      <c r="C194" s="101" t="s">
        <v>1245</v>
      </c>
      <c r="D194" s="101" t="s">
        <v>1246</v>
      </c>
      <c r="E194" s="102">
        <v>45736</v>
      </c>
      <c r="F194" s="101" t="s">
        <v>370</v>
      </c>
      <c r="G194" s="101" t="s">
        <v>1184</v>
      </c>
      <c r="H194" s="103">
        <v>14001.64</v>
      </c>
      <c r="I194" s="133">
        <v>0.55000000000000004</v>
      </c>
      <c r="J194" s="104" t="s">
        <v>830</v>
      </c>
    </row>
    <row r="195" spans="1:10" hidden="1" x14ac:dyDescent="0.3">
      <c r="A195" s="100" t="s">
        <v>390</v>
      </c>
      <c r="B195" s="101" t="s">
        <v>6</v>
      </c>
      <c r="C195" s="101" t="s">
        <v>1247</v>
      </c>
      <c r="D195" s="101" t="s">
        <v>1181</v>
      </c>
      <c r="E195" s="102">
        <v>45736</v>
      </c>
      <c r="F195" s="101" t="s">
        <v>375</v>
      </c>
      <c r="G195" s="101" t="s">
        <v>62</v>
      </c>
      <c r="H195" s="103">
        <v>11000</v>
      </c>
      <c r="I195" s="133">
        <v>0.40400000000000003</v>
      </c>
      <c r="J195" s="104" t="s">
        <v>831</v>
      </c>
    </row>
    <row r="196" spans="1:10" hidden="1" x14ac:dyDescent="0.3">
      <c r="A196" s="100" t="s">
        <v>390</v>
      </c>
      <c r="B196" s="101" t="s">
        <v>6</v>
      </c>
      <c r="C196" s="101" t="s">
        <v>1248</v>
      </c>
      <c r="D196" s="101" t="s">
        <v>1249</v>
      </c>
      <c r="E196" s="102">
        <v>45736</v>
      </c>
      <c r="F196" s="101" t="s">
        <v>844</v>
      </c>
      <c r="G196" s="101" t="s">
        <v>863</v>
      </c>
      <c r="H196" s="103">
        <v>15556</v>
      </c>
      <c r="I196" s="133">
        <v>0.25900000000000001</v>
      </c>
      <c r="J196" s="104" t="s">
        <v>831</v>
      </c>
    </row>
    <row r="197" spans="1:10" hidden="1" x14ac:dyDescent="0.3">
      <c r="A197" s="100" t="s">
        <v>390</v>
      </c>
      <c r="B197" s="101" t="s">
        <v>6</v>
      </c>
      <c r="C197" s="101" t="s">
        <v>1250</v>
      </c>
      <c r="D197" s="101" t="s">
        <v>1251</v>
      </c>
      <c r="E197" s="102">
        <v>45736</v>
      </c>
      <c r="F197" s="101" t="s">
        <v>371</v>
      </c>
      <c r="G197" s="101" t="s">
        <v>864</v>
      </c>
      <c r="H197" s="103">
        <v>13943.68</v>
      </c>
      <c r="I197" s="133">
        <v>0.51</v>
      </c>
      <c r="J197" s="104" t="s">
        <v>832</v>
      </c>
    </row>
    <row r="198" spans="1:10" hidden="1" x14ac:dyDescent="0.3">
      <c r="A198" s="100" t="s">
        <v>392</v>
      </c>
      <c r="B198" s="101" t="s">
        <v>6</v>
      </c>
      <c r="C198" s="101" t="s">
        <v>1252</v>
      </c>
      <c r="D198" s="101" t="s">
        <v>1253</v>
      </c>
      <c r="E198" s="102">
        <v>45737</v>
      </c>
      <c r="F198" s="101" t="s">
        <v>372</v>
      </c>
      <c r="G198" s="101" t="s">
        <v>10</v>
      </c>
      <c r="H198" s="103">
        <v>3041.66</v>
      </c>
      <c r="I198" s="133">
        <v>0.41</v>
      </c>
      <c r="J198" s="104" t="s">
        <v>848</v>
      </c>
    </row>
    <row r="199" spans="1:10" hidden="1" x14ac:dyDescent="0.3">
      <c r="A199" s="100" t="s">
        <v>392</v>
      </c>
      <c r="B199" s="101" t="s">
        <v>6</v>
      </c>
      <c r="C199" s="101" t="s">
        <v>1254</v>
      </c>
      <c r="D199" s="101" t="s">
        <v>1255</v>
      </c>
      <c r="E199" s="102">
        <v>45737</v>
      </c>
      <c r="F199" s="101" t="s">
        <v>370</v>
      </c>
      <c r="G199" s="101" t="s">
        <v>1184</v>
      </c>
      <c r="H199" s="103">
        <v>14001.64</v>
      </c>
      <c r="I199" s="133">
        <v>0.55000000000000004</v>
      </c>
      <c r="J199" s="104" t="s">
        <v>830</v>
      </c>
    </row>
    <row r="200" spans="1:10" hidden="1" x14ac:dyDescent="0.3">
      <c r="A200" s="100" t="s">
        <v>392</v>
      </c>
      <c r="B200" s="101" t="s">
        <v>6</v>
      </c>
      <c r="C200" s="101" t="s">
        <v>1256</v>
      </c>
      <c r="D200" s="101" t="s">
        <v>1257</v>
      </c>
      <c r="E200" s="102">
        <v>45737</v>
      </c>
      <c r="F200" s="101" t="s">
        <v>844</v>
      </c>
      <c r="G200" s="101" t="s">
        <v>863</v>
      </c>
      <c r="H200" s="103">
        <v>15525</v>
      </c>
      <c r="I200" s="133">
        <v>3.4000000000000002E-2</v>
      </c>
      <c r="J200" s="104" t="s">
        <v>831</v>
      </c>
    </row>
    <row r="201" spans="1:10" hidden="1" x14ac:dyDescent="0.3">
      <c r="A201" s="100" t="s">
        <v>390</v>
      </c>
      <c r="B201" s="101" t="s">
        <v>6</v>
      </c>
      <c r="C201" s="101" t="s">
        <v>1258</v>
      </c>
      <c r="D201" s="101" t="s">
        <v>1259</v>
      </c>
      <c r="E201" s="102">
        <v>45737</v>
      </c>
      <c r="F201" s="101" t="s">
        <v>371</v>
      </c>
      <c r="G201" s="101" t="s">
        <v>864</v>
      </c>
      <c r="H201" s="103">
        <v>13193.61</v>
      </c>
      <c r="I201" s="133">
        <v>0.52700000000000002</v>
      </c>
      <c r="J201" s="104" t="s">
        <v>832</v>
      </c>
    </row>
    <row r="202" spans="1:10" hidden="1" x14ac:dyDescent="0.3">
      <c r="A202" s="100" t="s">
        <v>392</v>
      </c>
      <c r="B202" s="101" t="s">
        <v>6</v>
      </c>
      <c r="C202" s="101" t="s">
        <v>1260</v>
      </c>
      <c r="D202" s="101" t="s">
        <v>1261</v>
      </c>
      <c r="E202" s="102">
        <v>45737</v>
      </c>
      <c r="F202" s="101" t="s">
        <v>842</v>
      </c>
      <c r="G202" s="101" t="s">
        <v>843</v>
      </c>
      <c r="H202" s="103">
        <v>22000</v>
      </c>
      <c r="I202" s="133">
        <v>0.442</v>
      </c>
      <c r="J202" s="104" t="s">
        <v>832</v>
      </c>
    </row>
    <row r="203" spans="1:10" hidden="1" x14ac:dyDescent="0.3">
      <c r="A203" s="100" t="s">
        <v>392</v>
      </c>
      <c r="B203" s="101" t="s">
        <v>6</v>
      </c>
      <c r="C203" s="101" t="s">
        <v>1262</v>
      </c>
      <c r="D203" s="101" t="s">
        <v>1263</v>
      </c>
      <c r="E203" s="102">
        <v>45737</v>
      </c>
      <c r="F203" s="101" t="s">
        <v>842</v>
      </c>
      <c r="G203" s="101" t="s">
        <v>843</v>
      </c>
      <c r="H203" s="103">
        <v>22000</v>
      </c>
      <c r="I203" s="133">
        <v>0.441</v>
      </c>
      <c r="J203" s="104" t="s">
        <v>832</v>
      </c>
    </row>
    <row r="204" spans="1:10" hidden="1" x14ac:dyDescent="0.3">
      <c r="A204" s="100" t="s">
        <v>392</v>
      </c>
      <c r="B204" s="101" t="s">
        <v>6</v>
      </c>
      <c r="C204" s="101" t="s">
        <v>1264</v>
      </c>
      <c r="D204" s="101" t="s">
        <v>1265</v>
      </c>
      <c r="E204" s="102">
        <v>45737</v>
      </c>
      <c r="F204" s="101" t="s">
        <v>842</v>
      </c>
      <c r="G204" s="101" t="s">
        <v>843</v>
      </c>
      <c r="H204" s="103">
        <v>22000</v>
      </c>
      <c r="I204" s="133">
        <v>0.443</v>
      </c>
      <c r="J204" s="104" t="s">
        <v>832</v>
      </c>
    </row>
    <row r="205" spans="1:10" hidden="1" x14ac:dyDescent="0.3">
      <c r="A205" s="100" t="s">
        <v>392</v>
      </c>
      <c r="B205" s="101" t="s">
        <v>6</v>
      </c>
      <c r="C205" s="101" t="s">
        <v>1266</v>
      </c>
      <c r="D205" s="101" t="s">
        <v>1267</v>
      </c>
      <c r="E205" s="102">
        <v>45737</v>
      </c>
      <c r="F205" s="101" t="s">
        <v>842</v>
      </c>
      <c r="G205" s="101" t="s">
        <v>843</v>
      </c>
      <c r="H205" s="103">
        <v>22000</v>
      </c>
      <c r="I205" s="133">
        <v>0.441</v>
      </c>
      <c r="J205" s="104" t="s">
        <v>832</v>
      </c>
    </row>
    <row r="206" spans="1:10" hidden="1" x14ac:dyDescent="0.3">
      <c r="A206" s="100" t="s">
        <v>392</v>
      </c>
      <c r="B206" s="101" t="s">
        <v>6</v>
      </c>
      <c r="C206" s="101" t="s">
        <v>1268</v>
      </c>
      <c r="D206" s="101" t="s">
        <v>1269</v>
      </c>
      <c r="E206" s="102">
        <v>45737</v>
      </c>
      <c r="F206" s="101" t="s">
        <v>842</v>
      </c>
      <c r="G206" s="101" t="s">
        <v>843</v>
      </c>
      <c r="H206" s="103">
        <v>22000</v>
      </c>
      <c r="I206" s="133">
        <v>0.43099999999999999</v>
      </c>
      <c r="J206" s="104" t="s">
        <v>832</v>
      </c>
    </row>
    <row r="207" spans="1:10" hidden="1" x14ac:dyDescent="0.3">
      <c r="A207" s="100" t="s">
        <v>392</v>
      </c>
      <c r="B207" s="101" t="s">
        <v>6</v>
      </c>
      <c r="C207" s="101" t="s">
        <v>1270</v>
      </c>
      <c r="D207" s="101" t="s">
        <v>1271</v>
      </c>
      <c r="E207" s="102">
        <v>45737</v>
      </c>
      <c r="F207" s="101" t="s">
        <v>842</v>
      </c>
      <c r="G207" s="101" t="s">
        <v>843</v>
      </c>
      <c r="H207" s="103">
        <v>22000</v>
      </c>
      <c r="I207" s="133">
        <v>0.43099999999999999</v>
      </c>
      <c r="J207" s="104" t="s">
        <v>832</v>
      </c>
    </row>
    <row r="208" spans="1:10" hidden="1" x14ac:dyDescent="0.3">
      <c r="A208" s="100" t="s">
        <v>392</v>
      </c>
      <c r="B208" s="101" t="s">
        <v>6</v>
      </c>
      <c r="C208" s="101" t="s">
        <v>1272</v>
      </c>
      <c r="D208" s="101" t="s">
        <v>1273</v>
      </c>
      <c r="E208" s="102">
        <v>45737</v>
      </c>
      <c r="F208" s="101" t="s">
        <v>842</v>
      </c>
      <c r="G208" s="101" t="s">
        <v>843</v>
      </c>
      <c r="H208" s="103">
        <v>22000</v>
      </c>
      <c r="I208" s="133">
        <v>0.43099999999999999</v>
      </c>
      <c r="J208" s="104" t="s">
        <v>832</v>
      </c>
    </row>
    <row r="209" spans="1:10" hidden="1" x14ac:dyDescent="0.3">
      <c r="A209" s="100" t="s">
        <v>390</v>
      </c>
      <c r="B209" s="101" t="s">
        <v>6</v>
      </c>
      <c r="C209" s="101" t="s">
        <v>1274</v>
      </c>
      <c r="D209" s="101" t="s">
        <v>1275</v>
      </c>
      <c r="E209" s="102">
        <v>45737</v>
      </c>
      <c r="F209" s="101" t="s">
        <v>372</v>
      </c>
      <c r="G209" s="101" t="s">
        <v>10</v>
      </c>
      <c r="H209" s="103">
        <v>73837.66</v>
      </c>
      <c r="I209" s="133">
        <v>0.23100000000000001</v>
      </c>
      <c r="J209" s="104" t="s">
        <v>833</v>
      </c>
    </row>
    <row r="210" spans="1:10" hidden="1" x14ac:dyDescent="0.3">
      <c r="A210" s="100" t="s">
        <v>392</v>
      </c>
      <c r="B210" s="101" t="s">
        <v>6</v>
      </c>
      <c r="C210" s="101" t="s">
        <v>1276</v>
      </c>
      <c r="D210" s="101" t="s">
        <v>1277</v>
      </c>
      <c r="E210" s="102">
        <v>45740</v>
      </c>
      <c r="F210" s="101" t="s">
        <v>372</v>
      </c>
      <c r="G210" s="101" t="s">
        <v>10</v>
      </c>
      <c r="H210" s="103">
        <v>22496.9</v>
      </c>
      <c r="I210" s="133">
        <v>0.45300000000000001</v>
      </c>
      <c r="J210" s="104" t="s">
        <v>848</v>
      </c>
    </row>
    <row r="211" spans="1:10" hidden="1" x14ac:dyDescent="0.3">
      <c r="A211" s="100" t="s">
        <v>392</v>
      </c>
      <c r="B211" s="101" t="s">
        <v>6</v>
      </c>
      <c r="C211" s="101" t="s">
        <v>1278</v>
      </c>
      <c r="D211" s="101" t="s">
        <v>1279</v>
      </c>
      <c r="E211" s="102">
        <v>45740</v>
      </c>
      <c r="F211" s="101" t="s">
        <v>372</v>
      </c>
      <c r="G211" s="101" t="s">
        <v>10</v>
      </c>
      <c r="H211" s="103">
        <v>22473.86</v>
      </c>
      <c r="I211" s="133">
        <v>0.45300000000000001</v>
      </c>
      <c r="J211" s="104" t="s">
        <v>848</v>
      </c>
    </row>
    <row r="212" spans="1:10" hidden="1" x14ac:dyDescent="0.3">
      <c r="A212" s="100" t="s">
        <v>390</v>
      </c>
      <c r="B212" s="101" t="s">
        <v>6</v>
      </c>
      <c r="C212" s="101" t="s">
        <v>1280</v>
      </c>
      <c r="D212" s="101" t="s">
        <v>1281</v>
      </c>
      <c r="E212" s="102">
        <v>45740</v>
      </c>
      <c r="F212" s="101" t="s">
        <v>370</v>
      </c>
      <c r="G212" s="101" t="s">
        <v>1184</v>
      </c>
      <c r="H212" s="103">
        <v>49156.6</v>
      </c>
      <c r="I212" s="133">
        <v>0.23799999999999999</v>
      </c>
      <c r="J212" s="104" t="s">
        <v>833</v>
      </c>
    </row>
    <row r="213" spans="1:10" hidden="1" x14ac:dyDescent="0.3">
      <c r="A213" s="100" t="s">
        <v>390</v>
      </c>
      <c r="B213" s="101" t="s">
        <v>6</v>
      </c>
      <c r="C213" s="101" t="s">
        <v>1282</v>
      </c>
      <c r="D213" s="101" t="s">
        <v>1281</v>
      </c>
      <c r="E213" s="102">
        <v>45740</v>
      </c>
      <c r="F213" s="101" t="s">
        <v>370</v>
      </c>
      <c r="G213" s="101" t="s">
        <v>1184</v>
      </c>
      <c r="H213" s="103">
        <v>80600.87</v>
      </c>
      <c r="I213" s="133">
        <v>0.23799999999999999</v>
      </c>
      <c r="J213" s="104" t="s">
        <v>833</v>
      </c>
    </row>
    <row r="214" spans="1:10" hidden="1" x14ac:dyDescent="0.3">
      <c r="A214" s="100" t="s">
        <v>390</v>
      </c>
      <c r="B214" s="101" t="s">
        <v>6</v>
      </c>
      <c r="C214" s="101" t="s">
        <v>1283</v>
      </c>
      <c r="D214" s="101" t="s">
        <v>1284</v>
      </c>
      <c r="E214" s="102">
        <v>45741</v>
      </c>
      <c r="F214" s="101" t="s">
        <v>811</v>
      </c>
      <c r="G214" s="101" t="s">
        <v>813</v>
      </c>
      <c r="H214" s="103">
        <v>25217.02</v>
      </c>
      <c r="I214" s="133">
        <v>0.254</v>
      </c>
      <c r="J214" s="104" t="s">
        <v>832</v>
      </c>
    </row>
    <row r="215" spans="1:10" hidden="1" x14ac:dyDescent="0.3">
      <c r="A215" s="100" t="s">
        <v>392</v>
      </c>
      <c r="B215" s="101" t="s">
        <v>6</v>
      </c>
      <c r="C215" s="101" t="s">
        <v>1285</v>
      </c>
      <c r="D215" s="101" t="s">
        <v>1286</v>
      </c>
      <c r="E215" s="102">
        <v>45741</v>
      </c>
      <c r="F215" s="101" t="s">
        <v>370</v>
      </c>
      <c r="G215" s="101" t="s">
        <v>1184</v>
      </c>
      <c r="H215" s="103">
        <v>7961.06</v>
      </c>
      <c r="I215" s="133">
        <v>0.70499999999999996</v>
      </c>
      <c r="J215" s="104" t="s">
        <v>830</v>
      </c>
    </row>
    <row r="216" spans="1:10" hidden="1" x14ac:dyDescent="0.3">
      <c r="A216" s="100" t="s">
        <v>392</v>
      </c>
      <c r="B216" s="101" t="s">
        <v>6</v>
      </c>
      <c r="C216" s="101" t="s">
        <v>1287</v>
      </c>
      <c r="D216" s="101" t="s">
        <v>1288</v>
      </c>
      <c r="E216" s="102">
        <v>45741</v>
      </c>
      <c r="F216" s="101" t="s">
        <v>370</v>
      </c>
      <c r="G216" s="101" t="s">
        <v>1184</v>
      </c>
      <c r="H216" s="103">
        <v>7961.06</v>
      </c>
      <c r="I216" s="133">
        <v>0.70499999999999996</v>
      </c>
      <c r="J216" s="104" t="s">
        <v>830</v>
      </c>
    </row>
    <row r="217" spans="1:10" hidden="1" x14ac:dyDescent="0.3">
      <c r="A217" s="100" t="s">
        <v>392</v>
      </c>
      <c r="B217" s="101" t="s">
        <v>6</v>
      </c>
      <c r="C217" s="101" t="s">
        <v>1289</v>
      </c>
      <c r="D217" s="101" t="s">
        <v>1290</v>
      </c>
      <c r="E217" s="102">
        <v>45741</v>
      </c>
      <c r="F217" s="101" t="s">
        <v>370</v>
      </c>
      <c r="G217" s="101" t="s">
        <v>1184</v>
      </c>
      <c r="H217" s="103">
        <v>7961.06</v>
      </c>
      <c r="I217" s="133">
        <v>0.70499999999999996</v>
      </c>
      <c r="J217" s="104" t="s">
        <v>830</v>
      </c>
    </row>
    <row r="218" spans="1:10" hidden="1" x14ac:dyDescent="0.3">
      <c r="A218" s="100" t="s">
        <v>392</v>
      </c>
      <c r="B218" s="101" t="s">
        <v>6</v>
      </c>
      <c r="C218" s="101" t="s">
        <v>1291</v>
      </c>
      <c r="D218" s="101" t="s">
        <v>1292</v>
      </c>
      <c r="E218" s="102">
        <v>45741</v>
      </c>
      <c r="F218" s="101" t="s">
        <v>370</v>
      </c>
      <c r="G218" s="101" t="s">
        <v>1184</v>
      </c>
      <c r="H218" s="103">
        <v>6947.67</v>
      </c>
      <c r="I218" s="133">
        <v>0.48199999999999998</v>
      </c>
      <c r="J218" s="104" t="s">
        <v>830</v>
      </c>
    </row>
    <row r="219" spans="1:10" hidden="1" x14ac:dyDescent="0.3">
      <c r="A219" s="100" t="s">
        <v>392</v>
      </c>
      <c r="B219" s="101" t="s">
        <v>6</v>
      </c>
      <c r="C219" s="101" t="s">
        <v>1293</v>
      </c>
      <c r="D219" s="101" t="s">
        <v>1294</v>
      </c>
      <c r="E219" s="102">
        <v>45741</v>
      </c>
      <c r="F219" s="101" t="s">
        <v>370</v>
      </c>
      <c r="G219" s="101" t="s">
        <v>1184</v>
      </c>
      <c r="H219" s="103">
        <v>6947.67</v>
      </c>
      <c r="I219" s="133">
        <v>0.48199999999999998</v>
      </c>
      <c r="J219" s="104" t="s">
        <v>830</v>
      </c>
    </row>
    <row r="220" spans="1:10" hidden="1" x14ac:dyDescent="0.3">
      <c r="A220" s="100" t="s">
        <v>392</v>
      </c>
      <c r="B220" s="101" t="s">
        <v>6</v>
      </c>
      <c r="C220" s="101" t="s">
        <v>1295</v>
      </c>
      <c r="D220" s="101" t="s">
        <v>1296</v>
      </c>
      <c r="E220" s="102">
        <v>45741</v>
      </c>
      <c r="F220" s="101" t="s">
        <v>370</v>
      </c>
      <c r="G220" s="101" t="s">
        <v>1184</v>
      </c>
      <c r="H220" s="103">
        <v>3996.9</v>
      </c>
      <c r="I220" s="133">
        <v>0.55000000000000004</v>
      </c>
      <c r="J220" s="104" t="s">
        <v>830</v>
      </c>
    </row>
    <row r="221" spans="1:10" hidden="1" x14ac:dyDescent="0.3">
      <c r="A221" s="100" t="s">
        <v>390</v>
      </c>
      <c r="B221" s="101" t="s">
        <v>6</v>
      </c>
      <c r="C221" s="101" t="s">
        <v>1297</v>
      </c>
      <c r="D221" s="101" t="s">
        <v>1298</v>
      </c>
      <c r="E221" s="102">
        <v>45741</v>
      </c>
      <c r="F221" s="101" t="s">
        <v>370</v>
      </c>
      <c r="G221" s="101" t="s">
        <v>1184</v>
      </c>
      <c r="H221" s="103">
        <v>47558.44</v>
      </c>
      <c r="I221" s="133">
        <v>0.38400000000000001</v>
      </c>
      <c r="J221" s="104" t="s">
        <v>830</v>
      </c>
    </row>
    <row r="222" spans="1:10" hidden="1" x14ac:dyDescent="0.3">
      <c r="A222" s="100" t="s">
        <v>392</v>
      </c>
      <c r="B222" s="101" t="s">
        <v>6</v>
      </c>
      <c r="C222" s="101" t="s">
        <v>1299</v>
      </c>
      <c r="D222" s="101" t="s">
        <v>1300</v>
      </c>
      <c r="E222" s="102">
        <v>45741</v>
      </c>
      <c r="F222" s="101" t="s">
        <v>842</v>
      </c>
      <c r="G222" s="101" t="s">
        <v>843</v>
      </c>
      <c r="H222" s="103">
        <v>22000</v>
      </c>
      <c r="I222" s="133">
        <v>0.442</v>
      </c>
      <c r="J222" s="104" t="s">
        <v>832</v>
      </c>
    </row>
    <row r="223" spans="1:10" hidden="1" x14ac:dyDescent="0.3">
      <c r="A223" s="100" t="s">
        <v>392</v>
      </c>
      <c r="B223" s="101" t="s">
        <v>6</v>
      </c>
      <c r="C223" s="101" t="s">
        <v>1301</v>
      </c>
      <c r="D223" s="101" t="s">
        <v>1302</v>
      </c>
      <c r="E223" s="102">
        <v>45741</v>
      </c>
      <c r="F223" s="101" t="s">
        <v>842</v>
      </c>
      <c r="G223" s="101" t="s">
        <v>843</v>
      </c>
      <c r="H223" s="103">
        <v>25200</v>
      </c>
      <c r="I223" s="133">
        <v>0.189</v>
      </c>
      <c r="J223" s="104" t="s">
        <v>832</v>
      </c>
    </row>
    <row r="224" spans="1:10" hidden="1" x14ac:dyDescent="0.3">
      <c r="A224" s="100" t="s">
        <v>390</v>
      </c>
      <c r="B224" s="101" t="s">
        <v>6</v>
      </c>
      <c r="C224" s="101" t="s">
        <v>1303</v>
      </c>
      <c r="D224" s="101" t="s">
        <v>1304</v>
      </c>
      <c r="E224" s="102">
        <v>45741</v>
      </c>
      <c r="F224" s="101" t="s">
        <v>376</v>
      </c>
      <c r="G224" s="101" t="s">
        <v>14</v>
      </c>
      <c r="H224" s="103">
        <v>18450</v>
      </c>
      <c r="I224" s="133">
        <v>0.505</v>
      </c>
      <c r="J224" s="104" t="s">
        <v>832</v>
      </c>
    </row>
    <row r="225" spans="1:10" hidden="1" x14ac:dyDescent="0.3">
      <c r="A225" s="100" t="s">
        <v>390</v>
      </c>
      <c r="B225" s="101" t="s">
        <v>6</v>
      </c>
      <c r="C225" s="101" t="s">
        <v>1305</v>
      </c>
      <c r="D225" s="101" t="s">
        <v>1306</v>
      </c>
      <c r="E225" s="102">
        <v>45741</v>
      </c>
      <c r="F225" s="101" t="s">
        <v>372</v>
      </c>
      <c r="G225" s="101" t="s">
        <v>10</v>
      </c>
      <c r="H225" s="103">
        <v>97364.79</v>
      </c>
      <c r="I225" s="133">
        <v>0.224</v>
      </c>
      <c r="J225" s="104" t="s">
        <v>833</v>
      </c>
    </row>
    <row r="226" spans="1:10" hidden="1" x14ac:dyDescent="0.3">
      <c r="A226" s="100" t="s">
        <v>390</v>
      </c>
      <c r="B226" s="101" t="s">
        <v>6</v>
      </c>
      <c r="C226" s="101" t="s">
        <v>1307</v>
      </c>
      <c r="D226" s="101" t="s">
        <v>1308</v>
      </c>
      <c r="E226" s="102">
        <v>45742</v>
      </c>
      <c r="F226" s="101" t="s">
        <v>372</v>
      </c>
      <c r="G226" s="101" t="s">
        <v>10</v>
      </c>
      <c r="H226" s="103">
        <v>10967.64</v>
      </c>
      <c r="I226" s="133">
        <v>0.34699999999999998</v>
      </c>
      <c r="J226" s="104" t="s">
        <v>833</v>
      </c>
    </row>
    <row r="227" spans="1:10" hidden="1" x14ac:dyDescent="0.3">
      <c r="A227" s="100" t="s">
        <v>392</v>
      </c>
      <c r="B227" s="101" t="s">
        <v>6</v>
      </c>
      <c r="C227" s="101" t="s">
        <v>1309</v>
      </c>
      <c r="D227" s="101" t="s">
        <v>1310</v>
      </c>
      <c r="E227" s="102">
        <v>45742</v>
      </c>
      <c r="F227" s="101" t="s">
        <v>370</v>
      </c>
      <c r="G227" s="101" t="s">
        <v>1184</v>
      </c>
      <c r="H227" s="103">
        <v>4070.24</v>
      </c>
      <c r="I227" s="133">
        <v>0.53700000000000003</v>
      </c>
      <c r="J227" s="104" t="s">
        <v>830</v>
      </c>
    </row>
    <row r="228" spans="1:10" hidden="1" x14ac:dyDescent="0.3">
      <c r="A228" s="100" t="s">
        <v>390</v>
      </c>
      <c r="B228" s="101" t="s">
        <v>6</v>
      </c>
      <c r="C228" s="101" t="s">
        <v>1311</v>
      </c>
      <c r="D228" s="101" t="s">
        <v>1312</v>
      </c>
      <c r="E228" s="102">
        <v>45743</v>
      </c>
      <c r="F228" s="101" t="s">
        <v>372</v>
      </c>
      <c r="G228" s="101" t="s">
        <v>10</v>
      </c>
      <c r="H228" s="103">
        <v>107388.35</v>
      </c>
      <c r="I228" s="133">
        <v>0.27900000000000003</v>
      </c>
      <c r="J228" s="104" t="s">
        <v>833</v>
      </c>
    </row>
    <row r="229" spans="1:10" hidden="1" x14ac:dyDescent="0.3">
      <c r="A229" s="100" t="s">
        <v>390</v>
      </c>
      <c r="B229" s="101" t="s">
        <v>6</v>
      </c>
      <c r="C229" s="101" t="s">
        <v>1313</v>
      </c>
      <c r="D229" s="101" t="s">
        <v>1314</v>
      </c>
      <c r="E229" s="102">
        <v>45743</v>
      </c>
      <c r="F229" s="101" t="s">
        <v>372</v>
      </c>
      <c r="G229" s="101" t="s">
        <v>10</v>
      </c>
      <c r="H229" s="103">
        <v>3540</v>
      </c>
      <c r="I229" s="133">
        <v>0.25900000000000001</v>
      </c>
      <c r="J229" s="104" t="s">
        <v>833</v>
      </c>
    </row>
    <row r="230" spans="1:10" hidden="1" x14ac:dyDescent="0.3">
      <c r="A230" s="100" t="s">
        <v>390</v>
      </c>
      <c r="B230" s="101" t="s">
        <v>6</v>
      </c>
      <c r="C230" s="101" t="s">
        <v>1315</v>
      </c>
      <c r="D230" s="101" t="s">
        <v>1316</v>
      </c>
      <c r="E230" s="102">
        <v>45743</v>
      </c>
      <c r="F230" s="101" t="s">
        <v>372</v>
      </c>
      <c r="G230" s="101" t="s">
        <v>10</v>
      </c>
      <c r="H230" s="103">
        <v>3540</v>
      </c>
      <c r="I230" s="133">
        <v>0.25900000000000001</v>
      </c>
      <c r="J230" s="104" t="s">
        <v>833</v>
      </c>
    </row>
    <row r="231" spans="1:10" hidden="1" x14ac:dyDescent="0.3">
      <c r="A231" s="100" t="s">
        <v>392</v>
      </c>
      <c r="B231" s="101" t="s">
        <v>6</v>
      </c>
      <c r="C231" s="101" t="s">
        <v>1317</v>
      </c>
      <c r="D231" s="101" t="s">
        <v>1318</v>
      </c>
      <c r="E231" s="102">
        <v>45743</v>
      </c>
      <c r="F231" s="101" t="s">
        <v>370</v>
      </c>
      <c r="G231" s="101" t="s">
        <v>1184</v>
      </c>
      <c r="H231" s="103">
        <v>11976.9</v>
      </c>
      <c r="I231" s="133">
        <v>0.70399999999999996</v>
      </c>
      <c r="J231" s="104" t="s">
        <v>830</v>
      </c>
    </row>
    <row r="232" spans="1:10" hidden="1" x14ac:dyDescent="0.3">
      <c r="A232" s="100" t="s">
        <v>392</v>
      </c>
      <c r="B232" s="101" t="s">
        <v>6</v>
      </c>
      <c r="C232" s="101" t="s">
        <v>1319</v>
      </c>
      <c r="D232" s="101" t="s">
        <v>1320</v>
      </c>
      <c r="E232" s="102">
        <v>45743</v>
      </c>
      <c r="F232" s="101" t="s">
        <v>370</v>
      </c>
      <c r="G232" s="101" t="s">
        <v>1184</v>
      </c>
      <c r="H232" s="103">
        <v>7961.06</v>
      </c>
      <c r="I232" s="133">
        <v>0.70499999999999996</v>
      </c>
      <c r="J232" s="104" t="s">
        <v>830</v>
      </c>
    </row>
    <row r="233" spans="1:10" hidden="1" x14ac:dyDescent="0.3">
      <c r="A233" s="100" t="s">
        <v>392</v>
      </c>
      <c r="B233" s="101" t="s">
        <v>6</v>
      </c>
      <c r="C233" s="101" t="s">
        <v>1321</v>
      </c>
      <c r="D233" s="101" t="s">
        <v>1322</v>
      </c>
      <c r="E233" s="102">
        <v>45743</v>
      </c>
      <c r="F233" s="101" t="s">
        <v>370</v>
      </c>
      <c r="G233" s="101" t="s">
        <v>1184</v>
      </c>
      <c r="H233" s="103">
        <v>11976.9</v>
      </c>
      <c r="I233" s="133">
        <v>0.75800000000000001</v>
      </c>
      <c r="J233" s="104" t="s">
        <v>830</v>
      </c>
    </row>
    <row r="234" spans="1:10" hidden="1" x14ac:dyDescent="0.3">
      <c r="A234" s="100" t="s">
        <v>390</v>
      </c>
      <c r="B234" s="101" t="s">
        <v>6</v>
      </c>
      <c r="C234" s="101" t="s">
        <v>1323</v>
      </c>
      <c r="D234" s="101" t="s">
        <v>1324</v>
      </c>
      <c r="E234" s="102">
        <v>45743</v>
      </c>
      <c r="F234" s="101" t="s">
        <v>1325</v>
      </c>
      <c r="G234" s="101" t="s">
        <v>1326</v>
      </c>
      <c r="H234" s="103">
        <v>13718.71</v>
      </c>
      <c r="I234" s="133">
        <v>0.44600000000000001</v>
      </c>
      <c r="J234" s="104" t="s">
        <v>832</v>
      </c>
    </row>
    <row r="235" spans="1:10" hidden="1" x14ac:dyDescent="0.3">
      <c r="A235" s="100" t="s">
        <v>392</v>
      </c>
      <c r="B235" s="101" t="s">
        <v>6</v>
      </c>
      <c r="C235" s="101" t="s">
        <v>1327</v>
      </c>
      <c r="D235" s="101" t="s">
        <v>1328</v>
      </c>
      <c r="E235" s="102">
        <v>45743</v>
      </c>
      <c r="F235" s="101" t="s">
        <v>842</v>
      </c>
      <c r="G235" s="101" t="s">
        <v>843</v>
      </c>
      <c r="H235" s="103">
        <v>22000</v>
      </c>
      <c r="I235" s="133">
        <v>0.45500000000000002</v>
      </c>
      <c r="J235" s="104" t="s">
        <v>832</v>
      </c>
    </row>
    <row r="236" spans="1:10" hidden="1" x14ac:dyDescent="0.3">
      <c r="A236" s="100" t="s">
        <v>392</v>
      </c>
      <c r="B236" s="101" t="s">
        <v>6</v>
      </c>
      <c r="C236" s="101" t="s">
        <v>1329</v>
      </c>
      <c r="D236" s="101" t="s">
        <v>1330</v>
      </c>
      <c r="E236" s="102">
        <v>45743</v>
      </c>
      <c r="F236" s="101" t="s">
        <v>842</v>
      </c>
      <c r="G236" s="101" t="s">
        <v>843</v>
      </c>
      <c r="H236" s="103">
        <v>24940</v>
      </c>
      <c r="I236" s="133">
        <v>0.437</v>
      </c>
      <c r="J236" s="104" t="s">
        <v>832</v>
      </c>
    </row>
    <row r="237" spans="1:10" hidden="1" x14ac:dyDescent="0.3">
      <c r="A237" s="100" t="s">
        <v>392</v>
      </c>
      <c r="B237" s="101" t="s">
        <v>6</v>
      </c>
      <c r="C237" s="101" t="s">
        <v>1331</v>
      </c>
      <c r="D237" s="101" t="s">
        <v>1332</v>
      </c>
      <c r="E237" s="102">
        <v>45743</v>
      </c>
      <c r="F237" s="101" t="s">
        <v>370</v>
      </c>
      <c r="G237" s="101" t="s">
        <v>1184</v>
      </c>
      <c r="H237" s="103">
        <v>49500</v>
      </c>
      <c r="I237" s="133">
        <v>0.45</v>
      </c>
      <c r="J237" s="104" t="s">
        <v>830</v>
      </c>
    </row>
    <row r="238" spans="1:10" hidden="1" x14ac:dyDescent="0.3">
      <c r="A238" s="100" t="s">
        <v>390</v>
      </c>
      <c r="B238" s="101" t="s">
        <v>6</v>
      </c>
      <c r="C238" s="101" t="s">
        <v>1333</v>
      </c>
      <c r="D238" s="101" t="s">
        <v>1334</v>
      </c>
      <c r="E238" s="102">
        <v>45747</v>
      </c>
      <c r="F238" s="101" t="s">
        <v>375</v>
      </c>
      <c r="G238" s="101" t="s">
        <v>62</v>
      </c>
      <c r="H238" s="103">
        <v>189073.15</v>
      </c>
      <c r="I238" s="133">
        <v>0.32500000000000001</v>
      </c>
      <c r="J238" s="104" t="s">
        <v>831</v>
      </c>
    </row>
    <row r="239" spans="1:10" hidden="1" x14ac:dyDescent="0.3">
      <c r="A239" s="100" t="s">
        <v>390</v>
      </c>
      <c r="B239" s="101" t="s">
        <v>6</v>
      </c>
      <c r="C239" s="101" t="s">
        <v>1335</v>
      </c>
      <c r="D239" s="101" t="s">
        <v>1336</v>
      </c>
      <c r="E239" s="102">
        <v>45747</v>
      </c>
      <c r="F239" s="101" t="s">
        <v>375</v>
      </c>
      <c r="G239" s="101" t="s">
        <v>62</v>
      </c>
      <c r="H239" s="103">
        <v>91048.37</v>
      </c>
      <c r="I239" s="133">
        <v>0.29199999999999998</v>
      </c>
      <c r="J239" s="104" t="s">
        <v>831</v>
      </c>
    </row>
    <row r="240" spans="1:10" hidden="1" x14ac:dyDescent="0.3">
      <c r="A240" s="100" t="s">
        <v>390</v>
      </c>
      <c r="B240" s="101" t="s">
        <v>6</v>
      </c>
      <c r="C240" s="101" t="s">
        <v>1337</v>
      </c>
      <c r="D240" s="101" t="s">
        <v>1338</v>
      </c>
      <c r="E240" s="102">
        <v>45747</v>
      </c>
      <c r="F240" s="101" t="s">
        <v>619</v>
      </c>
      <c r="G240" s="101" t="s">
        <v>16</v>
      </c>
      <c r="H240" s="103">
        <v>19500</v>
      </c>
      <c r="I240" s="133">
        <v>0.55600000000000005</v>
      </c>
      <c r="J240" s="104" t="s">
        <v>833</v>
      </c>
    </row>
    <row r="241" spans="1:10" hidden="1" x14ac:dyDescent="0.3">
      <c r="A241" s="100" t="s">
        <v>390</v>
      </c>
      <c r="B241" s="101" t="s">
        <v>6</v>
      </c>
      <c r="C241" s="101" t="s">
        <v>1339</v>
      </c>
      <c r="D241" s="101" t="s">
        <v>1340</v>
      </c>
      <c r="E241" s="102">
        <v>45747</v>
      </c>
      <c r="F241" s="101" t="s">
        <v>370</v>
      </c>
      <c r="G241" s="101" t="s">
        <v>1184</v>
      </c>
      <c r="H241" s="103">
        <v>11800</v>
      </c>
      <c r="I241" s="133">
        <v>0.51800000000000002</v>
      </c>
      <c r="J241" s="104" t="s">
        <v>830</v>
      </c>
    </row>
    <row r="242" spans="1:10" hidden="1" x14ac:dyDescent="0.3">
      <c r="A242" s="100" t="s">
        <v>390</v>
      </c>
      <c r="B242" s="101" t="s">
        <v>6</v>
      </c>
      <c r="C242" s="101" t="s">
        <v>1341</v>
      </c>
      <c r="D242" s="101" t="s">
        <v>1342</v>
      </c>
      <c r="E242" s="102">
        <v>45747</v>
      </c>
      <c r="F242" s="101" t="s">
        <v>375</v>
      </c>
      <c r="G242" s="101" t="s">
        <v>62</v>
      </c>
      <c r="H242" s="103">
        <v>1597.5</v>
      </c>
      <c r="I242" s="133">
        <v>0.254</v>
      </c>
      <c r="J242" s="104" t="s">
        <v>831</v>
      </c>
    </row>
    <row r="243" spans="1:10" hidden="1" x14ac:dyDescent="0.3">
      <c r="A243" s="100" t="s">
        <v>390</v>
      </c>
      <c r="B243" s="101" t="s">
        <v>6</v>
      </c>
      <c r="C243" s="101" t="s">
        <v>1343</v>
      </c>
      <c r="D243" s="101" t="s">
        <v>1342</v>
      </c>
      <c r="E243" s="102">
        <v>45747</v>
      </c>
      <c r="F243" s="101" t="s">
        <v>375</v>
      </c>
      <c r="G243" s="101" t="s">
        <v>62</v>
      </c>
      <c r="H243" s="103">
        <v>110783.16</v>
      </c>
      <c r="I243" s="133">
        <v>0.254</v>
      </c>
      <c r="J243" s="104" t="s">
        <v>831</v>
      </c>
    </row>
    <row r="244" spans="1:10" hidden="1" x14ac:dyDescent="0.3">
      <c r="A244" s="100" t="s">
        <v>390</v>
      </c>
      <c r="B244" s="101" t="s">
        <v>6</v>
      </c>
      <c r="C244" s="101" t="s">
        <v>1344</v>
      </c>
      <c r="D244" s="101" t="s">
        <v>1345</v>
      </c>
      <c r="E244" s="102">
        <v>45747</v>
      </c>
      <c r="F244" s="101" t="s">
        <v>375</v>
      </c>
      <c r="G244" s="101" t="s">
        <v>62</v>
      </c>
      <c r="H244" s="103">
        <v>29420</v>
      </c>
      <c r="I244" s="133">
        <v>0.35299999999999998</v>
      </c>
      <c r="J244" s="104" t="s">
        <v>831</v>
      </c>
    </row>
    <row r="245" spans="1:10" hidden="1" x14ac:dyDescent="0.3">
      <c r="A245" s="100" t="s">
        <v>390</v>
      </c>
      <c r="B245" s="101" t="s">
        <v>6</v>
      </c>
      <c r="C245" s="101" t="s">
        <v>1346</v>
      </c>
      <c r="D245" s="101" t="s">
        <v>1156</v>
      </c>
      <c r="E245" s="102">
        <v>45747</v>
      </c>
      <c r="F245" s="101" t="s">
        <v>375</v>
      </c>
      <c r="G245" s="101" t="s">
        <v>62</v>
      </c>
      <c r="H245" s="103">
        <v>1585.61</v>
      </c>
      <c r="I245" s="133">
        <v>0.253</v>
      </c>
      <c r="J245" s="104" t="s">
        <v>831</v>
      </c>
    </row>
    <row r="246" spans="1:10" hidden="1" x14ac:dyDescent="0.3">
      <c r="A246" s="100" t="s">
        <v>390</v>
      </c>
      <c r="B246" s="101" t="s">
        <v>6</v>
      </c>
      <c r="C246" s="101" t="s">
        <v>1347</v>
      </c>
      <c r="D246" s="101" t="s">
        <v>1348</v>
      </c>
      <c r="E246" s="102">
        <v>45747</v>
      </c>
      <c r="F246" s="101" t="s">
        <v>375</v>
      </c>
      <c r="G246" s="101" t="s">
        <v>62</v>
      </c>
      <c r="H246" s="103">
        <v>44681.77</v>
      </c>
      <c r="I246" s="133">
        <v>0.25700000000000001</v>
      </c>
      <c r="J246" s="104" t="s">
        <v>831</v>
      </c>
    </row>
    <row r="247" spans="1:10" hidden="1" x14ac:dyDescent="0.3">
      <c r="A247" s="100" t="s">
        <v>390</v>
      </c>
      <c r="B247" s="101" t="s">
        <v>6</v>
      </c>
      <c r="C247" s="101" t="s">
        <v>1349</v>
      </c>
      <c r="D247" s="101" t="s">
        <v>1350</v>
      </c>
      <c r="E247" s="102">
        <v>45747</v>
      </c>
      <c r="F247" s="101" t="s">
        <v>375</v>
      </c>
      <c r="G247" s="101" t="s">
        <v>62</v>
      </c>
      <c r="H247" s="103">
        <v>45270.42</v>
      </c>
      <c r="I247" s="133">
        <v>0.25900000000000001</v>
      </c>
      <c r="J247" s="104" t="s">
        <v>831</v>
      </c>
    </row>
    <row r="248" spans="1:10" hidden="1" x14ac:dyDescent="0.3">
      <c r="A248" s="100" t="s">
        <v>390</v>
      </c>
      <c r="B248" s="101" t="s">
        <v>6</v>
      </c>
      <c r="C248" s="101" t="s">
        <v>1351</v>
      </c>
      <c r="D248" s="101" t="s">
        <v>1352</v>
      </c>
      <c r="E248" s="102">
        <v>45747</v>
      </c>
      <c r="F248" s="101" t="s">
        <v>375</v>
      </c>
      <c r="G248" s="101" t="s">
        <v>62</v>
      </c>
      <c r="H248" s="103">
        <v>94014.5</v>
      </c>
      <c r="I248" s="133">
        <v>0.27600000000000002</v>
      </c>
      <c r="J248" s="104" t="s">
        <v>831</v>
      </c>
    </row>
    <row r="249" spans="1:10" hidden="1" x14ac:dyDescent="0.3">
      <c r="A249" s="100" t="s">
        <v>392</v>
      </c>
      <c r="B249" s="101" t="s">
        <v>6</v>
      </c>
      <c r="C249" s="101" t="s">
        <v>1353</v>
      </c>
      <c r="D249" s="101" t="s">
        <v>1354</v>
      </c>
      <c r="E249" s="102">
        <v>45747</v>
      </c>
      <c r="F249" s="101" t="s">
        <v>370</v>
      </c>
      <c r="G249" s="101" t="s">
        <v>1184</v>
      </c>
      <c r="H249" s="103">
        <v>7965.24</v>
      </c>
      <c r="I249" s="133">
        <v>0.498</v>
      </c>
      <c r="J249" s="104" t="s">
        <v>830</v>
      </c>
    </row>
    <row r="250" spans="1:10" hidden="1" x14ac:dyDescent="0.3">
      <c r="A250" s="100" t="s">
        <v>392</v>
      </c>
      <c r="B250" s="101" t="s">
        <v>6</v>
      </c>
      <c r="C250" s="101" t="s">
        <v>1355</v>
      </c>
      <c r="D250" s="101" t="s">
        <v>1356</v>
      </c>
      <c r="E250" s="102">
        <v>45747</v>
      </c>
      <c r="F250" s="101" t="s">
        <v>370</v>
      </c>
      <c r="G250" s="101" t="s">
        <v>1184</v>
      </c>
      <c r="H250" s="103">
        <v>13928.89</v>
      </c>
      <c r="I250" s="133">
        <v>0.46899999999999997</v>
      </c>
      <c r="J250" s="104" t="s">
        <v>830</v>
      </c>
    </row>
    <row r="251" spans="1:10" hidden="1" x14ac:dyDescent="0.3">
      <c r="A251" s="100" t="s">
        <v>392</v>
      </c>
      <c r="B251" s="101" t="s">
        <v>6</v>
      </c>
      <c r="C251" s="101" t="s">
        <v>1357</v>
      </c>
      <c r="D251" s="101" t="s">
        <v>1358</v>
      </c>
      <c r="E251" s="102">
        <v>45747</v>
      </c>
      <c r="F251" s="101" t="s">
        <v>370</v>
      </c>
      <c r="G251" s="101" t="s">
        <v>1184</v>
      </c>
      <c r="H251" s="103">
        <v>6964.45</v>
      </c>
      <c r="I251" s="133">
        <v>0.48299999999999998</v>
      </c>
      <c r="J251" s="104" t="s">
        <v>830</v>
      </c>
    </row>
    <row r="252" spans="1:10" hidden="1" x14ac:dyDescent="0.3">
      <c r="A252" s="100" t="s">
        <v>392</v>
      </c>
      <c r="B252" s="101" t="s">
        <v>6</v>
      </c>
      <c r="C252" s="101" t="s">
        <v>1359</v>
      </c>
      <c r="D252" s="101" t="s">
        <v>1360</v>
      </c>
      <c r="E252" s="102">
        <v>45747</v>
      </c>
      <c r="F252" s="101" t="s">
        <v>370</v>
      </c>
      <c r="G252" s="101" t="s">
        <v>1184</v>
      </c>
      <c r="H252" s="103">
        <v>28084.76</v>
      </c>
      <c r="I252" s="133">
        <v>0.76900000000000002</v>
      </c>
      <c r="J252" s="104" t="s">
        <v>830</v>
      </c>
    </row>
    <row r="253" spans="1:10" hidden="1" x14ac:dyDescent="0.3">
      <c r="A253" s="100" t="s">
        <v>390</v>
      </c>
      <c r="B253" s="101" t="s">
        <v>6</v>
      </c>
      <c r="C253" s="101" t="s">
        <v>1361</v>
      </c>
      <c r="D253" s="101" t="s">
        <v>1362</v>
      </c>
      <c r="E253" s="102">
        <v>45747</v>
      </c>
      <c r="F253" s="101" t="s">
        <v>375</v>
      </c>
      <c r="G253" s="101" t="s">
        <v>62</v>
      </c>
      <c r="H253" s="103">
        <v>103002.37</v>
      </c>
      <c r="I253" s="133">
        <v>0.51600000000000001</v>
      </c>
      <c r="J253" s="104" t="s">
        <v>831</v>
      </c>
    </row>
    <row r="254" spans="1:10" hidden="1" x14ac:dyDescent="0.3">
      <c r="A254" s="100" t="s">
        <v>392</v>
      </c>
      <c r="B254" s="101" t="s">
        <v>6</v>
      </c>
      <c r="C254" s="101" t="s">
        <v>1363</v>
      </c>
      <c r="D254" s="101" t="s">
        <v>1364</v>
      </c>
      <c r="E254" s="102">
        <v>45747</v>
      </c>
      <c r="F254" s="101" t="s">
        <v>842</v>
      </c>
      <c r="G254" s="101" t="s">
        <v>843</v>
      </c>
      <c r="H254" s="103">
        <v>22000</v>
      </c>
      <c r="I254" s="133">
        <v>0.45100000000000001</v>
      </c>
      <c r="J254" s="104" t="s">
        <v>832</v>
      </c>
    </row>
    <row r="255" spans="1:10" hidden="1" x14ac:dyDescent="0.3">
      <c r="A255" s="100" t="s">
        <v>392</v>
      </c>
      <c r="B255" s="101" t="s">
        <v>6</v>
      </c>
      <c r="C255" s="101" t="s">
        <v>1365</v>
      </c>
      <c r="D255" s="101" t="s">
        <v>1366</v>
      </c>
      <c r="E255" s="102">
        <v>45747</v>
      </c>
      <c r="F255" s="101" t="s">
        <v>844</v>
      </c>
      <c r="G255" s="101" t="s">
        <v>863</v>
      </c>
      <c r="H255" s="103">
        <v>10315</v>
      </c>
      <c r="I255" s="133">
        <v>0.25800000000000001</v>
      </c>
      <c r="J255" s="104" t="s">
        <v>848</v>
      </c>
    </row>
    <row r="256" spans="1:10" hidden="1" x14ac:dyDescent="0.3">
      <c r="A256" s="100" t="s">
        <v>392</v>
      </c>
      <c r="B256" s="101" t="s">
        <v>6</v>
      </c>
      <c r="C256" s="101" t="s">
        <v>1367</v>
      </c>
      <c r="D256" s="101" t="s">
        <v>1368</v>
      </c>
      <c r="E256" s="102">
        <v>45747</v>
      </c>
      <c r="F256" s="101" t="s">
        <v>844</v>
      </c>
      <c r="G256" s="101" t="s">
        <v>863</v>
      </c>
      <c r="H256" s="103">
        <v>21000</v>
      </c>
      <c r="I256" s="133">
        <v>0.33100000000000002</v>
      </c>
      <c r="J256" s="104" t="s">
        <v>848</v>
      </c>
    </row>
    <row r="257" spans="1:11" hidden="1" x14ac:dyDescent="0.3">
      <c r="A257" s="100" t="s">
        <v>390</v>
      </c>
      <c r="B257" s="101" t="s">
        <v>6</v>
      </c>
      <c r="C257" s="101" t="s">
        <v>1369</v>
      </c>
      <c r="D257" s="101" t="s">
        <v>1370</v>
      </c>
      <c r="E257" s="102">
        <v>45720</v>
      </c>
      <c r="F257" s="101" t="s">
        <v>1175</v>
      </c>
      <c r="G257" s="101" t="s">
        <v>852</v>
      </c>
      <c r="H257" s="103">
        <v>2022.8967</v>
      </c>
      <c r="I257" s="133">
        <v>0.751</v>
      </c>
      <c r="J257" s="104" t="s">
        <v>831</v>
      </c>
    </row>
    <row r="258" spans="1:11" hidden="1" x14ac:dyDescent="0.3">
      <c r="A258" s="100" t="s">
        <v>390</v>
      </c>
      <c r="B258" s="101" t="s">
        <v>6</v>
      </c>
      <c r="C258" s="101" t="s">
        <v>1371</v>
      </c>
      <c r="D258" s="101" t="s">
        <v>1370</v>
      </c>
      <c r="E258" s="102">
        <v>45720</v>
      </c>
      <c r="F258" s="101" t="s">
        <v>1175</v>
      </c>
      <c r="G258" s="101" t="s">
        <v>852</v>
      </c>
      <c r="H258" s="103">
        <v>4495.326</v>
      </c>
      <c r="I258" s="133">
        <v>0.751</v>
      </c>
      <c r="J258" s="104" t="s">
        <v>831</v>
      </c>
    </row>
    <row r="259" spans="1:11" hidden="1" x14ac:dyDescent="0.3">
      <c r="A259" s="100" t="s">
        <v>390</v>
      </c>
      <c r="B259" s="101" t="s">
        <v>6</v>
      </c>
      <c r="C259" s="101" t="s">
        <v>1372</v>
      </c>
      <c r="D259" s="101" t="s">
        <v>1373</v>
      </c>
      <c r="E259" s="102">
        <v>45723</v>
      </c>
      <c r="F259" s="101" t="s">
        <v>372</v>
      </c>
      <c r="G259" s="101" t="s">
        <v>10</v>
      </c>
      <c r="H259" s="103">
        <v>87065.369394999987</v>
      </c>
      <c r="I259" s="133">
        <v>0.27600000000000002</v>
      </c>
      <c r="J259" s="104" t="s">
        <v>833</v>
      </c>
    </row>
    <row r="260" spans="1:11" hidden="1" x14ac:dyDescent="0.3">
      <c r="A260" s="100" t="s">
        <v>392</v>
      </c>
      <c r="B260" s="101" t="s">
        <v>6</v>
      </c>
      <c r="C260" s="101" t="s">
        <v>1374</v>
      </c>
      <c r="D260" s="101" t="s">
        <v>1375</v>
      </c>
      <c r="E260" s="102">
        <v>45730</v>
      </c>
      <c r="F260" s="101" t="s">
        <v>844</v>
      </c>
      <c r="G260" s="101" t="s">
        <v>863</v>
      </c>
      <c r="H260" s="103">
        <v>123019.40000000001</v>
      </c>
      <c r="I260" s="133">
        <v>0.192</v>
      </c>
      <c r="J260" s="104" t="s">
        <v>831</v>
      </c>
    </row>
    <row r="261" spans="1:11" hidden="1" x14ac:dyDescent="0.3">
      <c r="A261" s="100" t="s">
        <v>390</v>
      </c>
      <c r="B261" s="101" t="s">
        <v>6</v>
      </c>
      <c r="C261" s="101" t="s">
        <v>1376</v>
      </c>
      <c r="D261" s="101" t="s">
        <v>1370</v>
      </c>
      <c r="E261" s="102">
        <v>45735</v>
      </c>
      <c r="F261" s="101" t="s">
        <v>1174</v>
      </c>
      <c r="G261" s="101" t="s">
        <v>857</v>
      </c>
      <c r="H261" s="103">
        <v>1498.8375000000001</v>
      </c>
      <c r="I261" s="133">
        <v>0.751</v>
      </c>
      <c r="J261" s="104" t="s">
        <v>831</v>
      </c>
    </row>
    <row r="262" spans="1:11" hidden="1" x14ac:dyDescent="0.3">
      <c r="A262" s="100" t="s">
        <v>390</v>
      </c>
      <c r="B262" s="101" t="s">
        <v>6</v>
      </c>
      <c r="C262" s="101" t="s">
        <v>1377</v>
      </c>
      <c r="D262" s="101" t="s">
        <v>1378</v>
      </c>
      <c r="E262" s="102">
        <v>45736</v>
      </c>
      <c r="F262" s="101" t="s">
        <v>1007</v>
      </c>
      <c r="G262" s="101" t="s">
        <v>865</v>
      </c>
      <c r="H262" s="103">
        <v>82427.282999999996</v>
      </c>
      <c r="I262" s="133">
        <v>0.33</v>
      </c>
      <c r="J262" s="104" t="s">
        <v>831</v>
      </c>
      <c r="K262" s="44" t="s">
        <v>1542</v>
      </c>
    </row>
    <row r="263" spans="1:11" hidden="1" x14ac:dyDescent="0.3">
      <c r="A263" s="100" t="s">
        <v>392</v>
      </c>
      <c r="B263" s="101" t="s">
        <v>6</v>
      </c>
      <c r="C263" s="101" t="s">
        <v>1379</v>
      </c>
      <c r="D263" s="101" t="s">
        <v>1253</v>
      </c>
      <c r="E263" s="102">
        <v>45737</v>
      </c>
      <c r="F263" s="101" t="s">
        <v>372</v>
      </c>
      <c r="G263" s="101" t="s">
        <v>10</v>
      </c>
      <c r="H263" s="103">
        <v>24066.36</v>
      </c>
      <c r="I263" s="133">
        <v>0.41</v>
      </c>
      <c r="J263" s="104" t="s">
        <v>848</v>
      </c>
    </row>
    <row r="264" spans="1:11" hidden="1" x14ac:dyDescent="0.3">
      <c r="A264" s="100" t="s">
        <v>390</v>
      </c>
      <c r="B264" s="101" t="s">
        <v>6</v>
      </c>
      <c r="C264" s="101" t="s">
        <v>1380</v>
      </c>
      <c r="D264" s="101" t="s">
        <v>1381</v>
      </c>
      <c r="E264" s="102">
        <v>45741</v>
      </c>
      <c r="F264" s="101" t="s">
        <v>1175</v>
      </c>
      <c r="G264" s="101" t="s">
        <v>852</v>
      </c>
      <c r="H264" s="103">
        <v>2514.0375000000004</v>
      </c>
      <c r="I264" s="133">
        <v>0.65100000000000002</v>
      </c>
      <c r="J264" s="104" t="s">
        <v>831</v>
      </c>
    </row>
    <row r="265" spans="1:11" hidden="1" x14ac:dyDescent="0.3">
      <c r="A265" s="100" t="s">
        <v>390</v>
      </c>
      <c r="B265" s="101" t="s">
        <v>6</v>
      </c>
      <c r="C265" s="101" t="s">
        <v>1382</v>
      </c>
      <c r="D265" s="101" t="s">
        <v>1381</v>
      </c>
      <c r="E265" s="102">
        <v>45741</v>
      </c>
      <c r="F265" s="101" t="s">
        <v>1175</v>
      </c>
      <c r="G265" s="101" t="s">
        <v>852</v>
      </c>
      <c r="H265" s="103">
        <v>4927.5135</v>
      </c>
      <c r="I265" s="133">
        <v>0.65100000000000002</v>
      </c>
      <c r="J265" s="104" t="s">
        <v>831</v>
      </c>
    </row>
    <row r="266" spans="1:11" hidden="1" x14ac:dyDescent="0.3">
      <c r="A266" s="100" t="s">
        <v>390</v>
      </c>
      <c r="B266" s="101" t="s">
        <v>6</v>
      </c>
      <c r="C266" s="101" t="s">
        <v>1383</v>
      </c>
      <c r="D266" s="101" t="s">
        <v>1381</v>
      </c>
      <c r="E266" s="102">
        <v>45744</v>
      </c>
      <c r="F266" s="101" t="s">
        <v>1174</v>
      </c>
      <c r="G266" s="101" t="s">
        <v>857</v>
      </c>
      <c r="H266" s="103">
        <v>1523.865</v>
      </c>
      <c r="I266" s="133">
        <v>0.65100000000000002</v>
      </c>
      <c r="J266" s="104" t="s">
        <v>831</v>
      </c>
    </row>
    <row r="267" spans="1:11" hidden="1" x14ac:dyDescent="0.3">
      <c r="A267" s="100" t="s">
        <v>390</v>
      </c>
      <c r="B267" s="101" t="s">
        <v>6</v>
      </c>
      <c r="C267" s="101" t="s">
        <v>1384</v>
      </c>
      <c r="D267" s="101" t="s">
        <v>1172</v>
      </c>
      <c r="E267" s="102">
        <v>45744</v>
      </c>
      <c r="F267" s="101" t="s">
        <v>1174</v>
      </c>
      <c r="G267" s="101" t="s">
        <v>857</v>
      </c>
      <c r="H267" s="103">
        <v>1523.865</v>
      </c>
      <c r="I267" s="133">
        <v>0.65600000000000003</v>
      </c>
      <c r="J267" s="104" t="s">
        <v>831</v>
      </c>
    </row>
    <row r="268" spans="1:11" hidden="1" x14ac:dyDescent="0.3">
      <c r="A268" s="100" t="s">
        <v>392</v>
      </c>
      <c r="B268" s="101" t="s">
        <v>6</v>
      </c>
      <c r="C268" s="101" t="s">
        <v>1385</v>
      </c>
      <c r="D268" s="101" t="s">
        <v>1386</v>
      </c>
      <c r="E268" s="102">
        <v>45747</v>
      </c>
      <c r="F268" s="101" t="s">
        <v>844</v>
      </c>
      <c r="G268" s="101" t="s">
        <v>863</v>
      </c>
      <c r="H268" s="103">
        <v>122401.8</v>
      </c>
      <c r="I268" s="133">
        <v>0.19600000000000001</v>
      </c>
      <c r="J268" s="104" t="s">
        <v>848</v>
      </c>
    </row>
    <row r="269" spans="1:11" hidden="1" x14ac:dyDescent="0.3">
      <c r="A269" s="100" t="s">
        <v>390</v>
      </c>
      <c r="B269" s="101" t="s">
        <v>6</v>
      </c>
      <c r="C269" s="101" t="s">
        <v>1387</v>
      </c>
      <c r="D269" s="101" t="s">
        <v>1016</v>
      </c>
      <c r="E269" s="102">
        <v>45747</v>
      </c>
      <c r="F269" s="101" t="s">
        <v>1017</v>
      </c>
      <c r="G269" s="101" t="s">
        <v>862</v>
      </c>
      <c r="H269" s="103">
        <v>171906.80000400002</v>
      </c>
      <c r="I269" s="133">
        <v>-0.36399999999999999</v>
      </c>
      <c r="J269" s="104" t="s">
        <v>1018</v>
      </c>
    </row>
    <row r="270" spans="1:11" hidden="1" x14ac:dyDescent="0.3">
      <c r="A270" s="100" t="s">
        <v>390</v>
      </c>
      <c r="B270" s="101" t="s">
        <v>7</v>
      </c>
      <c r="C270" s="101" t="s">
        <v>1388</v>
      </c>
      <c r="D270" s="101" t="s">
        <v>1373</v>
      </c>
      <c r="E270" s="102">
        <v>45751</v>
      </c>
      <c r="F270" s="101" t="s">
        <v>372</v>
      </c>
      <c r="G270" s="101" t="s">
        <v>10</v>
      </c>
      <c r="H270" s="103">
        <v>97127.13</v>
      </c>
      <c r="I270" s="133">
        <v>0.27600000000000002</v>
      </c>
      <c r="J270" s="104" t="s">
        <v>833</v>
      </c>
      <c r="K270" s="104" t="s">
        <v>1542</v>
      </c>
    </row>
    <row r="271" spans="1:11" hidden="1" x14ac:dyDescent="0.3">
      <c r="A271" s="100" t="s">
        <v>392</v>
      </c>
      <c r="B271" s="101" t="s">
        <v>7</v>
      </c>
      <c r="C271" s="101" t="s">
        <v>1389</v>
      </c>
      <c r="D271" s="101" t="s">
        <v>1390</v>
      </c>
      <c r="E271" s="102">
        <v>45751</v>
      </c>
      <c r="F271" s="101" t="s">
        <v>370</v>
      </c>
      <c r="G271" s="101" t="s">
        <v>1184</v>
      </c>
      <c r="H271" s="103">
        <v>8013.64</v>
      </c>
      <c r="I271" s="133">
        <v>0.501</v>
      </c>
      <c r="J271" s="104" t="s">
        <v>830</v>
      </c>
      <c r="K271" s="104" t="s">
        <v>1540</v>
      </c>
    </row>
    <row r="272" spans="1:11" hidden="1" x14ac:dyDescent="0.3">
      <c r="A272" s="100" t="s">
        <v>392</v>
      </c>
      <c r="B272" s="101" t="s">
        <v>7</v>
      </c>
      <c r="C272" s="101" t="s">
        <v>1391</v>
      </c>
      <c r="D272" s="101" t="s">
        <v>1392</v>
      </c>
      <c r="E272" s="102">
        <v>45751</v>
      </c>
      <c r="F272" s="101" t="s">
        <v>370</v>
      </c>
      <c r="G272" s="101" t="s">
        <v>1184</v>
      </c>
      <c r="H272" s="103">
        <v>7986.91</v>
      </c>
      <c r="I272" s="133">
        <v>0.499</v>
      </c>
      <c r="J272" s="104" t="s">
        <v>830</v>
      </c>
      <c r="K272" s="104" t="s">
        <v>1540</v>
      </c>
    </row>
    <row r="273" spans="1:11" hidden="1" x14ac:dyDescent="0.3">
      <c r="A273" s="100" t="s">
        <v>390</v>
      </c>
      <c r="B273" s="101" t="s">
        <v>7</v>
      </c>
      <c r="C273" s="101" t="s">
        <v>1393</v>
      </c>
      <c r="D273" s="101" t="s">
        <v>1394</v>
      </c>
      <c r="E273" s="102">
        <v>45751</v>
      </c>
      <c r="F273" s="101" t="s">
        <v>370</v>
      </c>
      <c r="G273" s="101" t="s">
        <v>1184</v>
      </c>
      <c r="H273" s="103">
        <v>11500</v>
      </c>
      <c r="I273" s="133">
        <v>0.51100000000000001</v>
      </c>
      <c r="J273" s="104" t="s">
        <v>830</v>
      </c>
      <c r="K273" s="104" t="s">
        <v>1541</v>
      </c>
    </row>
    <row r="274" spans="1:11" hidden="1" x14ac:dyDescent="0.3">
      <c r="A274" s="100" t="s">
        <v>392</v>
      </c>
      <c r="B274" s="101" t="s">
        <v>7</v>
      </c>
      <c r="C274" s="101" t="s">
        <v>1395</v>
      </c>
      <c r="D274" s="101" t="s">
        <v>1396</v>
      </c>
      <c r="E274" s="102">
        <v>45754</v>
      </c>
      <c r="F274" s="101" t="s">
        <v>370</v>
      </c>
      <c r="G274" s="101" t="s">
        <v>1184</v>
      </c>
      <c r="H274" s="103">
        <v>4087.6</v>
      </c>
      <c r="I274" s="133">
        <v>0.56000000000000005</v>
      </c>
      <c r="J274" s="104" t="s">
        <v>830</v>
      </c>
      <c r="K274" s="104" t="s">
        <v>1540</v>
      </c>
    </row>
    <row r="275" spans="1:11" hidden="1" x14ac:dyDescent="0.3">
      <c r="A275" s="100" t="s">
        <v>390</v>
      </c>
      <c r="B275" s="101" t="s">
        <v>7</v>
      </c>
      <c r="C275" s="101" t="s">
        <v>1397</v>
      </c>
      <c r="D275" s="101" t="s">
        <v>1398</v>
      </c>
      <c r="E275" s="102">
        <v>45754</v>
      </c>
      <c r="F275" s="101" t="s">
        <v>370</v>
      </c>
      <c r="G275" s="101" t="s">
        <v>1184</v>
      </c>
      <c r="H275" s="103">
        <v>17500</v>
      </c>
      <c r="I275" s="133">
        <v>0.56499999999999995</v>
      </c>
      <c r="J275" s="104" t="s">
        <v>830</v>
      </c>
      <c r="K275" s="104" t="s">
        <v>1541</v>
      </c>
    </row>
    <row r="276" spans="1:11" hidden="1" x14ac:dyDescent="0.3">
      <c r="A276" s="100" t="s">
        <v>392</v>
      </c>
      <c r="B276" s="101" t="s">
        <v>7</v>
      </c>
      <c r="C276" s="101" t="s">
        <v>1399</v>
      </c>
      <c r="D276" s="101" t="s">
        <v>1400</v>
      </c>
      <c r="E276" s="102">
        <v>45756</v>
      </c>
      <c r="F276" s="101" t="s">
        <v>371</v>
      </c>
      <c r="G276" s="101" t="s">
        <v>864</v>
      </c>
      <c r="H276" s="103">
        <v>1200</v>
      </c>
      <c r="I276" s="133">
        <v>0.435</v>
      </c>
      <c r="J276" s="104" t="s">
        <v>848</v>
      </c>
      <c r="K276" s="104" t="s">
        <v>1540</v>
      </c>
    </row>
    <row r="277" spans="1:11" hidden="1" x14ac:dyDescent="0.3">
      <c r="A277" s="100" t="s">
        <v>392</v>
      </c>
      <c r="B277" s="101" t="s">
        <v>7</v>
      </c>
      <c r="C277" s="101" t="s">
        <v>1401</v>
      </c>
      <c r="D277" s="101" t="s">
        <v>1400</v>
      </c>
      <c r="E277" s="102">
        <v>45756</v>
      </c>
      <c r="F277" s="101" t="s">
        <v>371</v>
      </c>
      <c r="G277" s="101" t="s">
        <v>864</v>
      </c>
      <c r="H277" s="103">
        <v>15356</v>
      </c>
      <c r="I277" s="133">
        <v>0.435</v>
      </c>
      <c r="J277" s="104" t="s">
        <v>848</v>
      </c>
      <c r="K277" s="104" t="s">
        <v>1540</v>
      </c>
    </row>
    <row r="278" spans="1:11" hidden="1" x14ac:dyDescent="0.3">
      <c r="A278" s="100" t="s">
        <v>392</v>
      </c>
      <c r="B278" s="101" t="s">
        <v>7</v>
      </c>
      <c r="C278" s="101" t="s">
        <v>1402</v>
      </c>
      <c r="D278" s="101" t="s">
        <v>1403</v>
      </c>
      <c r="E278" s="102">
        <v>45756</v>
      </c>
      <c r="F278" s="101" t="s">
        <v>372</v>
      </c>
      <c r="G278" s="101" t="s">
        <v>10</v>
      </c>
      <c r="H278" s="103">
        <v>12779.53</v>
      </c>
      <c r="I278" s="133">
        <v>0.36099999999999999</v>
      </c>
      <c r="J278" s="104" t="s">
        <v>848</v>
      </c>
      <c r="K278" s="104" t="s">
        <v>1540</v>
      </c>
    </row>
    <row r="279" spans="1:11" hidden="1" x14ac:dyDescent="0.3">
      <c r="A279" s="100" t="s">
        <v>390</v>
      </c>
      <c r="B279" s="101" t="s">
        <v>7</v>
      </c>
      <c r="C279" s="101" t="s">
        <v>1404</v>
      </c>
      <c r="D279" s="101" t="s">
        <v>1405</v>
      </c>
      <c r="E279" s="102">
        <v>45756</v>
      </c>
      <c r="F279" s="101" t="s">
        <v>587</v>
      </c>
      <c r="G279" s="101" t="s">
        <v>11</v>
      </c>
      <c r="H279" s="103">
        <v>22200.240000000002</v>
      </c>
      <c r="I279" s="133">
        <v>0.36899999999999999</v>
      </c>
      <c r="J279" s="104" t="s">
        <v>833</v>
      </c>
      <c r="K279" s="104" t="s">
        <v>1541</v>
      </c>
    </row>
    <row r="280" spans="1:11" hidden="1" x14ac:dyDescent="0.3">
      <c r="A280" s="100" t="s">
        <v>390</v>
      </c>
      <c r="B280" s="101" t="s">
        <v>7</v>
      </c>
      <c r="C280" s="101" t="s">
        <v>1406</v>
      </c>
      <c r="D280" s="101" t="s">
        <v>1407</v>
      </c>
      <c r="E280" s="102">
        <v>45756</v>
      </c>
      <c r="F280" s="101" t="s">
        <v>587</v>
      </c>
      <c r="G280" s="101" t="s">
        <v>11</v>
      </c>
      <c r="H280" s="103">
        <v>16046.75</v>
      </c>
      <c r="I280" s="133">
        <v>0.41099999999999998</v>
      </c>
      <c r="J280" s="104" t="s">
        <v>833</v>
      </c>
      <c r="K280" s="104" t="s">
        <v>1541</v>
      </c>
    </row>
    <row r="281" spans="1:11" hidden="1" x14ac:dyDescent="0.3">
      <c r="A281" s="100" t="s">
        <v>392</v>
      </c>
      <c r="B281" s="101" t="s">
        <v>7</v>
      </c>
      <c r="C281" s="101" t="s">
        <v>1408</v>
      </c>
      <c r="D281" s="101" t="s">
        <v>1409</v>
      </c>
      <c r="E281" s="102">
        <v>45756</v>
      </c>
      <c r="F281" s="101" t="s">
        <v>371</v>
      </c>
      <c r="G281" s="101" t="s">
        <v>864</v>
      </c>
      <c r="H281" s="103">
        <v>15247.22</v>
      </c>
      <c r="I281" s="133">
        <v>0.67500000000000004</v>
      </c>
      <c r="J281" s="104" t="s">
        <v>848</v>
      </c>
      <c r="K281" s="104" t="s">
        <v>1540</v>
      </c>
    </row>
    <row r="282" spans="1:11" hidden="1" x14ac:dyDescent="0.3">
      <c r="A282" s="100" t="s">
        <v>390</v>
      </c>
      <c r="B282" s="101" t="s">
        <v>7</v>
      </c>
      <c r="C282" s="101" t="s">
        <v>1410</v>
      </c>
      <c r="D282" s="101" t="s">
        <v>1411</v>
      </c>
      <c r="E282" s="102">
        <v>45756</v>
      </c>
      <c r="F282" s="101" t="s">
        <v>372</v>
      </c>
      <c r="G282" s="101" t="s">
        <v>10</v>
      </c>
      <c r="H282" s="103">
        <v>11255.82</v>
      </c>
      <c r="I282" s="133">
        <v>0.36399999999999999</v>
      </c>
      <c r="J282" s="104" t="s">
        <v>833</v>
      </c>
      <c r="K282" s="104" t="s">
        <v>1541</v>
      </c>
    </row>
    <row r="283" spans="1:11" hidden="1" x14ac:dyDescent="0.3">
      <c r="A283" s="100" t="s">
        <v>392</v>
      </c>
      <c r="B283" s="101" t="s">
        <v>7</v>
      </c>
      <c r="C283" s="101" t="s">
        <v>1412</v>
      </c>
      <c r="D283" s="101" t="s">
        <v>1413</v>
      </c>
      <c r="E283" s="102">
        <v>45757</v>
      </c>
      <c r="F283" s="101" t="s">
        <v>370</v>
      </c>
      <c r="G283" s="101" t="s">
        <v>1184</v>
      </c>
      <c r="H283" s="103">
        <v>18007.61</v>
      </c>
      <c r="I283" s="133">
        <v>0.59699999999999998</v>
      </c>
      <c r="J283" s="104" t="s">
        <v>830</v>
      </c>
      <c r="K283" s="104" t="s">
        <v>1540</v>
      </c>
    </row>
    <row r="284" spans="1:11" hidden="1" x14ac:dyDescent="0.3">
      <c r="A284" s="100" t="s">
        <v>392</v>
      </c>
      <c r="B284" s="101" t="s">
        <v>7</v>
      </c>
      <c r="C284" s="101" t="s">
        <v>1414</v>
      </c>
      <c r="D284" s="101" t="s">
        <v>1415</v>
      </c>
      <c r="E284" s="102">
        <v>45757</v>
      </c>
      <c r="F284" s="101" t="s">
        <v>370</v>
      </c>
      <c r="G284" s="101" t="s">
        <v>1184</v>
      </c>
      <c r="H284" s="103">
        <v>18007.61</v>
      </c>
      <c r="I284" s="133">
        <v>0.73899999999999999</v>
      </c>
      <c r="J284" s="104" t="s">
        <v>830</v>
      </c>
      <c r="K284" s="104" t="s">
        <v>1540</v>
      </c>
    </row>
    <row r="285" spans="1:11" hidden="1" x14ac:dyDescent="0.3">
      <c r="A285" s="100" t="s">
        <v>390</v>
      </c>
      <c r="B285" s="101" t="s">
        <v>7</v>
      </c>
      <c r="C285" s="101" t="s">
        <v>1416</v>
      </c>
      <c r="D285" s="101" t="s">
        <v>1417</v>
      </c>
      <c r="E285" s="102">
        <v>45757</v>
      </c>
      <c r="F285" s="101" t="s">
        <v>372</v>
      </c>
      <c r="G285" s="101" t="s">
        <v>10</v>
      </c>
      <c r="H285" s="103">
        <v>74345.460000000006</v>
      </c>
      <c r="I285" s="133">
        <v>0.23499999999999999</v>
      </c>
      <c r="J285" s="104" t="s">
        <v>833</v>
      </c>
      <c r="K285" s="104" t="s">
        <v>1542</v>
      </c>
    </row>
    <row r="286" spans="1:11" hidden="1" x14ac:dyDescent="0.3">
      <c r="A286" s="100" t="s">
        <v>392</v>
      </c>
      <c r="B286" s="101" t="s">
        <v>7</v>
      </c>
      <c r="C286" s="101" t="s">
        <v>1418</v>
      </c>
      <c r="D286" s="101" t="s">
        <v>1419</v>
      </c>
      <c r="E286" s="102">
        <v>45757</v>
      </c>
      <c r="F286" s="101" t="s">
        <v>842</v>
      </c>
      <c r="G286" s="101" t="s">
        <v>843</v>
      </c>
      <c r="H286" s="103">
        <v>22000</v>
      </c>
      <c r="I286" s="133">
        <v>0.45500000000000002</v>
      </c>
      <c r="J286" s="104" t="s">
        <v>832</v>
      </c>
      <c r="K286" s="104" t="s">
        <v>1540</v>
      </c>
    </row>
    <row r="287" spans="1:11" hidden="1" x14ac:dyDescent="0.3">
      <c r="A287" s="100" t="s">
        <v>390</v>
      </c>
      <c r="B287" s="101" t="s">
        <v>7</v>
      </c>
      <c r="C287" s="101" t="s">
        <v>1420</v>
      </c>
      <c r="D287" s="101" t="s">
        <v>1421</v>
      </c>
      <c r="E287" s="102">
        <v>45758</v>
      </c>
      <c r="F287" s="101" t="s">
        <v>370</v>
      </c>
      <c r="G287" s="101" t="s">
        <v>1184</v>
      </c>
      <c r="H287" s="103">
        <v>49500</v>
      </c>
      <c r="I287" s="133">
        <v>0.61</v>
      </c>
      <c r="J287" s="104" t="s">
        <v>830</v>
      </c>
      <c r="K287" s="104" t="s">
        <v>1541</v>
      </c>
    </row>
    <row r="288" spans="1:11" hidden="1" x14ac:dyDescent="0.3">
      <c r="A288" s="100" t="s">
        <v>392</v>
      </c>
      <c r="B288" s="101" t="s">
        <v>7</v>
      </c>
      <c r="C288" s="101" t="s">
        <v>1422</v>
      </c>
      <c r="D288" s="101" t="s">
        <v>1423</v>
      </c>
      <c r="E288" s="102">
        <v>45758</v>
      </c>
      <c r="F288" s="101" t="s">
        <v>370</v>
      </c>
      <c r="G288" s="101" t="s">
        <v>1184</v>
      </c>
      <c r="H288" s="103">
        <v>15784.7</v>
      </c>
      <c r="I288" s="133">
        <v>0.66400000000000003</v>
      </c>
      <c r="J288" s="104" t="s">
        <v>830</v>
      </c>
      <c r="K288" s="104" t="s">
        <v>1540</v>
      </c>
    </row>
    <row r="289" spans="1:11" hidden="1" x14ac:dyDescent="0.3">
      <c r="A289" s="100" t="s">
        <v>392</v>
      </c>
      <c r="B289" s="101" t="s">
        <v>7</v>
      </c>
      <c r="C289" s="101" t="s">
        <v>1424</v>
      </c>
      <c r="D289" s="101" t="s">
        <v>1425</v>
      </c>
      <c r="E289" s="102">
        <v>45758</v>
      </c>
      <c r="F289" s="101" t="s">
        <v>370</v>
      </c>
      <c r="G289" s="101" t="s">
        <v>1184</v>
      </c>
      <c r="H289" s="103">
        <v>8304.4</v>
      </c>
      <c r="I289" s="133">
        <v>0.51800000000000002</v>
      </c>
      <c r="J289" s="104" t="s">
        <v>830</v>
      </c>
      <c r="K289" s="104" t="s">
        <v>1540</v>
      </c>
    </row>
    <row r="290" spans="1:11" hidden="1" x14ac:dyDescent="0.3">
      <c r="A290" s="100" t="s">
        <v>392</v>
      </c>
      <c r="B290" s="101" t="s">
        <v>7</v>
      </c>
      <c r="C290" s="101" t="s">
        <v>1426</v>
      </c>
      <c r="D290" s="101" t="s">
        <v>1214</v>
      </c>
      <c r="E290" s="102">
        <v>45762</v>
      </c>
      <c r="F290" s="101" t="s">
        <v>371</v>
      </c>
      <c r="G290" s="101" t="s">
        <v>864</v>
      </c>
      <c r="H290" s="103">
        <v>1200</v>
      </c>
      <c r="I290" s="133">
        <v>0.64600000000000002</v>
      </c>
      <c r="J290" s="104" t="s">
        <v>848</v>
      </c>
      <c r="K290" s="104" t="s">
        <v>1540</v>
      </c>
    </row>
    <row r="291" spans="1:11" hidden="1" x14ac:dyDescent="0.3">
      <c r="A291" s="100" t="s">
        <v>392</v>
      </c>
      <c r="B291" s="101" t="s">
        <v>7</v>
      </c>
      <c r="C291" s="101" t="s">
        <v>1427</v>
      </c>
      <c r="D291" s="101" t="s">
        <v>1428</v>
      </c>
      <c r="E291" s="102">
        <v>45762</v>
      </c>
      <c r="F291" s="101" t="s">
        <v>842</v>
      </c>
      <c r="G291" s="101" t="s">
        <v>843</v>
      </c>
      <c r="H291" s="103">
        <v>22000</v>
      </c>
      <c r="I291" s="133">
        <v>0.436</v>
      </c>
      <c r="J291" s="104" t="s">
        <v>832</v>
      </c>
      <c r="K291" s="104" t="s">
        <v>1540</v>
      </c>
    </row>
    <row r="292" spans="1:11" hidden="1" x14ac:dyDescent="0.3">
      <c r="A292" s="100" t="s">
        <v>390</v>
      </c>
      <c r="B292" s="101" t="s">
        <v>7</v>
      </c>
      <c r="C292" s="101" t="s">
        <v>1429</v>
      </c>
      <c r="D292" s="101" t="s">
        <v>1430</v>
      </c>
      <c r="E292" s="102">
        <v>45762</v>
      </c>
      <c r="F292" s="101" t="s">
        <v>372</v>
      </c>
      <c r="G292" s="101" t="s">
        <v>10</v>
      </c>
      <c r="H292" s="103">
        <v>13800.4</v>
      </c>
      <c r="I292" s="133">
        <v>0.4</v>
      </c>
      <c r="J292" s="104" t="s">
        <v>833</v>
      </c>
      <c r="K292" s="104" t="s">
        <v>1541</v>
      </c>
    </row>
    <row r="293" spans="1:11" hidden="1" x14ac:dyDescent="0.3">
      <c r="A293" s="100" t="s">
        <v>390</v>
      </c>
      <c r="B293" s="101" t="s">
        <v>7</v>
      </c>
      <c r="C293" s="101" t="s">
        <v>1431</v>
      </c>
      <c r="D293" s="101" t="s">
        <v>1432</v>
      </c>
      <c r="E293" s="102">
        <v>45762</v>
      </c>
      <c r="F293" s="101" t="s">
        <v>372</v>
      </c>
      <c r="G293" s="101" t="s">
        <v>10</v>
      </c>
      <c r="H293" s="103">
        <v>104527.13</v>
      </c>
      <c r="I293" s="133">
        <v>0.32100000000000001</v>
      </c>
      <c r="J293" s="104" t="s">
        <v>833</v>
      </c>
      <c r="K293" s="104" t="s">
        <v>1542</v>
      </c>
    </row>
    <row r="294" spans="1:11" hidden="1" x14ac:dyDescent="0.3">
      <c r="A294" s="100" t="s">
        <v>392</v>
      </c>
      <c r="B294" s="101" t="s">
        <v>7</v>
      </c>
      <c r="C294" s="101" t="s">
        <v>1433</v>
      </c>
      <c r="D294" s="101" t="s">
        <v>1434</v>
      </c>
      <c r="E294" s="102">
        <v>45762</v>
      </c>
      <c r="F294" s="101" t="s">
        <v>370</v>
      </c>
      <c r="G294" s="101" t="s">
        <v>1184</v>
      </c>
      <c r="H294" s="103">
        <v>4100.2</v>
      </c>
      <c r="I294" s="133">
        <v>0.56100000000000005</v>
      </c>
      <c r="J294" s="104" t="s">
        <v>830</v>
      </c>
      <c r="K294" s="104" t="s">
        <v>1540</v>
      </c>
    </row>
    <row r="295" spans="1:11" hidden="1" x14ac:dyDescent="0.3">
      <c r="A295" s="100" t="s">
        <v>390</v>
      </c>
      <c r="B295" s="101" t="s">
        <v>7</v>
      </c>
      <c r="C295" s="101" t="s">
        <v>1435</v>
      </c>
      <c r="D295" s="101" t="s">
        <v>1436</v>
      </c>
      <c r="E295" s="102">
        <v>45762</v>
      </c>
      <c r="F295" s="101" t="s">
        <v>370</v>
      </c>
      <c r="G295" s="101" t="s">
        <v>1184</v>
      </c>
      <c r="H295" s="103">
        <v>17000</v>
      </c>
      <c r="I295" s="133">
        <v>0.63</v>
      </c>
      <c r="J295" s="104" t="s">
        <v>830</v>
      </c>
      <c r="K295" s="104" t="s">
        <v>1541</v>
      </c>
    </row>
    <row r="296" spans="1:11" hidden="1" x14ac:dyDescent="0.3">
      <c r="A296" s="100" t="s">
        <v>392</v>
      </c>
      <c r="B296" s="101" t="s">
        <v>7</v>
      </c>
      <c r="C296" s="101" t="s">
        <v>1437</v>
      </c>
      <c r="D296" s="101" t="s">
        <v>1438</v>
      </c>
      <c r="E296" s="102">
        <v>45762</v>
      </c>
      <c r="F296" s="101" t="s">
        <v>370</v>
      </c>
      <c r="G296" s="101" t="s">
        <v>1184</v>
      </c>
      <c r="H296" s="103">
        <v>14106.01</v>
      </c>
      <c r="I296" s="133">
        <v>0.47499999999999998</v>
      </c>
      <c r="J296" s="104" t="s">
        <v>830</v>
      </c>
      <c r="K296" s="104" t="s">
        <v>1540</v>
      </c>
    </row>
    <row r="297" spans="1:11" hidden="1" x14ac:dyDescent="0.3">
      <c r="A297" s="100" t="s">
        <v>392</v>
      </c>
      <c r="B297" s="101" t="s">
        <v>7</v>
      </c>
      <c r="C297" s="101" t="s">
        <v>1439</v>
      </c>
      <c r="D297" s="101" t="s">
        <v>1440</v>
      </c>
      <c r="E297" s="102">
        <v>45762</v>
      </c>
      <c r="F297" s="101" t="s">
        <v>370</v>
      </c>
      <c r="G297" s="101" t="s">
        <v>1184</v>
      </c>
      <c r="H297" s="103">
        <v>7053.01</v>
      </c>
      <c r="I297" s="133">
        <v>0.49</v>
      </c>
      <c r="J297" s="104" t="s">
        <v>830</v>
      </c>
      <c r="K297" s="104" t="s">
        <v>1540</v>
      </c>
    </row>
    <row r="298" spans="1:11" hidden="1" x14ac:dyDescent="0.3">
      <c r="A298" s="100" t="s">
        <v>392</v>
      </c>
      <c r="B298" s="101" t="s">
        <v>7</v>
      </c>
      <c r="C298" s="101" t="s">
        <v>1441</v>
      </c>
      <c r="D298" s="101" t="s">
        <v>1442</v>
      </c>
      <c r="E298" s="102">
        <v>45763</v>
      </c>
      <c r="F298" s="101" t="s">
        <v>372</v>
      </c>
      <c r="G298" s="101" t="s">
        <v>10</v>
      </c>
      <c r="H298" s="103">
        <v>22950.06</v>
      </c>
      <c r="I298" s="133">
        <v>0.41299999999999998</v>
      </c>
      <c r="J298" s="104" t="s">
        <v>848</v>
      </c>
      <c r="K298" s="104" t="s">
        <v>1540</v>
      </c>
    </row>
    <row r="299" spans="1:11" hidden="1" x14ac:dyDescent="0.3">
      <c r="A299" s="100" t="s">
        <v>392</v>
      </c>
      <c r="B299" s="101" t="s">
        <v>7</v>
      </c>
      <c r="C299" s="101" t="s">
        <v>1443</v>
      </c>
      <c r="D299" s="101" t="s">
        <v>1444</v>
      </c>
      <c r="E299" s="102">
        <v>45763</v>
      </c>
      <c r="F299" s="101" t="s">
        <v>372</v>
      </c>
      <c r="G299" s="101" t="s">
        <v>10</v>
      </c>
      <c r="H299" s="103">
        <v>22950.06</v>
      </c>
      <c r="I299" s="133">
        <v>0.41299999999999998</v>
      </c>
      <c r="J299" s="104" t="s">
        <v>848</v>
      </c>
      <c r="K299" s="104" t="s">
        <v>1540</v>
      </c>
    </row>
    <row r="300" spans="1:11" hidden="1" x14ac:dyDescent="0.3">
      <c r="A300" s="100" t="s">
        <v>390</v>
      </c>
      <c r="B300" s="101" t="s">
        <v>7</v>
      </c>
      <c r="C300" s="101" t="s">
        <v>1445</v>
      </c>
      <c r="D300" s="101" t="s">
        <v>1446</v>
      </c>
      <c r="E300" s="102">
        <v>45763</v>
      </c>
      <c r="F300" s="101" t="s">
        <v>375</v>
      </c>
      <c r="G300" s="101" t="s">
        <v>62</v>
      </c>
      <c r="H300" s="103">
        <v>42230.6</v>
      </c>
      <c r="I300" s="133">
        <v>0.375</v>
      </c>
      <c r="J300" s="104" t="s">
        <v>831</v>
      </c>
      <c r="K300" s="104" t="s">
        <v>1542</v>
      </c>
    </row>
    <row r="301" spans="1:11" hidden="1" x14ac:dyDescent="0.3">
      <c r="A301" s="100" t="s">
        <v>392</v>
      </c>
      <c r="B301" s="101" t="s">
        <v>7</v>
      </c>
      <c r="C301" s="101" t="s">
        <v>1447</v>
      </c>
      <c r="D301" s="101" t="s">
        <v>1448</v>
      </c>
      <c r="E301" s="102">
        <v>45764</v>
      </c>
      <c r="F301" s="101" t="s">
        <v>842</v>
      </c>
      <c r="G301" s="101" t="s">
        <v>843</v>
      </c>
      <c r="H301" s="103">
        <v>24110.76</v>
      </c>
      <c r="I301" s="133">
        <v>0.49</v>
      </c>
      <c r="J301" s="104" t="s">
        <v>832</v>
      </c>
      <c r="K301" s="104" t="s">
        <v>1540</v>
      </c>
    </row>
    <row r="302" spans="1:11" hidden="1" x14ac:dyDescent="0.3">
      <c r="A302" s="100" t="s">
        <v>390</v>
      </c>
      <c r="B302" s="101" t="s">
        <v>7</v>
      </c>
      <c r="C302" s="101" t="s">
        <v>1449</v>
      </c>
      <c r="D302" s="101" t="s">
        <v>1450</v>
      </c>
      <c r="E302" s="102">
        <v>45764</v>
      </c>
      <c r="F302" s="101" t="s">
        <v>375</v>
      </c>
      <c r="G302" s="101" t="s">
        <v>62</v>
      </c>
      <c r="H302" s="103">
        <v>42440.08</v>
      </c>
      <c r="I302" s="133">
        <v>0.38600000000000001</v>
      </c>
      <c r="J302" s="104" t="s">
        <v>831</v>
      </c>
      <c r="K302" s="104" t="s">
        <v>1542</v>
      </c>
    </row>
    <row r="303" spans="1:11" hidden="1" x14ac:dyDescent="0.3">
      <c r="A303" s="100" t="s">
        <v>392</v>
      </c>
      <c r="B303" s="101" t="s">
        <v>7</v>
      </c>
      <c r="C303" s="101" t="s">
        <v>1451</v>
      </c>
      <c r="D303" s="101" t="s">
        <v>1452</v>
      </c>
      <c r="E303" s="102">
        <v>45764</v>
      </c>
      <c r="F303" s="101" t="s">
        <v>370</v>
      </c>
      <c r="G303" s="101" t="s">
        <v>1184</v>
      </c>
      <c r="H303" s="103">
        <v>4098.3999999999996</v>
      </c>
      <c r="I303" s="133">
        <v>0.56100000000000005</v>
      </c>
      <c r="J303" s="104" t="s">
        <v>830</v>
      </c>
      <c r="K303" s="104" t="s">
        <v>1540</v>
      </c>
    </row>
    <row r="304" spans="1:11" hidden="1" x14ac:dyDescent="0.3">
      <c r="A304" s="100" t="s">
        <v>390</v>
      </c>
      <c r="B304" s="101" t="s">
        <v>7</v>
      </c>
      <c r="C304" s="101" t="s">
        <v>1453</v>
      </c>
      <c r="D304" s="101" t="s">
        <v>1454</v>
      </c>
      <c r="E304" s="102">
        <v>45764</v>
      </c>
      <c r="F304" s="101" t="s">
        <v>370</v>
      </c>
      <c r="G304" s="101" t="s">
        <v>1184</v>
      </c>
      <c r="H304" s="103">
        <v>16500</v>
      </c>
      <c r="I304" s="133">
        <v>0.66700000000000004</v>
      </c>
      <c r="J304" s="104" t="s">
        <v>830</v>
      </c>
      <c r="K304" s="104" t="s">
        <v>1541</v>
      </c>
    </row>
    <row r="305" spans="1:11" hidden="1" x14ac:dyDescent="0.3">
      <c r="A305" s="100" t="s">
        <v>392</v>
      </c>
      <c r="B305" s="101" t="s">
        <v>7</v>
      </c>
      <c r="C305" s="101" t="s">
        <v>1455</v>
      </c>
      <c r="D305" s="101" t="s">
        <v>1456</v>
      </c>
      <c r="E305" s="102">
        <v>45768</v>
      </c>
      <c r="F305" s="101" t="s">
        <v>370</v>
      </c>
      <c r="G305" s="101" t="s">
        <v>1184</v>
      </c>
      <c r="H305" s="103">
        <v>7100</v>
      </c>
      <c r="I305" s="133">
        <v>0.62</v>
      </c>
      <c r="J305" s="104" t="s">
        <v>830</v>
      </c>
      <c r="K305" s="104" t="s">
        <v>1540</v>
      </c>
    </row>
    <row r="306" spans="1:11" hidden="1" x14ac:dyDescent="0.3">
      <c r="A306" s="100" t="s">
        <v>392</v>
      </c>
      <c r="B306" s="101" t="s">
        <v>7</v>
      </c>
      <c r="C306" s="101" t="s">
        <v>1457</v>
      </c>
      <c r="D306" s="101" t="s">
        <v>1458</v>
      </c>
      <c r="E306" s="102">
        <v>45768</v>
      </c>
      <c r="F306" s="101" t="s">
        <v>370</v>
      </c>
      <c r="G306" s="101" t="s">
        <v>1184</v>
      </c>
      <c r="H306" s="103">
        <v>7100</v>
      </c>
      <c r="I306" s="133">
        <v>0.62</v>
      </c>
      <c r="J306" s="104" t="s">
        <v>830</v>
      </c>
      <c r="K306" s="104" t="s">
        <v>1540</v>
      </c>
    </row>
    <row r="307" spans="1:11" hidden="1" x14ac:dyDescent="0.3">
      <c r="A307" s="100" t="s">
        <v>392</v>
      </c>
      <c r="B307" s="101" t="s">
        <v>7</v>
      </c>
      <c r="C307" s="101" t="s">
        <v>1459</v>
      </c>
      <c r="D307" s="101" t="s">
        <v>1460</v>
      </c>
      <c r="E307" s="102">
        <v>45769</v>
      </c>
      <c r="F307" s="101" t="s">
        <v>372</v>
      </c>
      <c r="G307" s="101" t="s">
        <v>10</v>
      </c>
      <c r="H307" s="103">
        <v>22770.5</v>
      </c>
      <c r="I307" s="133">
        <v>0.46</v>
      </c>
      <c r="J307" s="104" t="s">
        <v>848</v>
      </c>
      <c r="K307" s="104" t="s">
        <v>1540</v>
      </c>
    </row>
    <row r="308" spans="1:11" hidden="1" x14ac:dyDescent="0.3">
      <c r="A308" s="100" t="s">
        <v>392</v>
      </c>
      <c r="B308" s="101" t="s">
        <v>7</v>
      </c>
      <c r="C308" s="101" t="s">
        <v>1461</v>
      </c>
      <c r="D308" s="101" t="s">
        <v>1462</v>
      </c>
      <c r="E308" s="102">
        <v>45769</v>
      </c>
      <c r="F308" s="101" t="s">
        <v>372</v>
      </c>
      <c r="G308" s="101" t="s">
        <v>10</v>
      </c>
      <c r="H308" s="103">
        <v>22817.26</v>
      </c>
      <c r="I308" s="133">
        <v>0.46100000000000002</v>
      </c>
      <c r="J308" s="104" t="s">
        <v>848</v>
      </c>
      <c r="K308" s="104" t="s">
        <v>1540</v>
      </c>
    </row>
    <row r="309" spans="1:11" hidden="1" x14ac:dyDescent="0.3">
      <c r="A309" s="100" t="s">
        <v>392</v>
      </c>
      <c r="B309" s="101" t="s">
        <v>7</v>
      </c>
      <c r="C309" s="101" t="s">
        <v>1463</v>
      </c>
      <c r="D309" s="101" t="s">
        <v>1464</v>
      </c>
      <c r="E309" s="102">
        <v>45769</v>
      </c>
      <c r="F309" s="101" t="s">
        <v>370</v>
      </c>
      <c r="G309" s="101" t="s">
        <v>1184</v>
      </c>
      <c r="H309" s="103">
        <v>5604.26</v>
      </c>
      <c r="I309" s="133">
        <v>0.53600000000000003</v>
      </c>
      <c r="J309" s="104" t="s">
        <v>830</v>
      </c>
      <c r="K309" s="104" t="s">
        <v>1540</v>
      </c>
    </row>
    <row r="310" spans="1:11" hidden="1" x14ac:dyDescent="0.3">
      <c r="A310" s="100" t="s">
        <v>390</v>
      </c>
      <c r="B310" s="101" t="s">
        <v>7</v>
      </c>
      <c r="C310" s="101" t="s">
        <v>1465</v>
      </c>
      <c r="D310" s="101" t="s">
        <v>1466</v>
      </c>
      <c r="E310" s="102">
        <v>45769</v>
      </c>
      <c r="F310" s="101" t="s">
        <v>375</v>
      </c>
      <c r="G310" s="101" t="s">
        <v>62</v>
      </c>
      <c r="H310" s="103">
        <v>61356.28</v>
      </c>
      <c r="I310" s="133">
        <v>0.61799999999999999</v>
      </c>
      <c r="J310" s="104" t="s">
        <v>831</v>
      </c>
      <c r="K310" s="104" t="s">
        <v>1542</v>
      </c>
    </row>
    <row r="311" spans="1:11" hidden="1" x14ac:dyDescent="0.3">
      <c r="A311" s="100" t="s">
        <v>390</v>
      </c>
      <c r="B311" s="101" t="s">
        <v>7</v>
      </c>
      <c r="C311" s="101" t="s">
        <v>1467</v>
      </c>
      <c r="D311" s="101" t="s">
        <v>1468</v>
      </c>
      <c r="E311" s="102">
        <v>45770</v>
      </c>
      <c r="F311" s="101" t="s">
        <v>375</v>
      </c>
      <c r="G311" s="101" t="s">
        <v>62</v>
      </c>
      <c r="H311" s="103">
        <v>41216.19</v>
      </c>
      <c r="I311" s="133">
        <v>0.41499999999999998</v>
      </c>
      <c r="J311" s="104" t="s">
        <v>831</v>
      </c>
      <c r="K311" s="104" t="s">
        <v>1541</v>
      </c>
    </row>
    <row r="312" spans="1:11" hidden="1" x14ac:dyDescent="0.3">
      <c r="A312" s="100" t="s">
        <v>392</v>
      </c>
      <c r="B312" s="101" t="s">
        <v>7</v>
      </c>
      <c r="C312" s="101" t="s">
        <v>1469</v>
      </c>
      <c r="D312" s="101" t="s">
        <v>1470</v>
      </c>
      <c r="E312" s="102">
        <v>45771</v>
      </c>
      <c r="F312" s="101" t="s">
        <v>370</v>
      </c>
      <c r="G312" s="101" t="s">
        <v>1184</v>
      </c>
      <c r="H312" s="103">
        <v>4004.26</v>
      </c>
      <c r="I312" s="133">
        <v>0.55000000000000004</v>
      </c>
      <c r="J312" s="104" t="s">
        <v>830</v>
      </c>
      <c r="K312" s="104" t="s">
        <v>1540</v>
      </c>
    </row>
    <row r="313" spans="1:11" hidden="1" x14ac:dyDescent="0.3">
      <c r="A313" s="100" t="s">
        <v>392</v>
      </c>
      <c r="B313" s="101" t="s">
        <v>7</v>
      </c>
      <c r="C313" s="101" t="s">
        <v>1471</v>
      </c>
      <c r="D313" s="101" t="s">
        <v>1472</v>
      </c>
      <c r="E313" s="102">
        <v>45771</v>
      </c>
      <c r="F313" s="101" t="s">
        <v>842</v>
      </c>
      <c r="G313" s="101" t="s">
        <v>843</v>
      </c>
      <c r="H313" s="103">
        <v>22000</v>
      </c>
      <c r="I313" s="133">
        <v>0.44500000000000001</v>
      </c>
      <c r="J313" s="104" t="s">
        <v>832</v>
      </c>
      <c r="K313" s="104" t="s">
        <v>1540</v>
      </c>
    </row>
    <row r="314" spans="1:11" hidden="1" x14ac:dyDescent="0.3">
      <c r="A314" s="100" t="s">
        <v>390</v>
      </c>
      <c r="B314" s="101" t="s">
        <v>7</v>
      </c>
      <c r="C314" s="101" t="s">
        <v>1473</v>
      </c>
      <c r="D314" s="101" t="s">
        <v>1474</v>
      </c>
      <c r="E314" s="102">
        <v>45771</v>
      </c>
      <c r="F314" s="101" t="s">
        <v>375</v>
      </c>
      <c r="G314" s="101" t="s">
        <v>62</v>
      </c>
      <c r="H314" s="103">
        <v>41923.370000000003</v>
      </c>
      <c r="I314" s="133">
        <v>0.378</v>
      </c>
      <c r="J314" s="104" t="s">
        <v>831</v>
      </c>
      <c r="K314" s="104" t="s">
        <v>1542</v>
      </c>
    </row>
    <row r="315" spans="1:11" hidden="1" x14ac:dyDescent="0.3">
      <c r="A315" s="100" t="s">
        <v>390</v>
      </c>
      <c r="B315" s="101" t="s">
        <v>7</v>
      </c>
      <c r="C315" s="101" t="s">
        <v>1475</v>
      </c>
      <c r="D315" s="101" t="s">
        <v>1476</v>
      </c>
      <c r="E315" s="102">
        <v>45772</v>
      </c>
      <c r="F315" s="101" t="s">
        <v>372</v>
      </c>
      <c r="G315" s="101" t="s">
        <v>10</v>
      </c>
      <c r="H315" s="103">
        <v>47161.18</v>
      </c>
      <c r="I315" s="133">
        <v>0.20300000000000001</v>
      </c>
      <c r="J315" s="104" t="s">
        <v>833</v>
      </c>
      <c r="K315" s="104" t="s">
        <v>1541</v>
      </c>
    </row>
    <row r="316" spans="1:11" hidden="1" x14ac:dyDescent="0.3">
      <c r="A316" s="100" t="s">
        <v>392</v>
      </c>
      <c r="B316" s="101" t="s">
        <v>7</v>
      </c>
      <c r="C316" s="101" t="s">
        <v>1477</v>
      </c>
      <c r="D316" s="101" t="s">
        <v>1478</v>
      </c>
      <c r="E316" s="102">
        <v>45775</v>
      </c>
      <c r="F316" s="101" t="s">
        <v>370</v>
      </c>
      <c r="G316" s="101" t="s">
        <v>1184</v>
      </c>
      <c r="H316" s="103">
        <v>3913.76</v>
      </c>
      <c r="I316" s="133">
        <v>0.54</v>
      </c>
      <c r="J316" s="104" t="s">
        <v>830</v>
      </c>
      <c r="K316" s="104" t="s">
        <v>1540</v>
      </c>
    </row>
    <row r="317" spans="1:11" hidden="1" x14ac:dyDescent="0.3">
      <c r="A317" s="100" t="s">
        <v>390</v>
      </c>
      <c r="B317" s="101" t="s">
        <v>7</v>
      </c>
      <c r="C317" s="101" t="s">
        <v>1479</v>
      </c>
      <c r="D317" s="101" t="s">
        <v>1480</v>
      </c>
      <c r="E317" s="102">
        <v>45775</v>
      </c>
      <c r="F317" s="101" t="s">
        <v>370</v>
      </c>
      <c r="G317" s="101" t="s">
        <v>1184</v>
      </c>
      <c r="H317" s="103">
        <v>8500</v>
      </c>
      <c r="I317" s="133">
        <v>0.59099999999999997</v>
      </c>
      <c r="J317" s="104" t="s">
        <v>830</v>
      </c>
      <c r="K317" s="104" t="s">
        <v>1541</v>
      </c>
    </row>
    <row r="318" spans="1:11" hidden="1" x14ac:dyDescent="0.3">
      <c r="A318" s="100" t="s">
        <v>390</v>
      </c>
      <c r="B318" s="101" t="s">
        <v>7</v>
      </c>
      <c r="C318" s="101" t="s">
        <v>1481</v>
      </c>
      <c r="D318" s="101" t="s">
        <v>1482</v>
      </c>
      <c r="E318" s="102">
        <v>45775</v>
      </c>
      <c r="F318" s="101" t="s">
        <v>372</v>
      </c>
      <c r="G318" s="101" t="s">
        <v>10</v>
      </c>
      <c r="H318" s="103">
        <v>3540</v>
      </c>
      <c r="I318" s="133">
        <v>0.25900000000000001</v>
      </c>
      <c r="J318" s="104" t="s">
        <v>833</v>
      </c>
      <c r="K318" s="104" t="s">
        <v>1542</v>
      </c>
    </row>
    <row r="319" spans="1:11" hidden="1" x14ac:dyDescent="0.3">
      <c r="A319" s="100" t="s">
        <v>390</v>
      </c>
      <c r="B319" s="101" t="s">
        <v>7</v>
      </c>
      <c r="C319" s="101" t="s">
        <v>1483</v>
      </c>
      <c r="D319" s="101" t="s">
        <v>1484</v>
      </c>
      <c r="E319" s="102">
        <v>45775</v>
      </c>
      <c r="F319" s="101" t="s">
        <v>372</v>
      </c>
      <c r="G319" s="101" t="s">
        <v>10</v>
      </c>
      <c r="H319" s="103">
        <v>3540</v>
      </c>
      <c r="I319" s="133">
        <v>0.25900000000000001</v>
      </c>
      <c r="J319" s="104" t="s">
        <v>833</v>
      </c>
      <c r="K319" s="104" t="s">
        <v>1542</v>
      </c>
    </row>
    <row r="320" spans="1:11" hidden="1" x14ac:dyDescent="0.3">
      <c r="A320" s="100" t="s">
        <v>392</v>
      </c>
      <c r="B320" s="101" t="s">
        <v>7</v>
      </c>
      <c r="C320" s="101" t="s">
        <v>1485</v>
      </c>
      <c r="D320" s="101" t="s">
        <v>1486</v>
      </c>
      <c r="E320" s="102">
        <v>45775</v>
      </c>
      <c r="F320" s="101" t="s">
        <v>372</v>
      </c>
      <c r="G320" s="101" t="s">
        <v>10</v>
      </c>
      <c r="H320" s="103">
        <v>41500</v>
      </c>
      <c r="I320" s="133">
        <v>0.45100000000000001</v>
      </c>
      <c r="J320" s="104" t="s">
        <v>848</v>
      </c>
      <c r="K320" s="104" t="s">
        <v>1540</v>
      </c>
    </row>
    <row r="321" spans="1:11" hidden="1" x14ac:dyDescent="0.3">
      <c r="A321" s="100" t="s">
        <v>392</v>
      </c>
      <c r="B321" s="101" t="s">
        <v>7</v>
      </c>
      <c r="C321" s="101" t="s">
        <v>1487</v>
      </c>
      <c r="D321" s="101" t="s">
        <v>1488</v>
      </c>
      <c r="E321" s="102">
        <v>45775</v>
      </c>
      <c r="F321" s="101" t="s">
        <v>372</v>
      </c>
      <c r="G321" s="101" t="s">
        <v>10</v>
      </c>
      <c r="H321" s="103">
        <v>5500</v>
      </c>
      <c r="I321" s="133">
        <v>0.42699999999999999</v>
      </c>
      <c r="J321" s="104" t="s">
        <v>848</v>
      </c>
      <c r="K321" s="104" t="s">
        <v>1540</v>
      </c>
    </row>
    <row r="322" spans="1:11" hidden="1" x14ac:dyDescent="0.3">
      <c r="A322" s="100" t="s">
        <v>390</v>
      </c>
      <c r="B322" s="101" t="s">
        <v>7</v>
      </c>
      <c r="C322" s="101" t="s">
        <v>1489</v>
      </c>
      <c r="D322" s="101" t="s">
        <v>1490</v>
      </c>
      <c r="E322" s="102">
        <v>45775</v>
      </c>
      <c r="F322" s="101" t="s">
        <v>372</v>
      </c>
      <c r="G322" s="101" t="s">
        <v>10</v>
      </c>
      <c r="H322" s="103">
        <v>20879.54</v>
      </c>
      <c r="I322" s="133">
        <v>0.251</v>
      </c>
      <c r="J322" s="104" t="s">
        <v>833</v>
      </c>
      <c r="K322" s="104" t="s">
        <v>1541</v>
      </c>
    </row>
    <row r="323" spans="1:11" hidden="1" x14ac:dyDescent="0.3">
      <c r="A323" s="100" t="s">
        <v>392</v>
      </c>
      <c r="B323" s="101" t="s">
        <v>7</v>
      </c>
      <c r="C323" s="101" t="s">
        <v>1491</v>
      </c>
      <c r="D323" s="101" t="s">
        <v>1492</v>
      </c>
      <c r="E323" s="102">
        <v>45775</v>
      </c>
      <c r="F323" s="101" t="s">
        <v>371</v>
      </c>
      <c r="G323" s="101" t="s">
        <v>864</v>
      </c>
      <c r="H323" s="103">
        <v>7781.2</v>
      </c>
      <c r="I323" s="133">
        <v>0.85599999999999998</v>
      </c>
      <c r="J323" s="104" t="s">
        <v>848</v>
      </c>
      <c r="K323" s="104" t="s">
        <v>1540</v>
      </c>
    </row>
    <row r="324" spans="1:11" hidden="1" x14ac:dyDescent="0.3">
      <c r="A324" s="100" t="s">
        <v>392</v>
      </c>
      <c r="B324" s="101" t="s">
        <v>7</v>
      </c>
      <c r="C324" s="101" t="s">
        <v>1493</v>
      </c>
      <c r="D324" s="101" t="s">
        <v>1494</v>
      </c>
      <c r="E324" s="102">
        <v>45775</v>
      </c>
      <c r="F324" s="101" t="s">
        <v>842</v>
      </c>
      <c r="G324" s="101" t="s">
        <v>843</v>
      </c>
      <c r="H324" s="103">
        <v>22000</v>
      </c>
      <c r="I324" s="133">
        <v>0.48399999999999999</v>
      </c>
      <c r="J324" s="104" t="s">
        <v>832</v>
      </c>
      <c r="K324" s="104" t="s">
        <v>1540</v>
      </c>
    </row>
    <row r="325" spans="1:11" hidden="1" x14ac:dyDescent="0.3">
      <c r="A325" s="100" t="s">
        <v>392</v>
      </c>
      <c r="B325" s="101" t="s">
        <v>7</v>
      </c>
      <c r="C325" s="101" t="s">
        <v>1495</v>
      </c>
      <c r="D325" s="101" t="s">
        <v>1496</v>
      </c>
      <c r="E325" s="102">
        <v>45775</v>
      </c>
      <c r="F325" s="101" t="s">
        <v>842</v>
      </c>
      <c r="G325" s="101" t="s">
        <v>843</v>
      </c>
      <c r="H325" s="103">
        <v>22000</v>
      </c>
      <c r="I325" s="133">
        <v>0.48399999999999999</v>
      </c>
      <c r="J325" s="104" t="s">
        <v>832</v>
      </c>
      <c r="K325" s="104" t="s">
        <v>1540</v>
      </c>
    </row>
    <row r="326" spans="1:11" hidden="1" x14ac:dyDescent="0.3">
      <c r="A326" s="100" t="s">
        <v>392</v>
      </c>
      <c r="B326" s="101" t="s">
        <v>7</v>
      </c>
      <c r="C326" s="101" t="s">
        <v>1497</v>
      </c>
      <c r="D326" s="101" t="s">
        <v>1498</v>
      </c>
      <c r="E326" s="102">
        <v>45775</v>
      </c>
      <c r="F326" s="101" t="s">
        <v>842</v>
      </c>
      <c r="G326" s="101" t="s">
        <v>843</v>
      </c>
      <c r="H326" s="103">
        <v>22000</v>
      </c>
      <c r="I326" s="133">
        <v>0.46300000000000002</v>
      </c>
      <c r="J326" s="104" t="s">
        <v>832</v>
      </c>
      <c r="K326" s="104" t="s">
        <v>1540</v>
      </c>
    </row>
    <row r="327" spans="1:11" hidden="1" x14ac:dyDescent="0.3">
      <c r="A327" s="100" t="s">
        <v>392</v>
      </c>
      <c r="B327" s="101" t="s">
        <v>7</v>
      </c>
      <c r="C327" s="101" t="s">
        <v>1499</v>
      </c>
      <c r="D327" s="101" t="s">
        <v>1500</v>
      </c>
      <c r="E327" s="102">
        <v>45775</v>
      </c>
      <c r="F327" s="101" t="s">
        <v>842</v>
      </c>
      <c r="G327" s="101" t="s">
        <v>843</v>
      </c>
      <c r="H327" s="103">
        <v>22000</v>
      </c>
      <c r="I327" s="133">
        <v>0.46300000000000002</v>
      </c>
      <c r="J327" s="104" t="s">
        <v>832</v>
      </c>
      <c r="K327" s="104" t="s">
        <v>1540</v>
      </c>
    </row>
    <row r="328" spans="1:11" hidden="1" x14ac:dyDescent="0.3">
      <c r="A328" s="100" t="s">
        <v>392</v>
      </c>
      <c r="B328" s="101" t="s">
        <v>7</v>
      </c>
      <c r="C328" s="101" t="s">
        <v>1501</v>
      </c>
      <c r="D328" s="101" t="s">
        <v>1502</v>
      </c>
      <c r="E328" s="102">
        <v>45776</v>
      </c>
      <c r="F328" s="101" t="s">
        <v>370</v>
      </c>
      <c r="G328" s="101" t="s">
        <v>1184</v>
      </c>
      <c r="H328" s="103">
        <v>3925.56</v>
      </c>
      <c r="I328" s="133">
        <v>0.54100000000000004</v>
      </c>
      <c r="J328" s="104" t="s">
        <v>830</v>
      </c>
      <c r="K328" s="104" t="s">
        <v>1540</v>
      </c>
    </row>
    <row r="329" spans="1:11" hidden="1" x14ac:dyDescent="0.3">
      <c r="A329" s="100" t="s">
        <v>392</v>
      </c>
      <c r="B329" s="101" t="s">
        <v>7</v>
      </c>
      <c r="C329" s="101" t="s">
        <v>1503</v>
      </c>
      <c r="D329" s="101" t="s">
        <v>1504</v>
      </c>
      <c r="E329" s="102">
        <v>45776</v>
      </c>
      <c r="F329" s="101" t="s">
        <v>370</v>
      </c>
      <c r="G329" s="101" t="s">
        <v>1184</v>
      </c>
      <c r="H329" s="103">
        <v>8856.9500000000007</v>
      </c>
      <c r="I329" s="133">
        <v>0.59399999999999997</v>
      </c>
      <c r="J329" s="104" t="s">
        <v>830</v>
      </c>
      <c r="K329" s="104" t="s">
        <v>1540</v>
      </c>
    </row>
    <row r="330" spans="1:11" hidden="1" x14ac:dyDescent="0.3">
      <c r="A330" s="100" t="s">
        <v>390</v>
      </c>
      <c r="B330" s="101" t="s">
        <v>7</v>
      </c>
      <c r="C330" s="101" t="s">
        <v>1505</v>
      </c>
      <c r="D330" s="101" t="s">
        <v>1506</v>
      </c>
      <c r="E330" s="102">
        <v>45776</v>
      </c>
      <c r="F330" s="101" t="s">
        <v>375</v>
      </c>
      <c r="G330" s="101" t="s">
        <v>62</v>
      </c>
      <c r="H330" s="103">
        <v>101762.78</v>
      </c>
      <c r="I330" s="133">
        <v>0.34399999999999997</v>
      </c>
      <c r="J330" s="104" t="s">
        <v>831</v>
      </c>
      <c r="K330" s="104" t="s">
        <v>1542</v>
      </c>
    </row>
    <row r="331" spans="1:11" hidden="1" x14ac:dyDescent="0.3">
      <c r="A331" s="100" t="s">
        <v>392</v>
      </c>
      <c r="B331" s="101" t="s">
        <v>7</v>
      </c>
      <c r="C331" s="101" t="s">
        <v>1507</v>
      </c>
      <c r="D331" s="101" t="s">
        <v>1508</v>
      </c>
      <c r="E331" s="102">
        <v>45777</v>
      </c>
      <c r="F331" s="101" t="s">
        <v>370</v>
      </c>
      <c r="G331" s="101" t="s">
        <v>1184</v>
      </c>
      <c r="H331" s="103">
        <v>14480.93</v>
      </c>
      <c r="I331" s="133">
        <v>0.63400000000000001</v>
      </c>
      <c r="J331" s="104" t="s">
        <v>830</v>
      </c>
      <c r="K331" s="104" t="s">
        <v>1540</v>
      </c>
    </row>
    <row r="332" spans="1:11" hidden="1" x14ac:dyDescent="0.3">
      <c r="A332" s="100" t="s">
        <v>392</v>
      </c>
      <c r="B332" s="101" t="s">
        <v>7</v>
      </c>
      <c r="C332" s="101" t="s">
        <v>1509</v>
      </c>
      <c r="D332" s="101" t="s">
        <v>1510</v>
      </c>
      <c r="E332" s="102">
        <v>45777</v>
      </c>
      <c r="F332" s="101" t="s">
        <v>842</v>
      </c>
      <c r="G332" s="101" t="s">
        <v>843</v>
      </c>
      <c r="H332" s="103">
        <v>22000</v>
      </c>
      <c r="I332" s="133">
        <v>0.46300000000000002</v>
      </c>
      <c r="J332" s="104" t="s">
        <v>832</v>
      </c>
      <c r="K332" s="104" t="s">
        <v>1540</v>
      </c>
    </row>
    <row r="333" spans="1:11" hidden="1" x14ac:dyDescent="0.3">
      <c r="A333" s="100" t="s">
        <v>392</v>
      </c>
      <c r="B333" s="101" t="s">
        <v>7</v>
      </c>
      <c r="C333" s="101" t="s">
        <v>1511</v>
      </c>
      <c r="D333" s="101" t="s">
        <v>1512</v>
      </c>
      <c r="E333" s="102">
        <v>45777</v>
      </c>
      <c r="F333" s="101" t="s">
        <v>842</v>
      </c>
      <c r="G333" s="101" t="s">
        <v>843</v>
      </c>
      <c r="H333" s="103">
        <v>22000</v>
      </c>
      <c r="I333" s="133">
        <v>0.48399999999999999</v>
      </c>
      <c r="J333" s="104" t="s">
        <v>832</v>
      </c>
      <c r="K333" s="104" t="s">
        <v>1540</v>
      </c>
    </row>
    <row r="334" spans="1:11" hidden="1" x14ac:dyDescent="0.3">
      <c r="A334" s="100" t="s">
        <v>392</v>
      </c>
      <c r="B334" s="101" t="s">
        <v>7</v>
      </c>
      <c r="C334" s="101" t="s">
        <v>1513</v>
      </c>
      <c r="D334" s="101" t="s">
        <v>1514</v>
      </c>
      <c r="E334" s="102">
        <v>45777</v>
      </c>
      <c r="F334" s="101" t="s">
        <v>842</v>
      </c>
      <c r="G334" s="101" t="s">
        <v>843</v>
      </c>
      <c r="H334" s="103">
        <v>22000</v>
      </c>
      <c r="I334" s="133">
        <v>0.46600000000000003</v>
      </c>
      <c r="J334" s="104" t="s">
        <v>832</v>
      </c>
      <c r="K334" s="104" t="s">
        <v>1540</v>
      </c>
    </row>
    <row r="335" spans="1:11" hidden="1" x14ac:dyDescent="0.3">
      <c r="A335" s="100" t="s">
        <v>390</v>
      </c>
      <c r="B335" s="101" t="s">
        <v>7</v>
      </c>
      <c r="C335" s="101" t="s">
        <v>1515</v>
      </c>
      <c r="D335" s="101" t="s">
        <v>1516</v>
      </c>
      <c r="E335" s="102">
        <v>45777</v>
      </c>
      <c r="F335" s="101" t="s">
        <v>371</v>
      </c>
      <c r="G335" s="101" t="s">
        <v>864</v>
      </c>
      <c r="H335" s="103">
        <v>13954.05</v>
      </c>
      <c r="I335" s="133">
        <v>0.51</v>
      </c>
      <c r="J335" s="104" t="s">
        <v>832</v>
      </c>
      <c r="K335" s="104" t="s">
        <v>1541</v>
      </c>
    </row>
    <row r="336" spans="1:11" hidden="1" x14ac:dyDescent="0.3">
      <c r="A336" s="100" t="s">
        <v>390</v>
      </c>
      <c r="B336" s="101" t="s">
        <v>7</v>
      </c>
      <c r="C336" s="101" t="s">
        <v>1517</v>
      </c>
      <c r="D336" s="101" t="s">
        <v>1518</v>
      </c>
      <c r="E336" s="102">
        <v>45777</v>
      </c>
      <c r="F336" s="101" t="s">
        <v>370</v>
      </c>
      <c r="G336" s="101" t="s">
        <v>1184</v>
      </c>
      <c r="H336" s="103">
        <v>15500</v>
      </c>
      <c r="I336" s="133">
        <v>0.57299999999999995</v>
      </c>
      <c r="J336" s="104" t="s">
        <v>830</v>
      </c>
      <c r="K336" s="104" t="s">
        <v>1541</v>
      </c>
    </row>
    <row r="337" spans="1:11" hidden="1" x14ac:dyDescent="0.3">
      <c r="A337" s="100" t="s">
        <v>390</v>
      </c>
      <c r="B337" s="101" t="s">
        <v>7</v>
      </c>
      <c r="C337" s="101" t="s">
        <v>1519</v>
      </c>
      <c r="D337" s="101" t="s">
        <v>1520</v>
      </c>
      <c r="E337" s="102">
        <v>45777</v>
      </c>
      <c r="F337" s="101" t="s">
        <v>375</v>
      </c>
      <c r="G337" s="101" t="s">
        <v>62</v>
      </c>
      <c r="H337" s="103">
        <v>42440.32</v>
      </c>
      <c r="I337" s="133">
        <v>0.51100000000000001</v>
      </c>
      <c r="J337" s="104" t="s">
        <v>831</v>
      </c>
      <c r="K337" s="104" t="s">
        <v>1542</v>
      </c>
    </row>
    <row r="338" spans="1:11" hidden="1" x14ac:dyDescent="0.3">
      <c r="A338" s="100" t="s">
        <v>392</v>
      </c>
      <c r="B338" s="101" t="s">
        <v>7</v>
      </c>
      <c r="C338" s="101" t="s">
        <v>1521</v>
      </c>
      <c r="D338" s="101" t="s">
        <v>1522</v>
      </c>
      <c r="E338" s="102">
        <v>45777</v>
      </c>
      <c r="F338" s="101" t="s">
        <v>370</v>
      </c>
      <c r="G338" s="101" t="s">
        <v>1184</v>
      </c>
      <c r="H338" s="103">
        <v>3916.5</v>
      </c>
      <c r="I338" s="133">
        <v>0.54</v>
      </c>
      <c r="J338" s="104" t="s">
        <v>830</v>
      </c>
      <c r="K338" s="104" t="s">
        <v>1540</v>
      </c>
    </row>
    <row r="339" spans="1:11" hidden="1" x14ac:dyDescent="0.3">
      <c r="A339" s="100" t="s">
        <v>390</v>
      </c>
      <c r="B339" s="101" t="s">
        <v>7</v>
      </c>
      <c r="C339" s="101" t="s">
        <v>1523</v>
      </c>
      <c r="D339" s="101" t="s">
        <v>1524</v>
      </c>
      <c r="E339" s="102">
        <v>45777</v>
      </c>
      <c r="F339" s="101" t="s">
        <v>375</v>
      </c>
      <c r="G339" s="101" t="s">
        <v>62</v>
      </c>
      <c r="H339" s="103">
        <v>42980.81</v>
      </c>
      <c r="I339" s="133">
        <v>0.39500000000000002</v>
      </c>
      <c r="J339" s="104" t="s">
        <v>831</v>
      </c>
      <c r="K339" s="104" t="s">
        <v>1542</v>
      </c>
    </row>
    <row r="340" spans="1:11" hidden="1" x14ac:dyDescent="0.3">
      <c r="A340" s="100" t="s">
        <v>390</v>
      </c>
      <c r="B340" s="101" t="s">
        <v>7</v>
      </c>
      <c r="C340" s="101" t="s">
        <v>1525</v>
      </c>
      <c r="D340" s="101" t="s">
        <v>1526</v>
      </c>
      <c r="E340" s="102">
        <v>45777</v>
      </c>
      <c r="F340" s="101" t="s">
        <v>375</v>
      </c>
      <c r="G340" s="101" t="s">
        <v>62</v>
      </c>
      <c r="H340" s="103">
        <v>17870.64</v>
      </c>
      <c r="I340" s="133">
        <v>0.873</v>
      </c>
      <c r="J340" s="104" t="s">
        <v>831</v>
      </c>
      <c r="K340" s="104" t="s">
        <v>1541</v>
      </c>
    </row>
    <row r="341" spans="1:11" hidden="1" x14ac:dyDescent="0.3">
      <c r="A341" s="100" t="s">
        <v>390</v>
      </c>
      <c r="B341" s="101" t="s">
        <v>7</v>
      </c>
      <c r="C341" s="101" t="s">
        <v>1527</v>
      </c>
      <c r="D341" s="101" t="s">
        <v>1378</v>
      </c>
      <c r="E341" s="102">
        <v>45777</v>
      </c>
      <c r="F341" s="101" t="s">
        <v>1007</v>
      </c>
      <c r="G341" s="101" t="s">
        <v>865</v>
      </c>
      <c r="H341" s="103">
        <v>3045.89</v>
      </c>
      <c r="I341" s="133">
        <v>0.33</v>
      </c>
      <c r="J341" s="104" t="s">
        <v>831</v>
      </c>
      <c r="K341" s="104" t="s">
        <v>1542</v>
      </c>
    </row>
    <row r="342" spans="1:11" hidden="1" x14ac:dyDescent="0.3">
      <c r="A342" s="100" t="s">
        <v>390</v>
      </c>
      <c r="B342" s="101" t="s">
        <v>7</v>
      </c>
      <c r="C342" s="101" t="s">
        <v>1528</v>
      </c>
      <c r="D342" s="101" t="s">
        <v>1529</v>
      </c>
      <c r="E342" s="102">
        <v>45777</v>
      </c>
      <c r="F342" s="101" t="s">
        <v>375</v>
      </c>
      <c r="G342" s="101" t="s">
        <v>62</v>
      </c>
      <c r="H342" s="103">
        <v>34491.24</v>
      </c>
      <c r="I342" s="133">
        <v>0.46400000000000002</v>
      </c>
      <c r="J342" s="104" t="s">
        <v>831</v>
      </c>
      <c r="K342" s="104" t="s">
        <v>1542</v>
      </c>
    </row>
    <row r="343" spans="1:11" hidden="1" x14ac:dyDescent="0.3">
      <c r="A343" s="100" t="s">
        <v>390</v>
      </c>
      <c r="B343" s="101" t="s">
        <v>7</v>
      </c>
      <c r="C343" s="101" t="s">
        <v>1530</v>
      </c>
      <c r="D343" s="101" t="s">
        <v>1531</v>
      </c>
      <c r="E343" s="102">
        <v>45756</v>
      </c>
      <c r="F343" s="101" t="s">
        <v>372</v>
      </c>
      <c r="G343" s="101" t="s">
        <v>10</v>
      </c>
      <c r="H343" s="103">
        <v>73098.523119999998</v>
      </c>
      <c r="I343" s="133">
        <v>0.27300000000000002</v>
      </c>
      <c r="J343" s="104" t="s">
        <v>833</v>
      </c>
      <c r="K343" s="104" t="s">
        <v>1542</v>
      </c>
    </row>
    <row r="344" spans="1:11" hidden="1" x14ac:dyDescent="0.3">
      <c r="A344" s="100" t="s">
        <v>390</v>
      </c>
      <c r="B344" s="101" t="s">
        <v>7</v>
      </c>
      <c r="C344" s="101" t="s">
        <v>1532</v>
      </c>
      <c r="D344" s="101" t="s">
        <v>1533</v>
      </c>
      <c r="E344" s="102">
        <v>45772</v>
      </c>
      <c r="F344" s="101" t="s">
        <v>1175</v>
      </c>
      <c r="G344" s="101" t="s">
        <v>852</v>
      </c>
      <c r="H344" s="103">
        <v>4308.1499999999996</v>
      </c>
      <c r="I344" s="133">
        <v>0.57799999999999996</v>
      </c>
      <c r="J344" s="104" t="s">
        <v>831</v>
      </c>
      <c r="K344" s="104" t="s">
        <v>1542</v>
      </c>
    </row>
    <row r="345" spans="1:11" hidden="1" x14ac:dyDescent="0.3">
      <c r="A345" s="100" t="s">
        <v>390</v>
      </c>
      <c r="B345" s="101" t="s">
        <v>7</v>
      </c>
      <c r="C345" s="101" t="s">
        <v>1534</v>
      </c>
      <c r="D345" s="101" t="s">
        <v>1533</v>
      </c>
      <c r="E345" s="102">
        <v>45772</v>
      </c>
      <c r="F345" s="101" t="s">
        <v>1175</v>
      </c>
      <c r="G345" s="101" t="s">
        <v>852</v>
      </c>
      <c r="H345" s="103">
        <v>3015.7049999999999</v>
      </c>
      <c r="I345" s="133">
        <v>0.57799999999999996</v>
      </c>
      <c r="J345" s="104" t="s">
        <v>831</v>
      </c>
      <c r="K345" s="104" t="s">
        <v>1542</v>
      </c>
    </row>
    <row r="346" spans="1:11" hidden="1" x14ac:dyDescent="0.3">
      <c r="A346" s="100" t="s">
        <v>392</v>
      </c>
      <c r="B346" s="101" t="s">
        <v>7</v>
      </c>
      <c r="C346" s="101" t="s">
        <v>1535</v>
      </c>
      <c r="D346" s="101" t="s">
        <v>1536</v>
      </c>
      <c r="E346" s="102">
        <v>45763</v>
      </c>
      <c r="F346" s="101" t="s">
        <v>844</v>
      </c>
      <c r="G346" s="101" t="s">
        <v>863</v>
      </c>
      <c r="H346" s="103">
        <v>120127.8</v>
      </c>
      <c r="I346" s="133">
        <v>0.18</v>
      </c>
      <c r="J346" s="104" t="s">
        <v>848</v>
      </c>
      <c r="K346" s="104" t="s">
        <v>1540</v>
      </c>
    </row>
    <row r="347" spans="1:11" hidden="1" x14ac:dyDescent="0.3">
      <c r="A347" s="100" t="s">
        <v>392</v>
      </c>
      <c r="B347" s="101" t="s">
        <v>7</v>
      </c>
      <c r="C347" s="101" t="s">
        <v>1537</v>
      </c>
      <c r="D347" s="101" t="s">
        <v>1538</v>
      </c>
      <c r="E347" s="102">
        <v>45777</v>
      </c>
      <c r="F347" s="101" t="s">
        <v>844</v>
      </c>
      <c r="G347" s="101" t="s">
        <v>863</v>
      </c>
      <c r="H347" s="103">
        <v>117433.79999999999</v>
      </c>
      <c r="I347" s="133">
        <v>0.184</v>
      </c>
      <c r="J347" s="104" t="s">
        <v>848</v>
      </c>
      <c r="K347" s="104" t="s">
        <v>1540</v>
      </c>
    </row>
    <row r="348" spans="1:11" hidden="1" x14ac:dyDescent="0.3">
      <c r="A348" s="100" t="s">
        <v>390</v>
      </c>
      <c r="B348" s="101" t="s">
        <v>7</v>
      </c>
      <c r="C348" s="101" t="s">
        <v>1539</v>
      </c>
      <c r="D348" s="101" t="s">
        <v>1378</v>
      </c>
      <c r="E348" s="102">
        <v>45777</v>
      </c>
      <c r="F348" s="101" t="s">
        <v>1007</v>
      </c>
      <c r="G348" s="101" t="s">
        <v>865</v>
      </c>
      <c r="H348" s="103">
        <v>89394.155199999994</v>
      </c>
      <c r="I348" s="133">
        <v>0.33</v>
      </c>
      <c r="J348" s="104" t="s">
        <v>831</v>
      </c>
      <c r="K348" s="104" t="s">
        <v>1542</v>
      </c>
    </row>
    <row r="349" spans="1:11" hidden="1" x14ac:dyDescent="0.3">
      <c r="A349" s="100" t="s">
        <v>392</v>
      </c>
      <c r="B349" s="101" t="s">
        <v>8</v>
      </c>
      <c r="C349" s="101" t="s">
        <v>1544</v>
      </c>
      <c r="D349" s="101" t="s">
        <v>1545</v>
      </c>
      <c r="E349" s="102">
        <v>45784</v>
      </c>
      <c r="F349" s="101" t="s">
        <v>370</v>
      </c>
      <c r="G349" s="101" t="s">
        <v>63</v>
      </c>
      <c r="H349" s="103">
        <v>6894.17</v>
      </c>
      <c r="I349" s="133">
        <v>0.47799999999999998</v>
      </c>
      <c r="J349" s="104" t="s">
        <v>830</v>
      </c>
      <c r="K349" s="104" t="s">
        <v>1540</v>
      </c>
    </row>
    <row r="350" spans="1:11" hidden="1" x14ac:dyDescent="0.3">
      <c r="A350" s="100" t="s">
        <v>392</v>
      </c>
      <c r="B350" s="101" t="s">
        <v>8</v>
      </c>
      <c r="C350" s="101" t="s">
        <v>1546</v>
      </c>
      <c r="D350" s="101" t="s">
        <v>1547</v>
      </c>
      <c r="E350" s="102">
        <v>45784</v>
      </c>
      <c r="F350" s="101" t="s">
        <v>370</v>
      </c>
      <c r="G350" s="101" t="s">
        <v>63</v>
      </c>
      <c r="H350" s="103">
        <v>6894.17</v>
      </c>
      <c r="I350" s="133">
        <v>0.47799999999999998</v>
      </c>
      <c r="J350" s="104" t="s">
        <v>830</v>
      </c>
      <c r="K350" s="104" t="s">
        <v>1540</v>
      </c>
    </row>
    <row r="351" spans="1:11" hidden="1" x14ac:dyDescent="0.3">
      <c r="A351" s="100" t="s">
        <v>392</v>
      </c>
      <c r="B351" s="101" t="s">
        <v>8</v>
      </c>
      <c r="C351" s="101" t="s">
        <v>1548</v>
      </c>
      <c r="D351" s="101" t="s">
        <v>1549</v>
      </c>
      <c r="E351" s="102">
        <v>45784</v>
      </c>
      <c r="F351" s="101" t="s">
        <v>370</v>
      </c>
      <c r="G351" s="101" t="s">
        <v>63</v>
      </c>
      <c r="H351" s="103">
        <v>8856.9500000000007</v>
      </c>
      <c r="I351" s="133">
        <v>0.59399999999999997</v>
      </c>
      <c r="J351" s="104" t="s">
        <v>830</v>
      </c>
      <c r="K351" s="104" t="s">
        <v>1540</v>
      </c>
    </row>
    <row r="352" spans="1:11" hidden="1" x14ac:dyDescent="0.3">
      <c r="A352" s="100" t="s">
        <v>392</v>
      </c>
      <c r="B352" s="101" t="s">
        <v>8</v>
      </c>
      <c r="C352" s="101" t="s">
        <v>1550</v>
      </c>
      <c r="D352" s="101" t="s">
        <v>1551</v>
      </c>
      <c r="E352" s="102">
        <v>45784</v>
      </c>
      <c r="F352" s="101" t="s">
        <v>371</v>
      </c>
      <c r="G352" s="101" t="s">
        <v>864</v>
      </c>
      <c r="H352" s="103">
        <v>7781.2</v>
      </c>
      <c r="I352" s="133">
        <v>0.85599999999999998</v>
      </c>
      <c r="J352" s="104" t="s">
        <v>848</v>
      </c>
      <c r="K352" s="104" t="s">
        <v>1540</v>
      </c>
    </row>
    <row r="353" spans="1:11" hidden="1" x14ac:dyDescent="0.3">
      <c r="A353" s="100" t="s">
        <v>390</v>
      </c>
      <c r="B353" s="101" t="s">
        <v>8</v>
      </c>
      <c r="C353" s="101" t="s">
        <v>1552</v>
      </c>
      <c r="D353" s="101" t="s">
        <v>1553</v>
      </c>
      <c r="E353" s="102">
        <v>45784</v>
      </c>
      <c r="F353" s="101" t="s">
        <v>372</v>
      </c>
      <c r="G353" s="101" t="s">
        <v>10</v>
      </c>
      <c r="H353" s="103">
        <v>9074.25</v>
      </c>
      <c r="I353" s="133">
        <v>0.38700000000000001</v>
      </c>
      <c r="J353" s="104" t="s">
        <v>833</v>
      </c>
      <c r="K353" s="104" t="s">
        <v>1541</v>
      </c>
    </row>
    <row r="354" spans="1:11" hidden="1" x14ac:dyDescent="0.3">
      <c r="A354" s="100" t="s">
        <v>390</v>
      </c>
      <c r="B354" s="101" t="s">
        <v>8</v>
      </c>
      <c r="C354" s="101" t="s">
        <v>1554</v>
      </c>
      <c r="D354" s="101" t="s">
        <v>1555</v>
      </c>
      <c r="E354" s="102">
        <v>45784</v>
      </c>
      <c r="F354" s="101" t="s">
        <v>372</v>
      </c>
      <c r="G354" s="101" t="s">
        <v>10</v>
      </c>
      <c r="H354" s="103">
        <v>73533.759999999995</v>
      </c>
      <c r="I354" s="133">
        <v>0.26800000000000002</v>
      </c>
      <c r="J354" s="104" t="s">
        <v>833</v>
      </c>
      <c r="K354" s="104" t="s">
        <v>1542</v>
      </c>
    </row>
    <row r="355" spans="1:11" hidden="1" x14ac:dyDescent="0.3">
      <c r="A355" s="100" t="s">
        <v>390</v>
      </c>
      <c r="B355" s="101" t="s">
        <v>8</v>
      </c>
      <c r="C355" s="101" t="s">
        <v>1556</v>
      </c>
      <c r="D355" s="101" t="s">
        <v>1557</v>
      </c>
      <c r="E355" s="102">
        <v>45784</v>
      </c>
      <c r="F355" s="101" t="s">
        <v>372</v>
      </c>
      <c r="G355" s="101" t="s">
        <v>10</v>
      </c>
      <c r="H355" s="103">
        <v>73285.539999999994</v>
      </c>
      <c r="I355" s="133">
        <v>0.25900000000000001</v>
      </c>
      <c r="J355" s="104" t="s">
        <v>833</v>
      </c>
      <c r="K355" s="104" t="s">
        <v>1542</v>
      </c>
    </row>
    <row r="356" spans="1:11" hidden="1" x14ac:dyDescent="0.3">
      <c r="A356" s="100" t="s">
        <v>392</v>
      </c>
      <c r="B356" s="101" t="s">
        <v>8</v>
      </c>
      <c r="C356" s="101" t="s">
        <v>1558</v>
      </c>
      <c r="D356" s="101" t="s">
        <v>1559</v>
      </c>
      <c r="E356" s="102">
        <v>45784</v>
      </c>
      <c r="F356" s="101" t="s">
        <v>371</v>
      </c>
      <c r="G356" s="101" t="s">
        <v>864</v>
      </c>
      <c r="H356" s="103">
        <v>15685</v>
      </c>
      <c r="I356" s="133">
        <v>0.85899999999999999</v>
      </c>
      <c r="J356" s="104" t="s">
        <v>848</v>
      </c>
      <c r="K356" s="104" t="s">
        <v>1540</v>
      </c>
    </row>
    <row r="357" spans="1:11" hidden="1" x14ac:dyDescent="0.3">
      <c r="A357" s="100" t="s">
        <v>392</v>
      </c>
      <c r="B357" s="101" t="s">
        <v>8</v>
      </c>
      <c r="C357" s="101" t="s">
        <v>1560</v>
      </c>
      <c r="D357" s="101" t="s">
        <v>1561</v>
      </c>
      <c r="E357" s="102">
        <v>45785</v>
      </c>
      <c r="F357" s="101" t="s">
        <v>854</v>
      </c>
      <c r="G357" s="101" t="s">
        <v>855</v>
      </c>
      <c r="H357" s="103">
        <v>57070.28</v>
      </c>
      <c r="I357" s="133">
        <v>0.46260000000000001</v>
      </c>
      <c r="J357" s="104" t="s">
        <v>1834</v>
      </c>
      <c r="K357" s="104" t="s">
        <v>1540</v>
      </c>
    </row>
    <row r="358" spans="1:11" hidden="1" x14ac:dyDescent="0.3">
      <c r="A358" s="100" t="s">
        <v>392</v>
      </c>
      <c r="B358" s="101" t="s">
        <v>8</v>
      </c>
      <c r="C358" s="101" t="s">
        <v>1562</v>
      </c>
      <c r="D358" s="101" t="s">
        <v>1563</v>
      </c>
      <c r="E358" s="102">
        <v>45785</v>
      </c>
      <c r="F358" s="101" t="s">
        <v>370</v>
      </c>
      <c r="G358" s="101" t="s">
        <v>63</v>
      </c>
      <c r="H358" s="103">
        <v>8150</v>
      </c>
      <c r="I358" s="133">
        <v>0.50900000000000001</v>
      </c>
      <c r="J358" s="104" t="s">
        <v>830</v>
      </c>
      <c r="K358" s="104" t="s">
        <v>1540</v>
      </c>
    </row>
    <row r="359" spans="1:11" hidden="1" x14ac:dyDescent="0.3">
      <c r="A359" s="100" t="s">
        <v>390</v>
      </c>
      <c r="B359" s="101" t="s">
        <v>8</v>
      </c>
      <c r="C359" s="101" t="s">
        <v>1564</v>
      </c>
      <c r="D359" s="101" t="s">
        <v>1565</v>
      </c>
      <c r="E359" s="102">
        <v>45785</v>
      </c>
      <c r="F359" s="101" t="s">
        <v>370</v>
      </c>
      <c r="G359" s="101" t="s">
        <v>63</v>
      </c>
      <c r="H359" s="103">
        <v>9300</v>
      </c>
      <c r="I359" s="133">
        <v>0.38900000000000001</v>
      </c>
      <c r="J359" s="104" t="s">
        <v>830</v>
      </c>
      <c r="K359" s="104" t="s">
        <v>1541</v>
      </c>
    </row>
    <row r="360" spans="1:11" hidden="1" x14ac:dyDescent="0.3">
      <c r="A360" s="100" t="s">
        <v>390</v>
      </c>
      <c r="B360" s="101" t="s">
        <v>8</v>
      </c>
      <c r="C360" s="101" t="s">
        <v>1566</v>
      </c>
      <c r="D360" s="101" t="s">
        <v>1567</v>
      </c>
      <c r="E360" s="102">
        <v>45790</v>
      </c>
      <c r="F360" s="101" t="s">
        <v>370</v>
      </c>
      <c r="G360" s="101" t="s">
        <v>63</v>
      </c>
      <c r="H360" s="103">
        <v>16050</v>
      </c>
      <c r="I360" s="133">
        <v>0.47</v>
      </c>
      <c r="J360" s="104" t="s">
        <v>830</v>
      </c>
      <c r="K360" s="104" t="s">
        <v>1541</v>
      </c>
    </row>
    <row r="361" spans="1:11" hidden="1" x14ac:dyDescent="0.3">
      <c r="A361" s="100" t="s">
        <v>392</v>
      </c>
      <c r="B361" s="101" t="s">
        <v>8</v>
      </c>
      <c r="C361" s="101" t="s">
        <v>1568</v>
      </c>
      <c r="D361" s="101" t="s">
        <v>1569</v>
      </c>
      <c r="E361" s="102">
        <v>45790</v>
      </c>
      <c r="F361" s="101" t="s">
        <v>370</v>
      </c>
      <c r="G361" s="101" t="s">
        <v>63</v>
      </c>
      <c r="H361" s="103">
        <v>13803.55</v>
      </c>
      <c r="I361" s="133">
        <v>0.52900000000000003</v>
      </c>
      <c r="J361" s="104" t="s">
        <v>830</v>
      </c>
      <c r="K361" s="104" t="s">
        <v>1540</v>
      </c>
    </row>
    <row r="362" spans="1:11" hidden="1" x14ac:dyDescent="0.3">
      <c r="A362" s="100" t="s">
        <v>392</v>
      </c>
      <c r="B362" s="101" t="s">
        <v>8</v>
      </c>
      <c r="C362" s="101" t="s">
        <v>1570</v>
      </c>
      <c r="D362" s="101" t="s">
        <v>1571</v>
      </c>
      <c r="E362" s="102">
        <v>45790</v>
      </c>
      <c r="F362" s="101" t="s">
        <v>370</v>
      </c>
      <c r="G362" s="101" t="s">
        <v>63</v>
      </c>
      <c r="H362" s="103">
        <v>8150</v>
      </c>
      <c r="I362" s="133">
        <v>0.68899999999999995</v>
      </c>
      <c r="J362" s="104" t="s">
        <v>830</v>
      </c>
      <c r="K362" s="104" t="s">
        <v>1540</v>
      </c>
    </row>
    <row r="363" spans="1:11" hidden="1" x14ac:dyDescent="0.3">
      <c r="A363" s="100" t="s">
        <v>392</v>
      </c>
      <c r="B363" s="101" t="s">
        <v>8</v>
      </c>
      <c r="C363" s="101" t="s">
        <v>1572</v>
      </c>
      <c r="D363" s="101" t="s">
        <v>1573</v>
      </c>
      <c r="E363" s="102">
        <v>45790</v>
      </c>
      <c r="F363" s="101" t="s">
        <v>370</v>
      </c>
      <c r="G363" s="101" t="s">
        <v>63</v>
      </c>
      <c r="H363" s="103">
        <v>11268.96</v>
      </c>
      <c r="I363" s="133">
        <v>0.68600000000000005</v>
      </c>
      <c r="J363" s="104" t="s">
        <v>830</v>
      </c>
      <c r="K363" s="104" t="s">
        <v>1540</v>
      </c>
    </row>
    <row r="364" spans="1:11" hidden="1" x14ac:dyDescent="0.3">
      <c r="A364" s="100" t="s">
        <v>392</v>
      </c>
      <c r="B364" s="101" t="s">
        <v>8</v>
      </c>
      <c r="C364" s="101" t="s">
        <v>1574</v>
      </c>
      <c r="D364" s="101" t="s">
        <v>1575</v>
      </c>
      <c r="E364" s="102">
        <v>45790</v>
      </c>
      <c r="F364" s="101" t="s">
        <v>370</v>
      </c>
      <c r="G364" s="101" t="s">
        <v>63</v>
      </c>
      <c r="H364" s="103">
        <v>8150</v>
      </c>
      <c r="I364" s="133">
        <v>0.68899999999999995</v>
      </c>
      <c r="J364" s="104" t="s">
        <v>830</v>
      </c>
      <c r="K364" s="104" t="s">
        <v>1540</v>
      </c>
    </row>
    <row r="365" spans="1:11" hidden="1" x14ac:dyDescent="0.3">
      <c r="A365" s="100" t="s">
        <v>392</v>
      </c>
      <c r="B365" s="101" t="s">
        <v>8</v>
      </c>
      <c r="C365" s="101" t="s">
        <v>1576</v>
      </c>
      <c r="D365" s="101" t="s">
        <v>1577</v>
      </c>
      <c r="E365" s="102">
        <v>45790</v>
      </c>
      <c r="F365" s="101" t="s">
        <v>370</v>
      </c>
      <c r="G365" s="101" t="s">
        <v>63</v>
      </c>
      <c r="H365" s="103">
        <v>8150</v>
      </c>
      <c r="I365" s="133">
        <v>0.50900000000000001</v>
      </c>
      <c r="J365" s="104" t="s">
        <v>830</v>
      </c>
      <c r="K365" s="104" t="s">
        <v>1540</v>
      </c>
    </row>
    <row r="366" spans="1:11" hidden="1" x14ac:dyDescent="0.3">
      <c r="A366" s="100" t="s">
        <v>390</v>
      </c>
      <c r="B366" s="101" t="s">
        <v>8</v>
      </c>
      <c r="C366" s="101" t="s">
        <v>1578</v>
      </c>
      <c r="D366" s="101" t="s">
        <v>1579</v>
      </c>
      <c r="E366" s="102">
        <v>45790</v>
      </c>
      <c r="F366" s="101" t="s">
        <v>372</v>
      </c>
      <c r="G366" s="101" t="s">
        <v>10</v>
      </c>
      <c r="H366" s="103">
        <v>38270.11</v>
      </c>
      <c r="I366" s="133">
        <v>0.224</v>
      </c>
      <c r="J366" s="104" t="s">
        <v>833</v>
      </c>
      <c r="K366" s="104" t="s">
        <v>1541</v>
      </c>
    </row>
    <row r="367" spans="1:11" hidden="1" x14ac:dyDescent="0.3">
      <c r="A367" s="100" t="s">
        <v>392</v>
      </c>
      <c r="B367" s="101" t="s">
        <v>8</v>
      </c>
      <c r="C367" s="101" t="s">
        <v>1580</v>
      </c>
      <c r="D367" s="101" t="s">
        <v>1581</v>
      </c>
      <c r="E367" s="102">
        <v>45790</v>
      </c>
      <c r="F367" s="101" t="s">
        <v>372</v>
      </c>
      <c r="G367" s="101" t="s">
        <v>10</v>
      </c>
      <c r="H367" s="103">
        <v>35000</v>
      </c>
      <c r="I367" s="133">
        <v>0.29099999999999998</v>
      </c>
      <c r="J367" s="104" t="s">
        <v>848</v>
      </c>
      <c r="K367" s="104" t="s">
        <v>1540</v>
      </c>
    </row>
    <row r="368" spans="1:11" hidden="1" x14ac:dyDescent="0.3">
      <c r="A368" s="100" t="s">
        <v>390</v>
      </c>
      <c r="B368" s="101" t="s">
        <v>8</v>
      </c>
      <c r="C368" s="101" t="s">
        <v>1582</v>
      </c>
      <c r="D368" s="101" t="s">
        <v>1583</v>
      </c>
      <c r="E368" s="102">
        <v>45790</v>
      </c>
      <c r="F368" s="101" t="s">
        <v>371</v>
      </c>
      <c r="G368" s="101" t="s">
        <v>864</v>
      </c>
      <c r="H368" s="103">
        <v>41643.42</v>
      </c>
      <c r="I368" s="133">
        <v>0.3</v>
      </c>
      <c r="J368" s="104" t="s">
        <v>832</v>
      </c>
      <c r="K368" s="104" t="s">
        <v>1541</v>
      </c>
    </row>
    <row r="369" spans="1:11" hidden="1" x14ac:dyDescent="0.3">
      <c r="A369" s="100" t="s">
        <v>390</v>
      </c>
      <c r="B369" s="101" t="s">
        <v>8</v>
      </c>
      <c r="C369" s="101" t="s">
        <v>1584</v>
      </c>
      <c r="D369" s="101" t="s">
        <v>1585</v>
      </c>
      <c r="E369" s="102">
        <v>45790</v>
      </c>
      <c r="F369" s="101" t="s">
        <v>371</v>
      </c>
      <c r="G369" s="101" t="s">
        <v>864</v>
      </c>
      <c r="H369" s="103">
        <v>24730.23</v>
      </c>
      <c r="I369" s="133">
        <v>0.249</v>
      </c>
      <c r="J369" s="104" t="s">
        <v>832</v>
      </c>
      <c r="K369" s="104" t="s">
        <v>1541</v>
      </c>
    </row>
    <row r="370" spans="1:11" hidden="1" x14ac:dyDescent="0.3">
      <c r="A370" s="100" t="s">
        <v>390</v>
      </c>
      <c r="B370" s="101" t="s">
        <v>8</v>
      </c>
      <c r="C370" s="101" t="s">
        <v>1586</v>
      </c>
      <c r="D370" s="101" t="s">
        <v>1587</v>
      </c>
      <c r="E370" s="102">
        <v>45790</v>
      </c>
      <c r="F370" s="101" t="s">
        <v>371</v>
      </c>
      <c r="G370" s="101" t="s">
        <v>864</v>
      </c>
      <c r="H370" s="103">
        <v>42302.16</v>
      </c>
      <c r="I370" s="133">
        <v>0.19900000000000001</v>
      </c>
      <c r="J370" s="104" t="s">
        <v>832</v>
      </c>
      <c r="K370" s="104" t="s">
        <v>1541</v>
      </c>
    </row>
    <row r="371" spans="1:11" hidden="1" x14ac:dyDescent="0.3">
      <c r="A371" s="100" t="s">
        <v>390</v>
      </c>
      <c r="B371" s="101" t="s">
        <v>8</v>
      </c>
      <c r="C371" s="101" t="s">
        <v>1588</v>
      </c>
      <c r="D371" s="101" t="s">
        <v>1589</v>
      </c>
      <c r="E371" s="102">
        <v>45790</v>
      </c>
      <c r="F371" s="101" t="s">
        <v>371</v>
      </c>
      <c r="G371" s="101" t="s">
        <v>864</v>
      </c>
      <c r="H371" s="103">
        <v>32050.720000000001</v>
      </c>
      <c r="I371" s="133">
        <v>0.23499999999999999</v>
      </c>
      <c r="J371" s="104" t="s">
        <v>832</v>
      </c>
      <c r="K371" s="104" t="s">
        <v>1541</v>
      </c>
    </row>
    <row r="372" spans="1:11" hidden="1" x14ac:dyDescent="0.3">
      <c r="A372" s="100" t="s">
        <v>392</v>
      </c>
      <c r="B372" s="101" t="s">
        <v>8</v>
      </c>
      <c r="C372" s="101" t="s">
        <v>1590</v>
      </c>
      <c r="D372" s="101" t="s">
        <v>1591</v>
      </c>
      <c r="E372" s="102">
        <v>45791</v>
      </c>
      <c r="F372" s="101" t="s">
        <v>371</v>
      </c>
      <c r="G372" s="101" t="s">
        <v>864</v>
      </c>
      <c r="H372" s="103">
        <v>7500</v>
      </c>
      <c r="I372" s="133">
        <v>0.85599999999999998</v>
      </c>
      <c r="J372" s="104" t="s">
        <v>848</v>
      </c>
      <c r="K372" s="104" t="s">
        <v>1540</v>
      </c>
    </row>
    <row r="373" spans="1:11" hidden="1" x14ac:dyDescent="0.3">
      <c r="A373" s="100" t="s">
        <v>392</v>
      </c>
      <c r="B373" s="101" t="s">
        <v>8</v>
      </c>
      <c r="C373" s="101" t="s">
        <v>1592</v>
      </c>
      <c r="D373" s="101" t="s">
        <v>1593</v>
      </c>
      <c r="E373" s="102">
        <v>45791</v>
      </c>
      <c r="F373" s="101" t="s">
        <v>370</v>
      </c>
      <c r="G373" s="101" t="s">
        <v>63</v>
      </c>
      <c r="H373" s="103">
        <v>20750</v>
      </c>
      <c r="I373" s="133">
        <v>0.61399999999999999</v>
      </c>
      <c r="J373" s="104" t="s">
        <v>830</v>
      </c>
      <c r="K373" s="104" t="s">
        <v>1540</v>
      </c>
    </row>
    <row r="374" spans="1:11" hidden="1" x14ac:dyDescent="0.3">
      <c r="A374" s="172" t="s">
        <v>390</v>
      </c>
      <c r="B374" s="173" t="s">
        <v>8</v>
      </c>
      <c r="C374" s="173" t="s">
        <v>1594</v>
      </c>
      <c r="D374" s="173" t="s">
        <v>1016</v>
      </c>
      <c r="E374" s="174">
        <v>45791</v>
      </c>
      <c r="F374" s="173" t="s">
        <v>1595</v>
      </c>
      <c r="G374" s="173" t="s">
        <v>1596</v>
      </c>
      <c r="H374" s="175">
        <v>0</v>
      </c>
      <c r="I374" s="176">
        <v>0</v>
      </c>
      <c r="J374" s="177" t="s">
        <v>1018</v>
      </c>
      <c r="K374" s="177" t="s">
        <v>1542</v>
      </c>
    </row>
    <row r="375" spans="1:11" hidden="1" x14ac:dyDescent="0.3">
      <c r="A375" s="100" t="s">
        <v>390</v>
      </c>
      <c r="B375" s="101" t="s">
        <v>8</v>
      </c>
      <c r="C375" s="101" t="s">
        <v>1597</v>
      </c>
      <c r="D375" s="101" t="s">
        <v>1598</v>
      </c>
      <c r="E375" s="102">
        <v>45792</v>
      </c>
      <c r="F375" s="101" t="s">
        <v>375</v>
      </c>
      <c r="G375" s="101" t="s">
        <v>62</v>
      </c>
      <c r="H375" s="103">
        <v>125996</v>
      </c>
      <c r="I375" s="133">
        <v>0.48799999999999999</v>
      </c>
      <c r="J375" s="104" t="s">
        <v>831</v>
      </c>
      <c r="K375" s="104" t="s">
        <v>1542</v>
      </c>
    </row>
    <row r="376" spans="1:11" hidden="1" x14ac:dyDescent="0.3">
      <c r="A376" s="100" t="s">
        <v>392</v>
      </c>
      <c r="B376" s="101" t="s">
        <v>8</v>
      </c>
      <c r="C376" s="101" t="s">
        <v>1599</v>
      </c>
      <c r="D376" s="101" t="s">
        <v>1600</v>
      </c>
      <c r="E376" s="102">
        <v>45792</v>
      </c>
      <c r="F376" s="101" t="s">
        <v>372</v>
      </c>
      <c r="G376" s="101" t="s">
        <v>10</v>
      </c>
      <c r="H376" s="103">
        <v>42040</v>
      </c>
      <c r="I376" s="133">
        <v>0.38400000000000001</v>
      </c>
      <c r="J376" s="104" t="s">
        <v>848</v>
      </c>
      <c r="K376" s="104" t="s">
        <v>1540</v>
      </c>
    </row>
    <row r="377" spans="1:11" hidden="1" x14ac:dyDescent="0.3">
      <c r="A377" s="100" t="s">
        <v>392</v>
      </c>
      <c r="B377" s="101" t="s">
        <v>8</v>
      </c>
      <c r="C377" s="101" t="s">
        <v>1601</v>
      </c>
      <c r="D377" s="101" t="s">
        <v>1602</v>
      </c>
      <c r="E377" s="102">
        <v>45792</v>
      </c>
      <c r="F377" s="101" t="s">
        <v>371</v>
      </c>
      <c r="G377" s="101" t="s">
        <v>864</v>
      </c>
      <c r="H377" s="103">
        <v>7520</v>
      </c>
      <c r="I377" s="133">
        <v>0.85299999999999998</v>
      </c>
      <c r="J377" s="104" t="s">
        <v>848</v>
      </c>
      <c r="K377" s="104" t="s">
        <v>1540</v>
      </c>
    </row>
    <row r="378" spans="1:11" hidden="1" x14ac:dyDescent="0.3">
      <c r="A378" s="100" t="s">
        <v>390</v>
      </c>
      <c r="B378" s="101" t="s">
        <v>8</v>
      </c>
      <c r="C378" s="101" t="s">
        <v>1603</v>
      </c>
      <c r="D378" s="101" t="s">
        <v>1604</v>
      </c>
      <c r="E378" s="102">
        <v>45793</v>
      </c>
      <c r="F378" s="101" t="s">
        <v>370</v>
      </c>
      <c r="G378" s="101" t="s">
        <v>63</v>
      </c>
      <c r="H378" s="103">
        <v>14000</v>
      </c>
      <c r="I378" s="133">
        <v>0.56699999999999995</v>
      </c>
      <c r="J378" s="104" t="s">
        <v>830</v>
      </c>
      <c r="K378" s="104" t="s">
        <v>1541</v>
      </c>
    </row>
    <row r="379" spans="1:11" hidden="1" x14ac:dyDescent="0.3">
      <c r="A379" s="100" t="s">
        <v>392</v>
      </c>
      <c r="B379" s="101" t="s">
        <v>8</v>
      </c>
      <c r="C379" s="101" t="s">
        <v>1605</v>
      </c>
      <c r="D379" s="101" t="s">
        <v>1606</v>
      </c>
      <c r="E379" s="102">
        <v>45793</v>
      </c>
      <c r="F379" s="101" t="s">
        <v>370</v>
      </c>
      <c r="G379" s="101" t="s">
        <v>63</v>
      </c>
      <c r="H379" s="103">
        <v>10898.55</v>
      </c>
      <c r="I379" s="133">
        <v>0.67</v>
      </c>
      <c r="J379" s="104" t="s">
        <v>830</v>
      </c>
      <c r="K379" s="104" t="s">
        <v>1540</v>
      </c>
    </row>
    <row r="380" spans="1:11" hidden="1" x14ac:dyDescent="0.3">
      <c r="A380" s="100" t="s">
        <v>392</v>
      </c>
      <c r="B380" s="101" t="s">
        <v>8</v>
      </c>
      <c r="C380" s="101" t="s">
        <v>1607</v>
      </c>
      <c r="D380" s="101" t="s">
        <v>1608</v>
      </c>
      <c r="E380" s="102">
        <v>45793</v>
      </c>
      <c r="F380" s="101" t="s">
        <v>370</v>
      </c>
      <c r="G380" s="101" t="s">
        <v>63</v>
      </c>
      <c r="H380" s="103">
        <v>4200</v>
      </c>
      <c r="I380" s="133">
        <v>0.57099999999999995</v>
      </c>
      <c r="J380" s="104" t="s">
        <v>830</v>
      </c>
      <c r="K380" s="104" t="s">
        <v>1540</v>
      </c>
    </row>
    <row r="381" spans="1:11" hidden="1" x14ac:dyDescent="0.3">
      <c r="A381" s="100" t="s">
        <v>390</v>
      </c>
      <c r="B381" s="101" t="s">
        <v>8</v>
      </c>
      <c r="C381" s="101" t="s">
        <v>1609</v>
      </c>
      <c r="D381" s="101" t="s">
        <v>1610</v>
      </c>
      <c r="E381" s="102">
        <v>45793</v>
      </c>
      <c r="F381" s="101" t="s">
        <v>375</v>
      </c>
      <c r="G381" s="101" t="s">
        <v>62</v>
      </c>
      <c r="H381" s="103">
        <v>7945.84</v>
      </c>
      <c r="I381" s="133">
        <v>0.65300000000000002</v>
      </c>
      <c r="J381" s="104" t="s">
        <v>831</v>
      </c>
      <c r="K381" s="104" t="s">
        <v>1542</v>
      </c>
    </row>
    <row r="382" spans="1:11" hidden="1" x14ac:dyDescent="0.3">
      <c r="A382" s="100" t="s">
        <v>390</v>
      </c>
      <c r="B382" s="101" t="s">
        <v>8</v>
      </c>
      <c r="C382" s="101" t="s">
        <v>1611</v>
      </c>
      <c r="D382" s="101" t="s">
        <v>1612</v>
      </c>
      <c r="E382" s="102">
        <v>45793</v>
      </c>
      <c r="F382" s="101" t="s">
        <v>375</v>
      </c>
      <c r="G382" s="101" t="s">
        <v>62</v>
      </c>
      <c r="H382" s="103">
        <v>30260.36</v>
      </c>
      <c r="I382" s="133">
        <v>0.35099999999999998</v>
      </c>
      <c r="J382" s="104" t="s">
        <v>831</v>
      </c>
      <c r="K382" s="104" t="s">
        <v>1542</v>
      </c>
    </row>
    <row r="383" spans="1:11" hidden="1" x14ac:dyDescent="0.3">
      <c r="A383" s="100" t="s">
        <v>392</v>
      </c>
      <c r="B383" s="101" t="s">
        <v>8</v>
      </c>
      <c r="C383" s="101" t="s">
        <v>1613</v>
      </c>
      <c r="D383" s="101" t="s">
        <v>1614</v>
      </c>
      <c r="E383" s="102">
        <v>45793</v>
      </c>
      <c r="F383" s="101" t="s">
        <v>842</v>
      </c>
      <c r="G383" s="101" t="s">
        <v>843</v>
      </c>
      <c r="H383" s="103">
        <v>22000</v>
      </c>
      <c r="I383" s="133">
        <v>0.41899999999999998</v>
      </c>
      <c r="J383" s="104" t="s">
        <v>1835</v>
      </c>
      <c r="K383" s="104" t="s">
        <v>1540</v>
      </c>
    </row>
    <row r="384" spans="1:11" hidden="1" x14ac:dyDescent="0.3">
      <c r="A384" s="100" t="s">
        <v>390</v>
      </c>
      <c r="B384" s="101" t="s">
        <v>8</v>
      </c>
      <c r="C384" s="101" t="s">
        <v>1615</v>
      </c>
      <c r="D384" s="101" t="s">
        <v>1616</v>
      </c>
      <c r="E384" s="102">
        <v>45793</v>
      </c>
      <c r="F384" s="101" t="s">
        <v>372</v>
      </c>
      <c r="G384" s="101" t="s">
        <v>10</v>
      </c>
      <c r="H384" s="103">
        <v>107117.88</v>
      </c>
      <c r="I384" s="133">
        <v>0.312</v>
      </c>
      <c r="J384" s="104" t="s">
        <v>833</v>
      </c>
      <c r="K384" s="104" t="s">
        <v>1542</v>
      </c>
    </row>
    <row r="385" spans="1:11" hidden="1" x14ac:dyDescent="0.3">
      <c r="A385" s="100" t="s">
        <v>390</v>
      </c>
      <c r="B385" s="101" t="s">
        <v>8</v>
      </c>
      <c r="C385" s="101" t="s">
        <v>1617</v>
      </c>
      <c r="D385" s="101" t="s">
        <v>1618</v>
      </c>
      <c r="E385" s="102">
        <v>45796</v>
      </c>
      <c r="F385" s="101" t="s">
        <v>370</v>
      </c>
      <c r="G385" s="101" t="s">
        <v>63</v>
      </c>
      <c r="H385" s="103">
        <v>24700</v>
      </c>
      <c r="I385" s="133">
        <v>0.57499999999999996</v>
      </c>
      <c r="J385" s="104" t="s">
        <v>830</v>
      </c>
      <c r="K385" s="104" t="s">
        <v>1541</v>
      </c>
    </row>
    <row r="386" spans="1:11" hidden="1" x14ac:dyDescent="0.3">
      <c r="A386" s="100" t="s">
        <v>392</v>
      </c>
      <c r="B386" s="101" t="s">
        <v>8</v>
      </c>
      <c r="C386" s="101" t="s">
        <v>1619</v>
      </c>
      <c r="D386" s="101" t="s">
        <v>1620</v>
      </c>
      <c r="E386" s="102">
        <v>45796</v>
      </c>
      <c r="F386" s="101" t="s">
        <v>370</v>
      </c>
      <c r="G386" s="101" t="s">
        <v>63</v>
      </c>
      <c r="H386" s="103">
        <v>4200</v>
      </c>
      <c r="I386" s="133">
        <v>0.57099999999999995</v>
      </c>
      <c r="J386" s="104" t="s">
        <v>830</v>
      </c>
      <c r="K386" s="104" t="s">
        <v>1540</v>
      </c>
    </row>
    <row r="387" spans="1:11" hidden="1" x14ac:dyDescent="0.3">
      <c r="A387" s="100" t="s">
        <v>392</v>
      </c>
      <c r="B387" s="101" t="s">
        <v>8</v>
      </c>
      <c r="C387" s="101" t="s">
        <v>1621</v>
      </c>
      <c r="D387" s="101" t="s">
        <v>1622</v>
      </c>
      <c r="E387" s="102">
        <v>45796</v>
      </c>
      <c r="F387" s="101" t="s">
        <v>370</v>
      </c>
      <c r="G387" s="101" t="s">
        <v>63</v>
      </c>
      <c r="H387" s="103">
        <v>4200</v>
      </c>
      <c r="I387" s="133">
        <v>0.57099999999999995</v>
      </c>
      <c r="J387" s="104" t="s">
        <v>830</v>
      </c>
      <c r="K387" s="104" t="s">
        <v>1540</v>
      </c>
    </row>
    <row r="388" spans="1:11" hidden="1" x14ac:dyDescent="0.3">
      <c r="A388" s="100" t="s">
        <v>392</v>
      </c>
      <c r="B388" s="101" t="s">
        <v>8</v>
      </c>
      <c r="C388" s="101" t="s">
        <v>1623</v>
      </c>
      <c r="D388" s="101" t="s">
        <v>1624</v>
      </c>
      <c r="E388" s="102">
        <v>45796</v>
      </c>
      <c r="F388" s="101" t="s">
        <v>370</v>
      </c>
      <c r="G388" s="101" t="s">
        <v>63</v>
      </c>
      <c r="H388" s="103">
        <v>4200</v>
      </c>
      <c r="I388" s="133">
        <v>0.57099999999999995</v>
      </c>
      <c r="J388" s="104" t="s">
        <v>830</v>
      </c>
      <c r="K388" s="104" t="s">
        <v>1540</v>
      </c>
    </row>
    <row r="389" spans="1:11" hidden="1" x14ac:dyDescent="0.3">
      <c r="A389" s="100" t="s">
        <v>390</v>
      </c>
      <c r="B389" s="101" t="s">
        <v>8</v>
      </c>
      <c r="C389" s="101" t="s">
        <v>1625</v>
      </c>
      <c r="D389" s="101" t="s">
        <v>1626</v>
      </c>
      <c r="E389" s="102">
        <v>45796</v>
      </c>
      <c r="F389" s="101" t="s">
        <v>372</v>
      </c>
      <c r="G389" s="101" t="s">
        <v>10</v>
      </c>
      <c r="H389" s="103">
        <v>72470.350000000006</v>
      </c>
      <c r="I389" s="133">
        <v>0.26</v>
      </c>
      <c r="J389" s="104" t="s">
        <v>833</v>
      </c>
      <c r="K389" s="104" t="s">
        <v>1542</v>
      </c>
    </row>
    <row r="390" spans="1:11" hidden="1" x14ac:dyDescent="0.3">
      <c r="A390" s="100" t="s">
        <v>390</v>
      </c>
      <c r="B390" s="101" t="s">
        <v>8</v>
      </c>
      <c r="C390" s="101" t="s">
        <v>1627</v>
      </c>
      <c r="D390" s="101" t="s">
        <v>1628</v>
      </c>
      <c r="E390" s="102">
        <v>45796</v>
      </c>
      <c r="F390" s="101" t="s">
        <v>372</v>
      </c>
      <c r="G390" s="101" t="s">
        <v>10</v>
      </c>
      <c r="H390" s="103">
        <v>72470.350000000006</v>
      </c>
      <c r="I390" s="133">
        <v>0.26800000000000002</v>
      </c>
      <c r="J390" s="104" t="s">
        <v>833</v>
      </c>
      <c r="K390" s="104" t="s">
        <v>1542</v>
      </c>
    </row>
    <row r="391" spans="1:11" hidden="1" x14ac:dyDescent="0.3">
      <c r="A391" s="100" t="s">
        <v>392</v>
      </c>
      <c r="B391" s="101" t="s">
        <v>8</v>
      </c>
      <c r="C391" s="101" t="s">
        <v>1629</v>
      </c>
      <c r="D391" s="101" t="s">
        <v>1630</v>
      </c>
      <c r="E391" s="102">
        <v>45796</v>
      </c>
      <c r="F391" s="101" t="s">
        <v>371</v>
      </c>
      <c r="G391" s="101" t="s">
        <v>864</v>
      </c>
      <c r="H391" s="103">
        <v>9504.99</v>
      </c>
      <c r="I391" s="133">
        <v>0.79900000000000004</v>
      </c>
      <c r="J391" s="104" t="s">
        <v>848</v>
      </c>
      <c r="K391" s="104" t="s">
        <v>1540</v>
      </c>
    </row>
    <row r="392" spans="1:11" hidden="1" x14ac:dyDescent="0.3">
      <c r="A392" s="100" t="s">
        <v>392</v>
      </c>
      <c r="B392" s="101" t="s">
        <v>8</v>
      </c>
      <c r="C392" s="101" t="s">
        <v>1631</v>
      </c>
      <c r="D392" s="101" t="s">
        <v>1632</v>
      </c>
      <c r="E392" s="102">
        <v>45796</v>
      </c>
      <c r="F392" s="101" t="s">
        <v>371</v>
      </c>
      <c r="G392" s="101" t="s">
        <v>864</v>
      </c>
      <c r="H392" s="103">
        <v>37781.199999999997</v>
      </c>
      <c r="I392" s="133">
        <v>0.78400000000000003</v>
      </c>
      <c r="J392" s="104" t="s">
        <v>848</v>
      </c>
      <c r="K392" s="104" t="s">
        <v>1540</v>
      </c>
    </row>
    <row r="393" spans="1:11" hidden="1" x14ac:dyDescent="0.3">
      <c r="A393" s="100" t="s">
        <v>392</v>
      </c>
      <c r="B393" s="101" t="s">
        <v>8</v>
      </c>
      <c r="C393" s="101" t="s">
        <v>1633</v>
      </c>
      <c r="D393" s="101" t="s">
        <v>1634</v>
      </c>
      <c r="E393" s="102">
        <v>45796</v>
      </c>
      <c r="F393" s="101" t="s">
        <v>371</v>
      </c>
      <c r="G393" s="101" t="s">
        <v>864</v>
      </c>
      <c r="H393" s="103">
        <v>31860</v>
      </c>
      <c r="I393" s="133">
        <v>0.84099999999999997</v>
      </c>
      <c r="J393" s="104" t="s">
        <v>848</v>
      </c>
      <c r="K393" s="104" t="s">
        <v>1540</v>
      </c>
    </row>
    <row r="394" spans="1:11" hidden="1" x14ac:dyDescent="0.3">
      <c r="A394" s="100" t="s">
        <v>392</v>
      </c>
      <c r="B394" s="101" t="s">
        <v>8</v>
      </c>
      <c r="C394" s="101" t="s">
        <v>1635</v>
      </c>
      <c r="D394" s="101" t="s">
        <v>1636</v>
      </c>
      <c r="E394" s="102">
        <v>45796</v>
      </c>
      <c r="F394" s="101" t="s">
        <v>371</v>
      </c>
      <c r="G394" s="101" t="s">
        <v>864</v>
      </c>
      <c r="H394" s="103">
        <v>7475.86</v>
      </c>
      <c r="I394" s="133">
        <v>0.85899999999999999</v>
      </c>
      <c r="J394" s="104" t="s">
        <v>848</v>
      </c>
      <c r="K394" s="104" t="s">
        <v>1540</v>
      </c>
    </row>
    <row r="395" spans="1:11" hidden="1" x14ac:dyDescent="0.3">
      <c r="A395" s="100" t="s">
        <v>392</v>
      </c>
      <c r="B395" s="101" t="s">
        <v>8</v>
      </c>
      <c r="C395" s="101" t="s">
        <v>1637</v>
      </c>
      <c r="D395" s="101" t="s">
        <v>1638</v>
      </c>
      <c r="E395" s="102">
        <v>45796</v>
      </c>
      <c r="F395" s="101" t="s">
        <v>371</v>
      </c>
      <c r="G395" s="101" t="s">
        <v>864</v>
      </c>
      <c r="H395" s="103">
        <v>7520</v>
      </c>
      <c r="I395" s="133">
        <v>0.85899999999999999</v>
      </c>
      <c r="J395" s="104" t="s">
        <v>848</v>
      </c>
      <c r="K395" s="104" t="s">
        <v>1540</v>
      </c>
    </row>
    <row r="396" spans="1:11" hidden="1" x14ac:dyDescent="0.3">
      <c r="A396" s="100" t="s">
        <v>390</v>
      </c>
      <c r="B396" s="101" t="s">
        <v>8</v>
      </c>
      <c r="C396" s="101" t="s">
        <v>1639</v>
      </c>
      <c r="D396" s="101" t="s">
        <v>1640</v>
      </c>
      <c r="E396" s="102">
        <v>45797</v>
      </c>
      <c r="F396" s="101" t="s">
        <v>371</v>
      </c>
      <c r="G396" s="101" t="s">
        <v>864</v>
      </c>
      <c r="H396" s="103">
        <v>42145.11</v>
      </c>
      <c r="I396" s="133">
        <v>0.85899999999999999</v>
      </c>
      <c r="J396" s="104" t="s">
        <v>848</v>
      </c>
      <c r="K396" s="104" t="s">
        <v>1540</v>
      </c>
    </row>
    <row r="397" spans="1:11" hidden="1" x14ac:dyDescent="0.3">
      <c r="A397" s="100" t="s">
        <v>390</v>
      </c>
      <c r="B397" s="101" t="s">
        <v>8</v>
      </c>
      <c r="C397" s="101" t="s">
        <v>1641</v>
      </c>
      <c r="D397" s="101" t="s">
        <v>1642</v>
      </c>
      <c r="E397" s="102">
        <v>45797</v>
      </c>
      <c r="F397" s="101" t="s">
        <v>371</v>
      </c>
      <c r="G397" s="101" t="s">
        <v>864</v>
      </c>
      <c r="H397" s="103">
        <v>74559.91</v>
      </c>
      <c r="I397" s="133">
        <v>0.188</v>
      </c>
      <c r="J397" s="104" t="s">
        <v>832</v>
      </c>
      <c r="K397" s="104" t="s">
        <v>1541</v>
      </c>
    </row>
    <row r="398" spans="1:11" hidden="1" x14ac:dyDescent="0.3">
      <c r="A398" s="100" t="s">
        <v>390</v>
      </c>
      <c r="B398" s="101" t="s">
        <v>8</v>
      </c>
      <c r="C398" s="101" t="s">
        <v>1643</v>
      </c>
      <c r="D398" s="101" t="s">
        <v>1644</v>
      </c>
      <c r="E398" s="102">
        <v>45797</v>
      </c>
      <c r="F398" s="101" t="s">
        <v>371</v>
      </c>
      <c r="G398" s="101" t="s">
        <v>864</v>
      </c>
      <c r="H398" s="103">
        <v>56616.25</v>
      </c>
      <c r="I398" s="133">
        <v>0.20599999999999999</v>
      </c>
      <c r="J398" s="104" t="s">
        <v>832</v>
      </c>
      <c r="K398" s="104" t="s">
        <v>1541</v>
      </c>
    </row>
    <row r="399" spans="1:11" hidden="1" x14ac:dyDescent="0.3">
      <c r="A399" s="100" t="s">
        <v>390</v>
      </c>
      <c r="B399" s="101" t="s">
        <v>8</v>
      </c>
      <c r="C399" s="101" t="s">
        <v>1645</v>
      </c>
      <c r="D399" s="101" t="s">
        <v>1646</v>
      </c>
      <c r="E399" s="102">
        <v>45797</v>
      </c>
      <c r="F399" s="101" t="s">
        <v>371</v>
      </c>
      <c r="G399" s="101" t="s">
        <v>864</v>
      </c>
      <c r="H399" s="103">
        <v>92750.26</v>
      </c>
      <c r="I399" s="133">
        <v>0.17599999999999999</v>
      </c>
      <c r="J399" s="104" t="s">
        <v>832</v>
      </c>
      <c r="K399" s="104" t="s">
        <v>1541</v>
      </c>
    </row>
    <row r="400" spans="1:11" hidden="1" x14ac:dyDescent="0.3">
      <c r="A400" s="100" t="s">
        <v>390</v>
      </c>
      <c r="B400" s="101" t="s">
        <v>8</v>
      </c>
      <c r="C400" s="101" t="s">
        <v>1647</v>
      </c>
      <c r="D400" s="101" t="s">
        <v>1648</v>
      </c>
      <c r="E400" s="102">
        <v>45797</v>
      </c>
      <c r="F400" s="101" t="s">
        <v>371</v>
      </c>
      <c r="G400" s="101" t="s">
        <v>864</v>
      </c>
      <c r="H400" s="103">
        <v>56609.63</v>
      </c>
      <c r="I400" s="133">
        <v>0.193</v>
      </c>
      <c r="J400" s="104" t="s">
        <v>832</v>
      </c>
      <c r="K400" s="104" t="s">
        <v>1541</v>
      </c>
    </row>
    <row r="401" spans="1:11" hidden="1" x14ac:dyDescent="0.3">
      <c r="A401" s="100" t="s">
        <v>390</v>
      </c>
      <c r="B401" s="101" t="s">
        <v>8</v>
      </c>
      <c r="C401" s="101" t="s">
        <v>1649</v>
      </c>
      <c r="D401" s="101" t="s">
        <v>1650</v>
      </c>
      <c r="E401" s="102">
        <v>45797</v>
      </c>
      <c r="F401" s="101" t="s">
        <v>371</v>
      </c>
      <c r="G401" s="101" t="s">
        <v>864</v>
      </c>
      <c r="H401" s="103">
        <v>105443.56</v>
      </c>
      <c r="I401" s="133">
        <v>0.17100000000000001</v>
      </c>
      <c r="J401" s="104" t="s">
        <v>832</v>
      </c>
      <c r="K401" s="104" t="s">
        <v>1541</v>
      </c>
    </row>
    <row r="402" spans="1:11" hidden="1" x14ac:dyDescent="0.3">
      <c r="A402" s="100" t="s">
        <v>390</v>
      </c>
      <c r="B402" s="101" t="s">
        <v>8</v>
      </c>
      <c r="C402" s="101" t="s">
        <v>1651</v>
      </c>
      <c r="D402" s="101" t="s">
        <v>1652</v>
      </c>
      <c r="E402" s="102">
        <v>45797</v>
      </c>
      <c r="F402" s="101" t="s">
        <v>371</v>
      </c>
      <c r="G402" s="101" t="s">
        <v>864</v>
      </c>
      <c r="H402" s="103">
        <v>22592.85</v>
      </c>
      <c r="I402" s="133">
        <v>0.28799999999999998</v>
      </c>
      <c r="J402" s="104" t="s">
        <v>832</v>
      </c>
      <c r="K402" s="104" t="s">
        <v>1541</v>
      </c>
    </row>
    <row r="403" spans="1:11" hidden="1" x14ac:dyDescent="0.3">
      <c r="A403" s="100" t="s">
        <v>390</v>
      </c>
      <c r="B403" s="101" t="s">
        <v>8</v>
      </c>
      <c r="C403" s="101" t="s">
        <v>1653</v>
      </c>
      <c r="D403" s="101" t="s">
        <v>1654</v>
      </c>
      <c r="E403" s="102">
        <v>45797</v>
      </c>
      <c r="F403" s="101" t="s">
        <v>371</v>
      </c>
      <c r="G403" s="101" t="s">
        <v>864</v>
      </c>
      <c r="H403" s="103">
        <v>36696.589999999997</v>
      </c>
      <c r="I403" s="133">
        <v>0.247</v>
      </c>
      <c r="J403" s="104" t="s">
        <v>832</v>
      </c>
      <c r="K403" s="104" t="s">
        <v>1541</v>
      </c>
    </row>
    <row r="404" spans="1:11" hidden="1" x14ac:dyDescent="0.3">
      <c r="A404" s="100" t="s">
        <v>390</v>
      </c>
      <c r="B404" s="101" t="s">
        <v>8</v>
      </c>
      <c r="C404" s="101" t="s">
        <v>1655</v>
      </c>
      <c r="D404" s="101" t="s">
        <v>1656</v>
      </c>
      <c r="E404" s="102">
        <v>45797</v>
      </c>
      <c r="F404" s="101" t="s">
        <v>371</v>
      </c>
      <c r="G404" s="101" t="s">
        <v>864</v>
      </c>
      <c r="H404" s="103">
        <v>48624.37</v>
      </c>
      <c r="I404" s="133">
        <v>0.218</v>
      </c>
      <c r="J404" s="104" t="s">
        <v>832</v>
      </c>
      <c r="K404" s="104" t="s">
        <v>1541</v>
      </c>
    </row>
    <row r="405" spans="1:11" hidden="1" x14ac:dyDescent="0.3">
      <c r="A405" s="100" t="s">
        <v>390</v>
      </c>
      <c r="B405" s="101" t="s">
        <v>8</v>
      </c>
      <c r="C405" s="101" t="s">
        <v>1657</v>
      </c>
      <c r="D405" s="101" t="s">
        <v>1658</v>
      </c>
      <c r="E405" s="102">
        <v>45797</v>
      </c>
      <c r="F405" s="101" t="s">
        <v>371</v>
      </c>
      <c r="G405" s="101" t="s">
        <v>864</v>
      </c>
      <c r="H405" s="103">
        <v>35654.82</v>
      </c>
      <c r="I405" s="133">
        <v>0.25</v>
      </c>
      <c r="J405" s="104" t="s">
        <v>832</v>
      </c>
      <c r="K405" s="104" t="s">
        <v>1541</v>
      </c>
    </row>
    <row r="406" spans="1:11" hidden="1" x14ac:dyDescent="0.3">
      <c r="A406" s="100" t="s">
        <v>390</v>
      </c>
      <c r="B406" s="101" t="s">
        <v>8</v>
      </c>
      <c r="C406" s="101" t="s">
        <v>1659</v>
      </c>
      <c r="D406" s="101" t="s">
        <v>1660</v>
      </c>
      <c r="E406" s="102">
        <v>45797</v>
      </c>
      <c r="F406" s="101" t="s">
        <v>371</v>
      </c>
      <c r="G406" s="101" t="s">
        <v>864</v>
      </c>
      <c r="H406" s="103">
        <v>38385.199999999997</v>
      </c>
      <c r="I406" s="133">
        <v>0.24199999999999999</v>
      </c>
      <c r="J406" s="104" t="s">
        <v>832</v>
      </c>
      <c r="K406" s="104" t="s">
        <v>1541</v>
      </c>
    </row>
    <row r="407" spans="1:11" hidden="1" x14ac:dyDescent="0.3">
      <c r="A407" s="100" t="s">
        <v>390</v>
      </c>
      <c r="B407" s="101" t="s">
        <v>8</v>
      </c>
      <c r="C407" s="101" t="s">
        <v>1661</v>
      </c>
      <c r="D407" s="101" t="s">
        <v>1662</v>
      </c>
      <c r="E407" s="102">
        <v>45797</v>
      </c>
      <c r="F407" s="101" t="s">
        <v>371</v>
      </c>
      <c r="G407" s="101" t="s">
        <v>864</v>
      </c>
      <c r="H407" s="103">
        <v>52917.55</v>
      </c>
      <c r="I407" s="133">
        <v>0.21099999999999999</v>
      </c>
      <c r="J407" s="104" t="s">
        <v>832</v>
      </c>
      <c r="K407" s="104" t="s">
        <v>1541</v>
      </c>
    </row>
    <row r="408" spans="1:11" hidden="1" x14ac:dyDescent="0.3">
      <c r="A408" s="100" t="s">
        <v>390</v>
      </c>
      <c r="B408" s="101" t="s">
        <v>8</v>
      </c>
      <c r="C408" s="101" t="s">
        <v>1663</v>
      </c>
      <c r="D408" s="101" t="s">
        <v>1664</v>
      </c>
      <c r="E408" s="102">
        <v>45797</v>
      </c>
      <c r="F408" s="101" t="s">
        <v>371</v>
      </c>
      <c r="G408" s="101" t="s">
        <v>864</v>
      </c>
      <c r="H408" s="103">
        <v>63320.75</v>
      </c>
      <c r="I408" s="133">
        <v>0.187</v>
      </c>
      <c r="J408" s="104" t="s">
        <v>832</v>
      </c>
      <c r="K408" s="104" t="s">
        <v>1541</v>
      </c>
    </row>
    <row r="409" spans="1:11" hidden="1" x14ac:dyDescent="0.3">
      <c r="A409" s="100" t="s">
        <v>390</v>
      </c>
      <c r="B409" s="101" t="s">
        <v>8</v>
      </c>
      <c r="C409" s="101" t="s">
        <v>1665</v>
      </c>
      <c r="D409" s="101" t="s">
        <v>1666</v>
      </c>
      <c r="E409" s="102">
        <v>45797</v>
      </c>
      <c r="F409" s="101" t="s">
        <v>371</v>
      </c>
      <c r="G409" s="101" t="s">
        <v>864</v>
      </c>
      <c r="H409" s="103">
        <v>69793.490000000005</v>
      </c>
      <c r="I409" s="133">
        <v>0.21299999999999999</v>
      </c>
      <c r="J409" s="104" t="s">
        <v>832</v>
      </c>
      <c r="K409" s="104" t="s">
        <v>1541</v>
      </c>
    </row>
    <row r="410" spans="1:11" hidden="1" x14ac:dyDescent="0.3">
      <c r="A410" s="100" t="s">
        <v>390</v>
      </c>
      <c r="B410" s="101" t="s">
        <v>8</v>
      </c>
      <c r="C410" s="101" t="s">
        <v>1667</v>
      </c>
      <c r="D410" s="101" t="s">
        <v>1668</v>
      </c>
      <c r="E410" s="102">
        <v>45797</v>
      </c>
      <c r="F410" s="101" t="s">
        <v>371</v>
      </c>
      <c r="G410" s="101" t="s">
        <v>864</v>
      </c>
      <c r="H410" s="103">
        <v>96137.49</v>
      </c>
      <c r="I410" s="133">
        <v>0.17100000000000001</v>
      </c>
      <c r="J410" s="104" t="s">
        <v>832</v>
      </c>
      <c r="K410" s="104" t="s">
        <v>1541</v>
      </c>
    </row>
    <row r="411" spans="1:11" hidden="1" x14ac:dyDescent="0.3">
      <c r="A411" s="100" t="s">
        <v>390</v>
      </c>
      <c r="B411" s="101" t="s">
        <v>8</v>
      </c>
      <c r="C411" s="101" t="s">
        <v>1669</v>
      </c>
      <c r="D411" s="101" t="s">
        <v>1670</v>
      </c>
      <c r="E411" s="102">
        <v>45797</v>
      </c>
      <c r="F411" s="101" t="s">
        <v>371</v>
      </c>
      <c r="G411" s="101" t="s">
        <v>864</v>
      </c>
      <c r="H411" s="103">
        <v>40048.83</v>
      </c>
      <c r="I411" s="133">
        <v>0.24299999999999999</v>
      </c>
      <c r="J411" s="104" t="s">
        <v>832</v>
      </c>
      <c r="K411" s="104" t="s">
        <v>1541</v>
      </c>
    </row>
    <row r="412" spans="1:11" hidden="1" x14ac:dyDescent="0.3">
      <c r="A412" s="100" t="s">
        <v>390</v>
      </c>
      <c r="B412" s="101" t="s">
        <v>8</v>
      </c>
      <c r="C412" s="101" t="s">
        <v>1671</v>
      </c>
      <c r="D412" s="101" t="s">
        <v>1672</v>
      </c>
      <c r="E412" s="102">
        <v>45797</v>
      </c>
      <c r="F412" s="101" t="s">
        <v>371</v>
      </c>
      <c r="G412" s="101" t="s">
        <v>864</v>
      </c>
      <c r="H412" s="103">
        <v>32348.23</v>
      </c>
      <c r="I412" s="133">
        <v>0.24299999999999999</v>
      </c>
      <c r="J412" s="104" t="s">
        <v>832</v>
      </c>
      <c r="K412" s="104" t="s">
        <v>1541</v>
      </c>
    </row>
    <row r="413" spans="1:11" hidden="1" x14ac:dyDescent="0.3">
      <c r="A413" s="100" t="s">
        <v>390</v>
      </c>
      <c r="B413" s="101" t="s">
        <v>8</v>
      </c>
      <c r="C413" s="101" t="s">
        <v>1673</v>
      </c>
      <c r="D413" s="101" t="s">
        <v>1674</v>
      </c>
      <c r="E413" s="102">
        <v>45797</v>
      </c>
      <c r="F413" s="101" t="s">
        <v>371</v>
      </c>
      <c r="G413" s="101" t="s">
        <v>864</v>
      </c>
      <c r="H413" s="103">
        <v>14521.64</v>
      </c>
      <c r="I413" s="133">
        <v>0.47599999999999998</v>
      </c>
      <c r="J413" s="104" t="s">
        <v>832</v>
      </c>
      <c r="K413" s="104" t="s">
        <v>1541</v>
      </c>
    </row>
    <row r="414" spans="1:11" hidden="1" x14ac:dyDescent="0.3">
      <c r="A414" s="100" t="s">
        <v>390</v>
      </c>
      <c r="B414" s="101" t="s">
        <v>8</v>
      </c>
      <c r="C414" s="101" t="s">
        <v>1675</v>
      </c>
      <c r="D414" s="101" t="s">
        <v>1676</v>
      </c>
      <c r="E414" s="102">
        <v>45797</v>
      </c>
      <c r="F414" s="101" t="s">
        <v>371</v>
      </c>
      <c r="G414" s="101" t="s">
        <v>864</v>
      </c>
      <c r="H414" s="103">
        <v>104991.3</v>
      </c>
      <c r="I414" s="133">
        <v>0.17399999999999999</v>
      </c>
      <c r="J414" s="104" t="s">
        <v>832</v>
      </c>
      <c r="K414" s="104" t="s">
        <v>1541</v>
      </c>
    </row>
    <row r="415" spans="1:11" hidden="1" x14ac:dyDescent="0.3">
      <c r="A415" s="100" t="s">
        <v>390</v>
      </c>
      <c r="B415" s="101" t="s">
        <v>8</v>
      </c>
      <c r="C415" s="101" t="s">
        <v>1677</v>
      </c>
      <c r="D415" s="101" t="s">
        <v>1678</v>
      </c>
      <c r="E415" s="102">
        <v>45797</v>
      </c>
      <c r="F415" s="101" t="s">
        <v>371</v>
      </c>
      <c r="G415" s="101" t="s">
        <v>864</v>
      </c>
      <c r="H415" s="103">
        <v>34631.86</v>
      </c>
      <c r="I415" s="133">
        <v>0.26100000000000001</v>
      </c>
      <c r="J415" s="104" t="s">
        <v>832</v>
      </c>
      <c r="K415" s="104" t="s">
        <v>1541</v>
      </c>
    </row>
    <row r="416" spans="1:11" hidden="1" x14ac:dyDescent="0.3">
      <c r="A416" s="100" t="s">
        <v>392</v>
      </c>
      <c r="B416" s="101" t="s">
        <v>8</v>
      </c>
      <c r="C416" s="101" t="s">
        <v>1679</v>
      </c>
      <c r="D416" s="101" t="s">
        <v>1680</v>
      </c>
      <c r="E416" s="102">
        <v>45797</v>
      </c>
      <c r="F416" s="101" t="s">
        <v>371</v>
      </c>
      <c r="G416" s="101" t="s">
        <v>864</v>
      </c>
      <c r="H416" s="103">
        <v>7520</v>
      </c>
      <c r="I416" s="133">
        <v>0.85199999999999998</v>
      </c>
      <c r="J416" s="104" t="s">
        <v>848</v>
      </c>
      <c r="K416" s="104" t="s">
        <v>1540</v>
      </c>
    </row>
    <row r="417" spans="1:11" hidden="1" x14ac:dyDescent="0.3">
      <c r="A417" s="100" t="s">
        <v>390</v>
      </c>
      <c r="B417" s="101" t="s">
        <v>8</v>
      </c>
      <c r="C417" s="101" t="s">
        <v>1681</v>
      </c>
      <c r="D417" s="101" t="s">
        <v>1682</v>
      </c>
      <c r="E417" s="102">
        <v>45797</v>
      </c>
      <c r="F417" s="101" t="s">
        <v>371</v>
      </c>
      <c r="G417" s="101" t="s">
        <v>864</v>
      </c>
      <c r="H417" s="103">
        <v>47240.44</v>
      </c>
      <c r="I417" s="133">
        <v>0.28599999999999998</v>
      </c>
      <c r="J417" s="104" t="s">
        <v>832</v>
      </c>
      <c r="K417" s="104" t="s">
        <v>1541</v>
      </c>
    </row>
    <row r="418" spans="1:11" hidden="1" x14ac:dyDescent="0.3">
      <c r="A418" s="100" t="s">
        <v>392</v>
      </c>
      <c r="B418" s="101" t="s">
        <v>8</v>
      </c>
      <c r="C418" s="101" t="s">
        <v>1683</v>
      </c>
      <c r="D418" s="101" t="s">
        <v>1684</v>
      </c>
      <c r="E418" s="102">
        <v>45797</v>
      </c>
      <c r="F418" s="101" t="s">
        <v>842</v>
      </c>
      <c r="G418" s="101" t="s">
        <v>843</v>
      </c>
      <c r="H418" s="103">
        <v>22000</v>
      </c>
      <c r="I418" s="133">
        <v>0.46400000000000002</v>
      </c>
      <c r="J418" s="104" t="s">
        <v>1835</v>
      </c>
      <c r="K418" s="104" t="s">
        <v>1540</v>
      </c>
    </row>
    <row r="419" spans="1:11" hidden="1" x14ac:dyDescent="0.3">
      <c r="A419" s="100" t="s">
        <v>392</v>
      </c>
      <c r="B419" s="101" t="s">
        <v>8</v>
      </c>
      <c r="C419" s="101" t="s">
        <v>1685</v>
      </c>
      <c r="D419" s="101" t="s">
        <v>1686</v>
      </c>
      <c r="E419" s="102">
        <v>45797</v>
      </c>
      <c r="F419" s="101" t="s">
        <v>842</v>
      </c>
      <c r="G419" s="101" t="s">
        <v>843</v>
      </c>
      <c r="H419" s="103">
        <v>22000</v>
      </c>
      <c r="I419" s="133">
        <v>0.46600000000000003</v>
      </c>
      <c r="J419" s="104" t="s">
        <v>1835</v>
      </c>
      <c r="K419" s="104" t="s">
        <v>1540</v>
      </c>
    </row>
    <row r="420" spans="1:11" hidden="1" x14ac:dyDescent="0.3">
      <c r="A420" s="100" t="s">
        <v>392</v>
      </c>
      <c r="B420" s="101" t="s">
        <v>8</v>
      </c>
      <c r="C420" s="101" t="s">
        <v>1687</v>
      </c>
      <c r="D420" s="101" t="s">
        <v>1688</v>
      </c>
      <c r="E420" s="102">
        <v>45797</v>
      </c>
      <c r="F420" s="101" t="s">
        <v>842</v>
      </c>
      <c r="G420" s="101" t="s">
        <v>843</v>
      </c>
      <c r="H420" s="103">
        <v>22000</v>
      </c>
      <c r="I420" s="133">
        <v>0.48399999999999999</v>
      </c>
      <c r="J420" s="104" t="s">
        <v>1835</v>
      </c>
      <c r="K420" s="104" t="s">
        <v>1540</v>
      </c>
    </row>
    <row r="421" spans="1:11" hidden="1" x14ac:dyDescent="0.3">
      <c r="A421" s="100" t="s">
        <v>392</v>
      </c>
      <c r="B421" s="101" t="s">
        <v>8</v>
      </c>
      <c r="C421" s="101" t="s">
        <v>1689</v>
      </c>
      <c r="D421" s="101" t="s">
        <v>1690</v>
      </c>
      <c r="E421" s="102">
        <v>45797</v>
      </c>
      <c r="F421" s="101" t="s">
        <v>370</v>
      </c>
      <c r="G421" s="101" t="s">
        <v>63</v>
      </c>
      <c r="H421" s="103">
        <v>4200</v>
      </c>
      <c r="I421" s="133">
        <v>0.57099999999999995</v>
      </c>
      <c r="J421" s="104" t="s">
        <v>830</v>
      </c>
      <c r="K421" s="104" t="s">
        <v>1540</v>
      </c>
    </row>
    <row r="422" spans="1:11" hidden="1" x14ac:dyDescent="0.3">
      <c r="A422" s="100" t="s">
        <v>392</v>
      </c>
      <c r="B422" s="101" t="s">
        <v>8</v>
      </c>
      <c r="C422" s="101" t="s">
        <v>1691</v>
      </c>
      <c r="D422" s="101" t="s">
        <v>1692</v>
      </c>
      <c r="E422" s="102">
        <v>45797</v>
      </c>
      <c r="F422" s="101" t="s">
        <v>370</v>
      </c>
      <c r="G422" s="101" t="s">
        <v>63</v>
      </c>
      <c r="H422" s="103">
        <v>7400</v>
      </c>
      <c r="I422" s="133">
        <v>0.54100000000000004</v>
      </c>
      <c r="J422" s="104" t="s">
        <v>830</v>
      </c>
      <c r="K422" s="104" t="s">
        <v>1540</v>
      </c>
    </row>
    <row r="423" spans="1:11" hidden="1" x14ac:dyDescent="0.3">
      <c r="A423" s="100" t="s">
        <v>390</v>
      </c>
      <c r="B423" s="101" t="s">
        <v>8</v>
      </c>
      <c r="C423" s="101" t="s">
        <v>1693</v>
      </c>
      <c r="D423" s="101" t="s">
        <v>1694</v>
      </c>
      <c r="E423" s="102">
        <v>45797</v>
      </c>
      <c r="F423" s="101" t="s">
        <v>375</v>
      </c>
      <c r="G423" s="101" t="s">
        <v>62</v>
      </c>
      <c r="H423" s="103">
        <v>30166.92</v>
      </c>
      <c r="I423" s="133">
        <v>0.34899999999999998</v>
      </c>
      <c r="J423" s="104" t="s">
        <v>831</v>
      </c>
      <c r="K423" s="104" t="s">
        <v>1542</v>
      </c>
    </row>
    <row r="424" spans="1:11" hidden="1" x14ac:dyDescent="0.3">
      <c r="A424" s="100" t="s">
        <v>390</v>
      </c>
      <c r="B424" s="101" t="s">
        <v>8</v>
      </c>
      <c r="C424" s="101" t="s">
        <v>1695</v>
      </c>
      <c r="D424" s="101" t="s">
        <v>1696</v>
      </c>
      <c r="E424" s="102">
        <v>45797</v>
      </c>
      <c r="F424" s="101" t="s">
        <v>375</v>
      </c>
      <c r="G424" s="101" t="s">
        <v>62</v>
      </c>
      <c r="H424" s="103">
        <v>7891.97</v>
      </c>
      <c r="I424" s="133">
        <v>0.65</v>
      </c>
      <c r="J424" s="104" t="s">
        <v>831</v>
      </c>
      <c r="K424" s="104" t="s">
        <v>1542</v>
      </c>
    </row>
    <row r="425" spans="1:11" hidden="1" x14ac:dyDescent="0.3">
      <c r="A425" s="100" t="s">
        <v>390</v>
      </c>
      <c r="B425" s="101" t="s">
        <v>8</v>
      </c>
      <c r="C425" s="101" t="s">
        <v>1697</v>
      </c>
      <c r="D425" s="101" t="s">
        <v>1529</v>
      </c>
      <c r="E425" s="102">
        <v>45797</v>
      </c>
      <c r="F425" s="101" t="s">
        <v>375</v>
      </c>
      <c r="G425" s="101" t="s">
        <v>62</v>
      </c>
      <c r="H425" s="103">
        <v>950</v>
      </c>
      <c r="I425" s="133">
        <v>0.45500000000000002</v>
      </c>
      <c r="J425" s="104" t="s">
        <v>831</v>
      </c>
      <c r="K425" s="104" t="s">
        <v>1542</v>
      </c>
    </row>
    <row r="426" spans="1:11" hidden="1" x14ac:dyDescent="0.3">
      <c r="A426" s="100" t="s">
        <v>390</v>
      </c>
      <c r="B426" s="101" t="s">
        <v>8</v>
      </c>
      <c r="C426" s="101" t="s">
        <v>1698</v>
      </c>
      <c r="D426" s="101" t="s">
        <v>1352</v>
      </c>
      <c r="E426" s="102">
        <v>45797</v>
      </c>
      <c r="F426" s="101" t="s">
        <v>375</v>
      </c>
      <c r="G426" s="101" t="s">
        <v>62</v>
      </c>
      <c r="H426" s="103">
        <v>0.01</v>
      </c>
      <c r="I426" s="133">
        <v>0.255</v>
      </c>
      <c r="J426" s="104" t="s">
        <v>831</v>
      </c>
      <c r="K426" s="104" t="s">
        <v>1542</v>
      </c>
    </row>
    <row r="427" spans="1:11" hidden="1" x14ac:dyDescent="0.3">
      <c r="A427" s="100" t="s">
        <v>390</v>
      </c>
      <c r="B427" s="101" t="s">
        <v>8</v>
      </c>
      <c r="C427" s="101" t="s">
        <v>1699</v>
      </c>
      <c r="D427" s="101" t="s">
        <v>1700</v>
      </c>
      <c r="E427" s="102">
        <v>45798</v>
      </c>
      <c r="F427" s="101" t="s">
        <v>371</v>
      </c>
      <c r="G427" s="101" t="s">
        <v>864</v>
      </c>
      <c r="H427" s="103">
        <v>39961.129999999997</v>
      </c>
      <c r="I427" s="133">
        <v>0.24</v>
      </c>
      <c r="J427" s="104" t="s">
        <v>832</v>
      </c>
      <c r="K427" s="104" t="s">
        <v>1541</v>
      </c>
    </row>
    <row r="428" spans="1:11" hidden="1" x14ac:dyDescent="0.3">
      <c r="A428" s="100" t="s">
        <v>392</v>
      </c>
      <c r="B428" s="101" t="s">
        <v>8</v>
      </c>
      <c r="C428" s="101" t="s">
        <v>1701</v>
      </c>
      <c r="D428" s="101" t="s">
        <v>1702</v>
      </c>
      <c r="E428" s="102">
        <v>45798</v>
      </c>
      <c r="F428" s="101" t="s">
        <v>371</v>
      </c>
      <c r="G428" s="101" t="s">
        <v>864</v>
      </c>
      <c r="H428" s="103">
        <v>9508</v>
      </c>
      <c r="I428" s="133">
        <v>0.79900000000000004</v>
      </c>
      <c r="J428" s="104" t="s">
        <v>848</v>
      </c>
      <c r="K428" s="104" t="s">
        <v>1540</v>
      </c>
    </row>
    <row r="429" spans="1:11" hidden="1" x14ac:dyDescent="0.3">
      <c r="A429" s="100" t="s">
        <v>390</v>
      </c>
      <c r="B429" s="101" t="s">
        <v>8</v>
      </c>
      <c r="C429" s="101" t="s">
        <v>1703</v>
      </c>
      <c r="D429" s="101" t="s">
        <v>1704</v>
      </c>
      <c r="E429" s="102">
        <v>45798</v>
      </c>
      <c r="F429" s="101" t="s">
        <v>371</v>
      </c>
      <c r="G429" s="101" t="s">
        <v>864</v>
      </c>
      <c r="H429" s="103">
        <v>72455.19</v>
      </c>
      <c r="I429" s="133">
        <v>0.157</v>
      </c>
      <c r="J429" s="104" t="s">
        <v>832</v>
      </c>
      <c r="K429" s="104" t="s">
        <v>1541</v>
      </c>
    </row>
    <row r="430" spans="1:11" hidden="1" x14ac:dyDescent="0.3">
      <c r="A430" s="100" t="s">
        <v>390</v>
      </c>
      <c r="B430" s="101" t="s">
        <v>8</v>
      </c>
      <c r="C430" s="101" t="s">
        <v>1705</v>
      </c>
      <c r="D430" s="101" t="s">
        <v>1706</v>
      </c>
      <c r="E430" s="102">
        <v>45798</v>
      </c>
      <c r="F430" s="101" t="s">
        <v>371</v>
      </c>
      <c r="G430" s="101" t="s">
        <v>864</v>
      </c>
      <c r="H430" s="103">
        <v>28653.18</v>
      </c>
      <c r="I430" s="133">
        <v>0.25700000000000001</v>
      </c>
      <c r="J430" s="104" t="s">
        <v>832</v>
      </c>
      <c r="K430" s="104" t="s">
        <v>1541</v>
      </c>
    </row>
    <row r="431" spans="1:11" hidden="1" x14ac:dyDescent="0.3">
      <c r="A431" s="100" t="s">
        <v>390</v>
      </c>
      <c r="B431" s="101" t="s">
        <v>8</v>
      </c>
      <c r="C431" s="101" t="s">
        <v>1707</v>
      </c>
      <c r="D431" s="101" t="s">
        <v>1708</v>
      </c>
      <c r="E431" s="102">
        <v>45798</v>
      </c>
      <c r="F431" s="101" t="s">
        <v>371</v>
      </c>
      <c r="G431" s="101" t="s">
        <v>864</v>
      </c>
      <c r="H431" s="103">
        <v>28747.41</v>
      </c>
      <c r="I431" s="133">
        <v>0.25600000000000001</v>
      </c>
      <c r="J431" s="104" t="s">
        <v>832</v>
      </c>
      <c r="K431" s="104" t="s">
        <v>1541</v>
      </c>
    </row>
    <row r="432" spans="1:11" hidden="1" x14ac:dyDescent="0.3">
      <c r="A432" s="100" t="s">
        <v>390</v>
      </c>
      <c r="B432" s="101" t="s">
        <v>8</v>
      </c>
      <c r="C432" s="101" t="s">
        <v>1709</v>
      </c>
      <c r="D432" s="101" t="s">
        <v>1710</v>
      </c>
      <c r="E432" s="102">
        <v>45798</v>
      </c>
      <c r="F432" s="101" t="s">
        <v>371</v>
      </c>
      <c r="G432" s="101" t="s">
        <v>864</v>
      </c>
      <c r="H432" s="103">
        <v>1800</v>
      </c>
      <c r="I432" s="133">
        <v>0.68</v>
      </c>
      <c r="J432" s="104" t="s">
        <v>832</v>
      </c>
      <c r="K432" s="104" t="s">
        <v>1541</v>
      </c>
    </row>
    <row r="433" spans="1:11" hidden="1" x14ac:dyDescent="0.3">
      <c r="A433" s="100" t="s">
        <v>390</v>
      </c>
      <c r="B433" s="101" t="s">
        <v>8</v>
      </c>
      <c r="C433" s="101" t="s">
        <v>1711</v>
      </c>
      <c r="D433" s="101" t="s">
        <v>1710</v>
      </c>
      <c r="E433" s="102">
        <v>45798</v>
      </c>
      <c r="F433" s="101" t="s">
        <v>371</v>
      </c>
      <c r="G433" s="101" t="s">
        <v>864</v>
      </c>
      <c r="H433" s="103">
        <v>15438.72</v>
      </c>
      <c r="I433" s="133">
        <v>0.68</v>
      </c>
      <c r="J433" s="104" t="s">
        <v>832</v>
      </c>
      <c r="K433" s="104" t="s">
        <v>1541</v>
      </c>
    </row>
    <row r="434" spans="1:11" hidden="1" x14ac:dyDescent="0.3">
      <c r="A434" s="100" t="s">
        <v>390</v>
      </c>
      <c r="B434" s="101" t="s">
        <v>8</v>
      </c>
      <c r="C434" s="101" t="s">
        <v>1712</v>
      </c>
      <c r="D434" s="101" t="s">
        <v>1713</v>
      </c>
      <c r="E434" s="102">
        <v>45798</v>
      </c>
      <c r="F434" s="101" t="s">
        <v>844</v>
      </c>
      <c r="G434" s="101" t="s">
        <v>863</v>
      </c>
      <c r="H434" s="103">
        <v>23706.75</v>
      </c>
      <c r="I434" s="133">
        <v>0.24099999999999999</v>
      </c>
      <c r="J434" s="104" t="s">
        <v>848</v>
      </c>
      <c r="K434" s="104" t="s">
        <v>1540</v>
      </c>
    </row>
    <row r="435" spans="1:11" hidden="1" x14ac:dyDescent="0.3">
      <c r="A435" s="100" t="s">
        <v>390</v>
      </c>
      <c r="B435" s="101" t="s">
        <v>8</v>
      </c>
      <c r="C435" s="101" t="s">
        <v>1714</v>
      </c>
      <c r="D435" s="101" t="s">
        <v>1715</v>
      </c>
      <c r="E435" s="102">
        <v>45798</v>
      </c>
      <c r="F435" s="101" t="s">
        <v>375</v>
      </c>
      <c r="G435" s="101" t="s">
        <v>62</v>
      </c>
      <c r="H435" s="103">
        <v>18159.099999999999</v>
      </c>
      <c r="I435" s="133">
        <v>0.84399999999999997</v>
      </c>
      <c r="J435" s="104" t="s">
        <v>831</v>
      </c>
      <c r="K435" s="104" t="s">
        <v>1542</v>
      </c>
    </row>
    <row r="436" spans="1:11" hidden="1" x14ac:dyDescent="0.3">
      <c r="A436" s="100" t="s">
        <v>392</v>
      </c>
      <c r="B436" s="101" t="s">
        <v>8</v>
      </c>
      <c r="C436" s="101" t="s">
        <v>1716</v>
      </c>
      <c r="D436" s="101" t="s">
        <v>1717</v>
      </c>
      <c r="E436" s="102">
        <v>45798</v>
      </c>
      <c r="F436" s="101" t="s">
        <v>370</v>
      </c>
      <c r="G436" s="101" t="s">
        <v>63</v>
      </c>
      <c r="H436" s="103">
        <v>12500</v>
      </c>
      <c r="I436" s="133">
        <v>0.77600000000000002</v>
      </c>
      <c r="J436" s="104" t="s">
        <v>830</v>
      </c>
      <c r="K436" s="104" t="s">
        <v>1541</v>
      </c>
    </row>
    <row r="437" spans="1:11" hidden="1" x14ac:dyDescent="0.3">
      <c r="A437" s="100" t="s">
        <v>390</v>
      </c>
      <c r="B437" s="101" t="s">
        <v>8</v>
      </c>
      <c r="C437" s="101" t="s">
        <v>1718</v>
      </c>
      <c r="D437" s="101" t="s">
        <v>1719</v>
      </c>
      <c r="E437" s="102">
        <v>45798</v>
      </c>
      <c r="F437" s="101" t="s">
        <v>371</v>
      </c>
      <c r="G437" s="101" t="s">
        <v>864</v>
      </c>
      <c r="H437" s="103">
        <v>55004.42</v>
      </c>
      <c r="I437" s="133">
        <v>0.21199999999999999</v>
      </c>
      <c r="J437" s="104" t="s">
        <v>832</v>
      </c>
      <c r="K437" s="104" t="s">
        <v>1541</v>
      </c>
    </row>
    <row r="438" spans="1:11" hidden="1" x14ac:dyDescent="0.3">
      <c r="A438" s="100" t="s">
        <v>390</v>
      </c>
      <c r="B438" s="101" t="s">
        <v>8</v>
      </c>
      <c r="C438" s="101" t="s">
        <v>1720</v>
      </c>
      <c r="D438" s="101" t="s">
        <v>1721</v>
      </c>
      <c r="E438" s="102">
        <v>45798</v>
      </c>
      <c r="F438" s="101" t="s">
        <v>371</v>
      </c>
      <c r="G438" s="101" t="s">
        <v>864</v>
      </c>
      <c r="H438" s="103">
        <v>11554.79</v>
      </c>
      <c r="I438" s="133">
        <v>0.52</v>
      </c>
      <c r="J438" s="104" t="s">
        <v>832</v>
      </c>
      <c r="K438" s="104" t="s">
        <v>1541</v>
      </c>
    </row>
    <row r="439" spans="1:11" hidden="1" x14ac:dyDescent="0.3">
      <c r="A439" s="100" t="s">
        <v>390</v>
      </c>
      <c r="B439" s="101" t="s">
        <v>8</v>
      </c>
      <c r="C439" s="101" t="s">
        <v>1722</v>
      </c>
      <c r="D439" s="101" t="s">
        <v>1723</v>
      </c>
      <c r="E439" s="102">
        <v>45798</v>
      </c>
      <c r="F439" s="101" t="s">
        <v>371</v>
      </c>
      <c r="G439" s="101" t="s">
        <v>864</v>
      </c>
      <c r="H439" s="103">
        <v>75383.78</v>
      </c>
      <c r="I439" s="133">
        <v>0.19</v>
      </c>
      <c r="J439" s="104" t="s">
        <v>832</v>
      </c>
      <c r="K439" s="104" t="s">
        <v>1541</v>
      </c>
    </row>
    <row r="440" spans="1:11" hidden="1" x14ac:dyDescent="0.3">
      <c r="A440" s="100" t="s">
        <v>390</v>
      </c>
      <c r="B440" s="101" t="s">
        <v>8</v>
      </c>
      <c r="C440" s="101" t="s">
        <v>1724</v>
      </c>
      <c r="D440" s="101" t="s">
        <v>1725</v>
      </c>
      <c r="E440" s="102">
        <v>45798</v>
      </c>
      <c r="F440" s="101" t="s">
        <v>371</v>
      </c>
      <c r="G440" s="101" t="s">
        <v>864</v>
      </c>
      <c r="H440" s="103">
        <v>13209.08</v>
      </c>
      <c r="I440" s="133">
        <v>0.47099999999999997</v>
      </c>
      <c r="J440" s="104" t="s">
        <v>832</v>
      </c>
      <c r="K440" s="104" t="s">
        <v>1541</v>
      </c>
    </row>
    <row r="441" spans="1:11" hidden="1" x14ac:dyDescent="0.3">
      <c r="A441" s="100" t="s">
        <v>390</v>
      </c>
      <c r="B441" s="101" t="s">
        <v>8</v>
      </c>
      <c r="C441" s="101" t="s">
        <v>1726</v>
      </c>
      <c r="D441" s="101" t="s">
        <v>1727</v>
      </c>
      <c r="E441" s="102">
        <v>45798</v>
      </c>
      <c r="F441" s="101" t="s">
        <v>371</v>
      </c>
      <c r="G441" s="101" t="s">
        <v>864</v>
      </c>
      <c r="H441" s="103">
        <v>17453.330000000002</v>
      </c>
      <c r="I441" s="133">
        <v>0.46100000000000002</v>
      </c>
      <c r="J441" s="104" t="s">
        <v>832</v>
      </c>
      <c r="K441" s="104" t="s">
        <v>1541</v>
      </c>
    </row>
    <row r="442" spans="1:11" hidden="1" x14ac:dyDescent="0.3">
      <c r="A442" s="100" t="s">
        <v>392</v>
      </c>
      <c r="B442" s="101" t="s">
        <v>8</v>
      </c>
      <c r="C442" s="101" t="s">
        <v>1728</v>
      </c>
      <c r="D442" s="101" t="s">
        <v>1729</v>
      </c>
      <c r="E442" s="102">
        <v>45799</v>
      </c>
      <c r="F442" s="101" t="s">
        <v>370</v>
      </c>
      <c r="G442" s="101" t="s">
        <v>63</v>
      </c>
      <c r="H442" s="103">
        <v>12150</v>
      </c>
      <c r="I442" s="133">
        <v>0.64600000000000002</v>
      </c>
      <c r="J442" s="104" t="s">
        <v>830</v>
      </c>
      <c r="K442" s="104" t="s">
        <v>1540</v>
      </c>
    </row>
    <row r="443" spans="1:11" hidden="1" x14ac:dyDescent="0.3">
      <c r="A443" s="100" t="s">
        <v>392</v>
      </c>
      <c r="B443" s="101" t="s">
        <v>8</v>
      </c>
      <c r="C443" s="101" t="s">
        <v>1730</v>
      </c>
      <c r="D443" s="101" t="s">
        <v>1731</v>
      </c>
      <c r="E443" s="102">
        <v>45799</v>
      </c>
      <c r="F443" s="101" t="s">
        <v>370</v>
      </c>
      <c r="G443" s="101" t="s">
        <v>63</v>
      </c>
      <c r="H443" s="103">
        <v>10300</v>
      </c>
      <c r="I443" s="133">
        <v>0.58299999999999996</v>
      </c>
      <c r="J443" s="104" t="s">
        <v>830</v>
      </c>
      <c r="K443" s="104" t="s">
        <v>1540</v>
      </c>
    </row>
    <row r="444" spans="1:11" hidden="1" x14ac:dyDescent="0.3">
      <c r="A444" s="100" t="s">
        <v>392</v>
      </c>
      <c r="B444" s="101" t="s">
        <v>8</v>
      </c>
      <c r="C444" s="101" t="s">
        <v>1732</v>
      </c>
      <c r="D444" s="101" t="s">
        <v>1733</v>
      </c>
      <c r="E444" s="102">
        <v>45799</v>
      </c>
      <c r="F444" s="101" t="s">
        <v>370</v>
      </c>
      <c r="G444" s="101" t="s">
        <v>63</v>
      </c>
      <c r="H444" s="103">
        <v>10300</v>
      </c>
      <c r="I444" s="133">
        <v>0.58299999999999996</v>
      </c>
      <c r="J444" s="104" t="s">
        <v>830</v>
      </c>
      <c r="K444" s="104" t="s">
        <v>1540</v>
      </c>
    </row>
    <row r="445" spans="1:11" hidden="1" x14ac:dyDescent="0.3">
      <c r="A445" s="100" t="s">
        <v>392</v>
      </c>
      <c r="B445" s="101" t="s">
        <v>8</v>
      </c>
      <c r="C445" s="101" t="s">
        <v>1734</v>
      </c>
      <c r="D445" s="101" t="s">
        <v>1735</v>
      </c>
      <c r="E445" s="102">
        <v>45799</v>
      </c>
      <c r="F445" s="101" t="s">
        <v>370</v>
      </c>
      <c r="G445" s="101" t="s">
        <v>63</v>
      </c>
      <c r="H445" s="103">
        <v>4200</v>
      </c>
      <c r="I445" s="133">
        <v>0.57099999999999995</v>
      </c>
      <c r="J445" s="104" t="s">
        <v>830</v>
      </c>
      <c r="K445" s="104" t="s">
        <v>1540</v>
      </c>
    </row>
    <row r="446" spans="1:11" hidden="1" x14ac:dyDescent="0.3">
      <c r="A446" s="100" t="s">
        <v>392</v>
      </c>
      <c r="B446" s="101" t="s">
        <v>8</v>
      </c>
      <c r="C446" s="101" t="s">
        <v>1736</v>
      </c>
      <c r="D446" s="101" t="s">
        <v>1737</v>
      </c>
      <c r="E446" s="102">
        <v>45799</v>
      </c>
      <c r="F446" s="101" t="s">
        <v>370</v>
      </c>
      <c r="G446" s="101" t="s">
        <v>63</v>
      </c>
      <c r="H446" s="103">
        <v>4200</v>
      </c>
      <c r="I446" s="133">
        <v>0.5</v>
      </c>
      <c r="J446" s="104" t="s">
        <v>830</v>
      </c>
      <c r="K446" s="104" t="s">
        <v>1540</v>
      </c>
    </row>
    <row r="447" spans="1:11" hidden="1" x14ac:dyDescent="0.3">
      <c r="A447" s="100" t="s">
        <v>390</v>
      </c>
      <c r="B447" s="101" t="s">
        <v>8</v>
      </c>
      <c r="C447" s="101" t="s">
        <v>1738</v>
      </c>
      <c r="D447" s="101" t="s">
        <v>1739</v>
      </c>
      <c r="E447" s="102">
        <v>45799</v>
      </c>
      <c r="F447" s="101" t="s">
        <v>371</v>
      </c>
      <c r="G447" s="101" t="s">
        <v>864</v>
      </c>
      <c r="H447" s="103">
        <v>171892.89</v>
      </c>
      <c r="I447" s="133">
        <v>0.161</v>
      </c>
      <c r="J447" s="104" t="s">
        <v>832</v>
      </c>
      <c r="K447" s="104" t="s">
        <v>1541</v>
      </c>
    </row>
    <row r="448" spans="1:11" hidden="1" x14ac:dyDescent="0.3">
      <c r="A448" s="100" t="s">
        <v>390</v>
      </c>
      <c r="B448" s="101" t="s">
        <v>8</v>
      </c>
      <c r="C448" s="101" t="s">
        <v>1740</v>
      </c>
      <c r="D448" s="101" t="s">
        <v>1741</v>
      </c>
      <c r="E448" s="102">
        <v>45799</v>
      </c>
      <c r="F448" s="101" t="s">
        <v>371</v>
      </c>
      <c r="G448" s="101" t="s">
        <v>864</v>
      </c>
      <c r="H448" s="103">
        <v>13793.67</v>
      </c>
      <c r="I448" s="133">
        <v>0.49399999999999999</v>
      </c>
      <c r="J448" s="104" t="s">
        <v>832</v>
      </c>
      <c r="K448" s="104" t="s">
        <v>1541</v>
      </c>
    </row>
    <row r="449" spans="1:11" hidden="1" x14ac:dyDescent="0.3">
      <c r="A449" s="100" t="s">
        <v>392</v>
      </c>
      <c r="B449" s="101" t="s">
        <v>8</v>
      </c>
      <c r="C449" s="101" t="s">
        <v>1742</v>
      </c>
      <c r="D449" s="101" t="s">
        <v>1743</v>
      </c>
      <c r="E449" s="102">
        <v>45799</v>
      </c>
      <c r="F449" s="101" t="s">
        <v>371</v>
      </c>
      <c r="G449" s="101" t="s">
        <v>864</v>
      </c>
      <c r="H449" s="103">
        <v>7520</v>
      </c>
      <c r="I449" s="133">
        <v>0.86</v>
      </c>
      <c r="J449" s="104" t="s">
        <v>848</v>
      </c>
      <c r="K449" s="104" t="s">
        <v>1540</v>
      </c>
    </row>
    <row r="450" spans="1:11" hidden="1" x14ac:dyDescent="0.3">
      <c r="A450" s="100" t="s">
        <v>392</v>
      </c>
      <c r="B450" s="101" t="s">
        <v>8</v>
      </c>
      <c r="C450" s="101" t="s">
        <v>1744</v>
      </c>
      <c r="D450" s="101" t="s">
        <v>1745</v>
      </c>
      <c r="E450" s="102">
        <v>45800</v>
      </c>
      <c r="F450" s="101" t="s">
        <v>371</v>
      </c>
      <c r="G450" s="101" t="s">
        <v>864</v>
      </c>
      <c r="H450" s="103">
        <v>28005.52</v>
      </c>
      <c r="I450" s="133">
        <v>0.88400000000000001</v>
      </c>
      <c r="J450" s="104" t="s">
        <v>848</v>
      </c>
      <c r="K450" s="104" t="s">
        <v>1540</v>
      </c>
    </row>
    <row r="451" spans="1:11" hidden="1" x14ac:dyDescent="0.3">
      <c r="A451" s="100" t="s">
        <v>392</v>
      </c>
      <c r="B451" s="101" t="s">
        <v>8</v>
      </c>
      <c r="C451" s="101" t="s">
        <v>1746</v>
      </c>
      <c r="D451" s="101" t="s">
        <v>1747</v>
      </c>
      <c r="E451" s="102">
        <v>45800</v>
      </c>
      <c r="F451" s="101" t="s">
        <v>374</v>
      </c>
      <c r="G451" s="101" t="s">
        <v>17</v>
      </c>
      <c r="H451" s="103">
        <v>8400</v>
      </c>
      <c r="I451" s="133">
        <v>0.48799999999999999</v>
      </c>
      <c r="J451" s="104" t="s">
        <v>848</v>
      </c>
      <c r="K451" s="104" t="s">
        <v>1540</v>
      </c>
    </row>
    <row r="452" spans="1:11" hidden="1" x14ac:dyDescent="0.3">
      <c r="A452" s="100" t="s">
        <v>392</v>
      </c>
      <c r="B452" s="101" t="s">
        <v>8</v>
      </c>
      <c r="C452" s="101" t="s">
        <v>1748</v>
      </c>
      <c r="D452" s="101" t="s">
        <v>1749</v>
      </c>
      <c r="E452" s="102">
        <v>45803</v>
      </c>
      <c r="F452" s="101" t="s">
        <v>842</v>
      </c>
      <c r="G452" s="101" t="s">
        <v>843</v>
      </c>
      <c r="H452" s="103">
        <v>22680.31</v>
      </c>
      <c r="I452" s="133">
        <v>0.46600000000000003</v>
      </c>
      <c r="J452" s="104" t="s">
        <v>1835</v>
      </c>
      <c r="K452" s="104" t="s">
        <v>1540</v>
      </c>
    </row>
    <row r="453" spans="1:11" hidden="1" x14ac:dyDescent="0.3">
      <c r="A453" s="100" t="s">
        <v>390</v>
      </c>
      <c r="B453" s="101" t="s">
        <v>8</v>
      </c>
      <c r="C453" s="101" t="s">
        <v>1750</v>
      </c>
      <c r="D453" s="101" t="s">
        <v>1751</v>
      </c>
      <c r="E453" s="102">
        <v>45803</v>
      </c>
      <c r="F453" s="101" t="s">
        <v>371</v>
      </c>
      <c r="G453" s="101" t="s">
        <v>864</v>
      </c>
      <c r="H453" s="103">
        <v>20911.099999999999</v>
      </c>
      <c r="I453" s="133">
        <v>0.31</v>
      </c>
      <c r="J453" s="104" t="s">
        <v>848</v>
      </c>
      <c r="K453" s="104" t="s">
        <v>1540</v>
      </c>
    </row>
    <row r="454" spans="1:11" hidden="1" x14ac:dyDescent="0.3">
      <c r="A454" s="100" t="s">
        <v>390</v>
      </c>
      <c r="B454" s="101" t="s">
        <v>8</v>
      </c>
      <c r="C454" s="101" t="s">
        <v>1752</v>
      </c>
      <c r="D454" s="101" t="s">
        <v>1753</v>
      </c>
      <c r="E454" s="102">
        <v>45803</v>
      </c>
      <c r="F454" s="101" t="s">
        <v>371</v>
      </c>
      <c r="G454" s="101" t="s">
        <v>864</v>
      </c>
      <c r="H454" s="103">
        <v>26986.73</v>
      </c>
      <c r="I454" s="133">
        <v>0.28899999999999998</v>
      </c>
      <c r="J454" s="104" t="s">
        <v>832</v>
      </c>
      <c r="K454" s="104" t="s">
        <v>1541</v>
      </c>
    </row>
    <row r="455" spans="1:11" hidden="1" x14ac:dyDescent="0.3">
      <c r="A455" s="100" t="s">
        <v>390</v>
      </c>
      <c r="B455" s="101" t="s">
        <v>8</v>
      </c>
      <c r="C455" s="101" t="s">
        <v>1754</v>
      </c>
      <c r="D455" s="101" t="s">
        <v>1755</v>
      </c>
      <c r="E455" s="102">
        <v>45803</v>
      </c>
      <c r="F455" s="101" t="s">
        <v>371</v>
      </c>
      <c r="G455" s="101" t="s">
        <v>864</v>
      </c>
      <c r="H455" s="103">
        <v>26986.73</v>
      </c>
      <c r="I455" s="133">
        <v>0.28899999999999998</v>
      </c>
      <c r="J455" s="104" t="s">
        <v>832</v>
      </c>
      <c r="K455" s="104" t="s">
        <v>1541</v>
      </c>
    </row>
    <row r="456" spans="1:11" hidden="1" x14ac:dyDescent="0.3">
      <c r="A456" s="100" t="s">
        <v>392</v>
      </c>
      <c r="B456" s="101" t="s">
        <v>8</v>
      </c>
      <c r="C456" s="101" t="s">
        <v>1756</v>
      </c>
      <c r="D456" s="101" t="s">
        <v>1757</v>
      </c>
      <c r="E456" s="102">
        <v>45803</v>
      </c>
      <c r="F456" s="101" t="s">
        <v>844</v>
      </c>
      <c r="G456" s="101" t="s">
        <v>863</v>
      </c>
      <c r="H456" s="103">
        <v>22772.41</v>
      </c>
      <c r="I456" s="133">
        <v>0.35699999999999998</v>
      </c>
      <c r="J456" s="104" t="s">
        <v>848</v>
      </c>
      <c r="K456" s="104" t="s">
        <v>1540</v>
      </c>
    </row>
    <row r="457" spans="1:11" hidden="1" x14ac:dyDescent="0.3">
      <c r="A457" s="100" t="s">
        <v>390</v>
      </c>
      <c r="B457" s="101" t="s">
        <v>8</v>
      </c>
      <c r="C457" s="101" t="s">
        <v>1758</v>
      </c>
      <c r="D457" s="101" t="s">
        <v>1531</v>
      </c>
      <c r="E457" s="102">
        <v>45803</v>
      </c>
      <c r="F457" s="101" t="s">
        <v>372</v>
      </c>
      <c r="G457" s="101" t="s">
        <v>10</v>
      </c>
      <c r="H457" s="103">
        <v>111078.38</v>
      </c>
      <c r="I457" s="133">
        <v>0.28799999999999998</v>
      </c>
      <c r="J457" s="104" t="s">
        <v>833</v>
      </c>
      <c r="K457" s="104" t="s">
        <v>1542</v>
      </c>
    </row>
    <row r="458" spans="1:11" hidden="1" x14ac:dyDescent="0.3">
      <c r="A458" s="100" t="s">
        <v>392</v>
      </c>
      <c r="B458" s="101" t="s">
        <v>8</v>
      </c>
      <c r="C458" s="101" t="s">
        <v>1759</v>
      </c>
      <c r="D458" s="101" t="s">
        <v>1760</v>
      </c>
      <c r="E458" s="102">
        <v>45804</v>
      </c>
      <c r="F458" s="101" t="s">
        <v>372</v>
      </c>
      <c r="G458" s="101" t="s">
        <v>10</v>
      </c>
      <c r="H458" s="103">
        <v>16542</v>
      </c>
      <c r="I458" s="133">
        <v>0.372</v>
      </c>
      <c r="J458" s="104" t="s">
        <v>848</v>
      </c>
      <c r="K458" s="104" t="s">
        <v>1540</v>
      </c>
    </row>
    <row r="459" spans="1:11" hidden="1" x14ac:dyDescent="0.3">
      <c r="A459" s="100" t="s">
        <v>390</v>
      </c>
      <c r="B459" s="101" t="s">
        <v>8</v>
      </c>
      <c r="C459" s="101" t="s">
        <v>1761</v>
      </c>
      <c r="D459" s="101" t="s">
        <v>1762</v>
      </c>
      <c r="E459" s="102">
        <v>45804</v>
      </c>
      <c r="F459" s="101" t="s">
        <v>371</v>
      </c>
      <c r="G459" s="101" t="s">
        <v>864</v>
      </c>
      <c r="H459" s="103">
        <v>90045.75</v>
      </c>
      <c r="I459" s="133">
        <v>0.17799999999999999</v>
      </c>
      <c r="J459" s="104" t="s">
        <v>832</v>
      </c>
      <c r="K459" s="104" t="s">
        <v>1541</v>
      </c>
    </row>
    <row r="460" spans="1:11" hidden="1" x14ac:dyDescent="0.3">
      <c r="A460" s="100" t="s">
        <v>392</v>
      </c>
      <c r="B460" s="101" t="s">
        <v>8</v>
      </c>
      <c r="C460" s="101" t="s">
        <v>1763</v>
      </c>
      <c r="D460" s="101" t="s">
        <v>1764</v>
      </c>
      <c r="E460" s="102">
        <v>45804</v>
      </c>
      <c r="F460" s="101" t="s">
        <v>370</v>
      </c>
      <c r="G460" s="101" t="s">
        <v>63</v>
      </c>
      <c r="H460" s="103">
        <v>10300</v>
      </c>
      <c r="I460" s="133">
        <v>0.58299999999999996</v>
      </c>
      <c r="J460" s="104" t="s">
        <v>830</v>
      </c>
      <c r="K460" s="104" t="s">
        <v>1540</v>
      </c>
    </row>
    <row r="461" spans="1:11" hidden="1" x14ac:dyDescent="0.3">
      <c r="A461" s="100" t="s">
        <v>392</v>
      </c>
      <c r="B461" s="101" t="s">
        <v>8</v>
      </c>
      <c r="C461" s="101" t="s">
        <v>1765</v>
      </c>
      <c r="D461" s="101" t="s">
        <v>1766</v>
      </c>
      <c r="E461" s="102">
        <v>45804</v>
      </c>
      <c r="F461" s="101" t="s">
        <v>370</v>
      </c>
      <c r="G461" s="101" t="s">
        <v>63</v>
      </c>
      <c r="H461" s="103">
        <v>10300</v>
      </c>
      <c r="I461" s="133">
        <v>0.58299999999999996</v>
      </c>
      <c r="J461" s="104" t="s">
        <v>830</v>
      </c>
      <c r="K461" s="104" t="s">
        <v>1540</v>
      </c>
    </row>
    <row r="462" spans="1:11" hidden="1" x14ac:dyDescent="0.3">
      <c r="A462" s="100" t="s">
        <v>392</v>
      </c>
      <c r="B462" s="101" t="s">
        <v>8</v>
      </c>
      <c r="C462" s="101" t="s">
        <v>1767</v>
      </c>
      <c r="D462" s="101" t="s">
        <v>1768</v>
      </c>
      <c r="E462" s="102">
        <v>45804</v>
      </c>
      <c r="F462" s="101" t="s">
        <v>370</v>
      </c>
      <c r="G462" s="101" t="s">
        <v>63</v>
      </c>
      <c r="H462" s="103">
        <v>8150</v>
      </c>
      <c r="I462" s="133">
        <v>0.50900000000000001</v>
      </c>
      <c r="J462" s="104" t="s">
        <v>830</v>
      </c>
      <c r="K462" s="104" t="s">
        <v>1540</v>
      </c>
    </row>
    <row r="463" spans="1:11" hidden="1" x14ac:dyDescent="0.3">
      <c r="A463" s="100" t="s">
        <v>392</v>
      </c>
      <c r="B463" s="101" t="s">
        <v>8</v>
      </c>
      <c r="C463" s="101" t="s">
        <v>1769</v>
      </c>
      <c r="D463" s="101" t="s">
        <v>1770</v>
      </c>
      <c r="E463" s="102">
        <v>45804</v>
      </c>
      <c r="F463" s="101" t="s">
        <v>370</v>
      </c>
      <c r="G463" s="101" t="s">
        <v>63</v>
      </c>
      <c r="H463" s="103">
        <v>15350</v>
      </c>
      <c r="I463" s="133">
        <v>0.68700000000000006</v>
      </c>
      <c r="J463" s="104" t="s">
        <v>830</v>
      </c>
      <c r="K463" s="104" t="s">
        <v>1540</v>
      </c>
    </row>
    <row r="464" spans="1:11" hidden="1" x14ac:dyDescent="0.3">
      <c r="A464" s="100" t="s">
        <v>392</v>
      </c>
      <c r="B464" s="101" t="s">
        <v>8</v>
      </c>
      <c r="C464" s="101" t="s">
        <v>1771</v>
      </c>
      <c r="D464" s="101" t="s">
        <v>1772</v>
      </c>
      <c r="E464" s="102">
        <v>45804</v>
      </c>
      <c r="F464" s="101" t="s">
        <v>370</v>
      </c>
      <c r="G464" s="101" t="s">
        <v>63</v>
      </c>
      <c r="H464" s="103">
        <v>15350</v>
      </c>
      <c r="I464" s="133">
        <v>0.68700000000000006</v>
      </c>
      <c r="J464" s="104" t="s">
        <v>830</v>
      </c>
      <c r="K464" s="104" t="s">
        <v>1540</v>
      </c>
    </row>
    <row r="465" spans="1:11" hidden="1" x14ac:dyDescent="0.3">
      <c r="A465" s="100" t="s">
        <v>392</v>
      </c>
      <c r="B465" s="101" t="s">
        <v>8</v>
      </c>
      <c r="C465" s="101" t="s">
        <v>1773</v>
      </c>
      <c r="D465" s="101" t="s">
        <v>1774</v>
      </c>
      <c r="E465" s="102">
        <v>45804</v>
      </c>
      <c r="F465" s="101" t="s">
        <v>370</v>
      </c>
      <c r="G465" s="101" t="s">
        <v>63</v>
      </c>
      <c r="H465" s="103">
        <v>8150</v>
      </c>
      <c r="I465" s="133">
        <v>0.50900000000000001</v>
      </c>
      <c r="J465" s="104" t="s">
        <v>830</v>
      </c>
      <c r="K465" s="104" t="s">
        <v>1540</v>
      </c>
    </row>
    <row r="466" spans="1:11" hidden="1" x14ac:dyDescent="0.3">
      <c r="A466" s="100" t="s">
        <v>392</v>
      </c>
      <c r="B466" s="101" t="s">
        <v>8</v>
      </c>
      <c r="C466" s="101" t="s">
        <v>1775</v>
      </c>
      <c r="D466" s="101" t="s">
        <v>1776</v>
      </c>
      <c r="E466" s="102">
        <v>45805</v>
      </c>
      <c r="F466" s="101" t="s">
        <v>842</v>
      </c>
      <c r="G466" s="101" t="s">
        <v>843</v>
      </c>
      <c r="H466" s="103">
        <v>22000</v>
      </c>
      <c r="I466" s="133">
        <v>0.47199999999999998</v>
      </c>
      <c r="J466" s="104" t="s">
        <v>1835</v>
      </c>
      <c r="K466" s="104" t="s">
        <v>1540</v>
      </c>
    </row>
    <row r="467" spans="1:11" hidden="1" x14ac:dyDescent="0.3">
      <c r="A467" s="100" t="s">
        <v>392</v>
      </c>
      <c r="B467" s="101" t="s">
        <v>8</v>
      </c>
      <c r="C467" s="101" t="s">
        <v>1777</v>
      </c>
      <c r="D467" s="101" t="s">
        <v>1778</v>
      </c>
      <c r="E467" s="102">
        <v>45805</v>
      </c>
      <c r="F467" s="101" t="s">
        <v>842</v>
      </c>
      <c r="G467" s="101" t="s">
        <v>843</v>
      </c>
      <c r="H467" s="103">
        <v>22000</v>
      </c>
      <c r="I467" s="133">
        <v>0.47499999999999998</v>
      </c>
      <c r="J467" s="104" t="s">
        <v>1835</v>
      </c>
      <c r="K467" s="104" t="s">
        <v>1540</v>
      </c>
    </row>
    <row r="468" spans="1:11" hidden="1" x14ac:dyDescent="0.3">
      <c r="A468" s="100" t="s">
        <v>392</v>
      </c>
      <c r="B468" s="101" t="s">
        <v>8</v>
      </c>
      <c r="C468" s="101" t="s">
        <v>1779</v>
      </c>
      <c r="D468" s="101" t="s">
        <v>1780</v>
      </c>
      <c r="E468" s="102">
        <v>45805</v>
      </c>
      <c r="F468" s="101" t="s">
        <v>842</v>
      </c>
      <c r="G468" s="101" t="s">
        <v>843</v>
      </c>
      <c r="H468" s="103">
        <v>22000</v>
      </c>
      <c r="I468" s="133">
        <v>0.47199999999999998</v>
      </c>
      <c r="J468" s="104" t="s">
        <v>1835</v>
      </c>
      <c r="K468" s="104" t="s">
        <v>1540</v>
      </c>
    </row>
    <row r="469" spans="1:11" hidden="1" x14ac:dyDescent="0.3">
      <c r="A469" s="100" t="s">
        <v>390</v>
      </c>
      <c r="B469" s="101" t="s">
        <v>8</v>
      </c>
      <c r="C469" s="101" t="s">
        <v>1781</v>
      </c>
      <c r="D469" s="101" t="s">
        <v>1782</v>
      </c>
      <c r="E469" s="102">
        <v>45805</v>
      </c>
      <c r="F469" s="101" t="s">
        <v>371</v>
      </c>
      <c r="G469" s="101" t="s">
        <v>864</v>
      </c>
      <c r="H469" s="103">
        <v>148420.28</v>
      </c>
      <c r="I469" s="133">
        <v>0.159</v>
      </c>
      <c r="J469" s="104" t="s">
        <v>832</v>
      </c>
      <c r="K469" s="104" t="s">
        <v>1541</v>
      </c>
    </row>
    <row r="470" spans="1:11" hidden="1" x14ac:dyDescent="0.3">
      <c r="A470" s="100" t="s">
        <v>390</v>
      </c>
      <c r="B470" s="101" t="s">
        <v>8</v>
      </c>
      <c r="C470" s="101" t="s">
        <v>1783</v>
      </c>
      <c r="D470" s="101" t="s">
        <v>716</v>
      </c>
      <c r="E470" s="102">
        <v>45805</v>
      </c>
      <c r="F470" s="101" t="s">
        <v>375</v>
      </c>
      <c r="G470" s="101" t="s">
        <v>62</v>
      </c>
      <c r="H470" s="103">
        <v>24605</v>
      </c>
      <c r="I470" s="133">
        <v>0.499</v>
      </c>
      <c r="J470" s="104" t="s">
        <v>831</v>
      </c>
      <c r="K470" s="104" t="s">
        <v>1542</v>
      </c>
    </row>
    <row r="471" spans="1:11" hidden="1" x14ac:dyDescent="0.3">
      <c r="A471" s="100" t="s">
        <v>390</v>
      </c>
      <c r="B471" s="101" t="s">
        <v>8</v>
      </c>
      <c r="C471" s="101" t="s">
        <v>1784</v>
      </c>
      <c r="D471" s="101" t="s">
        <v>716</v>
      </c>
      <c r="E471" s="102">
        <v>45805</v>
      </c>
      <c r="F471" s="101" t="s">
        <v>375</v>
      </c>
      <c r="G471" s="101" t="s">
        <v>62</v>
      </c>
      <c r="H471" s="103">
        <v>13361.75</v>
      </c>
      <c r="I471" s="133">
        <v>0.499</v>
      </c>
      <c r="J471" s="104" t="s">
        <v>831</v>
      </c>
      <c r="K471" s="104" t="s">
        <v>1542</v>
      </c>
    </row>
    <row r="472" spans="1:11" hidden="1" x14ac:dyDescent="0.3">
      <c r="A472" s="100" t="s">
        <v>390</v>
      </c>
      <c r="B472" s="101" t="s">
        <v>8</v>
      </c>
      <c r="C472" s="101" t="s">
        <v>1785</v>
      </c>
      <c r="D472" s="101" t="s">
        <v>1786</v>
      </c>
      <c r="E472" s="102">
        <v>45805</v>
      </c>
      <c r="F472" s="101" t="s">
        <v>371</v>
      </c>
      <c r="G472" s="101" t="s">
        <v>864</v>
      </c>
      <c r="H472" s="103">
        <v>20508.599999999999</v>
      </c>
      <c r="I472" s="133">
        <v>0.31900000000000001</v>
      </c>
      <c r="J472" s="104" t="s">
        <v>832</v>
      </c>
      <c r="K472" s="104" t="s">
        <v>1541</v>
      </c>
    </row>
    <row r="473" spans="1:11" hidden="1" x14ac:dyDescent="0.3">
      <c r="A473" s="100" t="s">
        <v>390</v>
      </c>
      <c r="B473" s="101" t="s">
        <v>8</v>
      </c>
      <c r="C473" s="101" t="s">
        <v>1787</v>
      </c>
      <c r="D473" s="101" t="s">
        <v>1788</v>
      </c>
      <c r="E473" s="102">
        <v>45805</v>
      </c>
      <c r="F473" s="101" t="s">
        <v>371</v>
      </c>
      <c r="G473" s="101" t="s">
        <v>864</v>
      </c>
      <c r="H473" s="103">
        <v>49042.49</v>
      </c>
      <c r="I473" s="133">
        <v>0.20300000000000001</v>
      </c>
      <c r="J473" s="104" t="s">
        <v>832</v>
      </c>
      <c r="K473" s="104" t="s">
        <v>1541</v>
      </c>
    </row>
    <row r="474" spans="1:11" hidden="1" x14ac:dyDescent="0.3">
      <c r="A474" s="100" t="s">
        <v>390</v>
      </c>
      <c r="B474" s="101" t="s">
        <v>8</v>
      </c>
      <c r="C474" s="101" t="s">
        <v>1789</v>
      </c>
      <c r="D474" s="101" t="s">
        <v>1790</v>
      </c>
      <c r="E474" s="102">
        <v>45805</v>
      </c>
      <c r="F474" s="101" t="s">
        <v>371</v>
      </c>
      <c r="G474" s="101" t="s">
        <v>864</v>
      </c>
      <c r="H474" s="103">
        <v>36244.36</v>
      </c>
      <c r="I474" s="133">
        <v>0.23400000000000001</v>
      </c>
      <c r="J474" s="104" t="s">
        <v>832</v>
      </c>
      <c r="K474" s="104" t="s">
        <v>1541</v>
      </c>
    </row>
    <row r="475" spans="1:11" hidden="1" x14ac:dyDescent="0.3">
      <c r="A475" s="100" t="s">
        <v>390</v>
      </c>
      <c r="B475" s="101" t="s">
        <v>8</v>
      </c>
      <c r="C475" s="101" t="s">
        <v>1791</v>
      </c>
      <c r="D475" s="101" t="s">
        <v>1792</v>
      </c>
      <c r="E475" s="102">
        <v>45805</v>
      </c>
      <c r="F475" s="101" t="s">
        <v>371</v>
      </c>
      <c r="G475" s="101" t="s">
        <v>864</v>
      </c>
      <c r="H475" s="103">
        <v>29091.05</v>
      </c>
      <c r="I475" s="133">
        <v>0.27700000000000002</v>
      </c>
      <c r="J475" s="104" t="s">
        <v>832</v>
      </c>
      <c r="K475" s="104" t="s">
        <v>1541</v>
      </c>
    </row>
    <row r="476" spans="1:11" hidden="1" x14ac:dyDescent="0.3">
      <c r="A476" s="100" t="s">
        <v>390</v>
      </c>
      <c r="B476" s="101" t="s">
        <v>8</v>
      </c>
      <c r="C476" s="101" t="s">
        <v>1793</v>
      </c>
      <c r="D476" s="101" t="s">
        <v>1794</v>
      </c>
      <c r="E476" s="102">
        <v>45805</v>
      </c>
      <c r="F476" s="101" t="s">
        <v>371</v>
      </c>
      <c r="G476" s="101" t="s">
        <v>864</v>
      </c>
      <c r="H476" s="103">
        <v>36655.730000000003</v>
      </c>
      <c r="I476" s="133">
        <v>0.247</v>
      </c>
      <c r="J476" s="104" t="s">
        <v>832</v>
      </c>
      <c r="K476" s="104" t="s">
        <v>1541</v>
      </c>
    </row>
    <row r="477" spans="1:11" hidden="1" x14ac:dyDescent="0.3">
      <c r="A477" s="100" t="s">
        <v>390</v>
      </c>
      <c r="B477" s="101" t="s">
        <v>8</v>
      </c>
      <c r="C477" s="101" t="s">
        <v>1795</v>
      </c>
      <c r="D477" s="101" t="s">
        <v>1796</v>
      </c>
      <c r="E477" s="102">
        <v>45805</v>
      </c>
      <c r="F477" s="101" t="s">
        <v>371</v>
      </c>
      <c r="G477" s="101" t="s">
        <v>864</v>
      </c>
      <c r="H477" s="103">
        <v>21062.57</v>
      </c>
      <c r="I477" s="133">
        <v>0.33300000000000002</v>
      </c>
      <c r="J477" s="104" t="s">
        <v>832</v>
      </c>
      <c r="K477" s="104" t="s">
        <v>1541</v>
      </c>
    </row>
    <row r="478" spans="1:11" hidden="1" x14ac:dyDescent="0.3">
      <c r="A478" s="100" t="s">
        <v>390</v>
      </c>
      <c r="B478" s="101" t="s">
        <v>8</v>
      </c>
      <c r="C478" s="101" t="s">
        <v>1797</v>
      </c>
      <c r="D478" s="101" t="s">
        <v>1798</v>
      </c>
      <c r="E478" s="102">
        <v>45806</v>
      </c>
      <c r="F478" s="101" t="s">
        <v>371</v>
      </c>
      <c r="G478" s="101" t="s">
        <v>864</v>
      </c>
      <c r="H478" s="103">
        <v>15232.79</v>
      </c>
      <c r="I478" s="133">
        <v>0.45700000000000002</v>
      </c>
      <c r="J478" s="104" t="s">
        <v>832</v>
      </c>
      <c r="K478" s="104" t="s">
        <v>1541</v>
      </c>
    </row>
    <row r="479" spans="1:11" hidden="1" x14ac:dyDescent="0.3">
      <c r="A479" s="100" t="s">
        <v>390</v>
      </c>
      <c r="B479" s="101" t="s">
        <v>8</v>
      </c>
      <c r="C479" s="101" t="s">
        <v>1799</v>
      </c>
      <c r="D479" s="101" t="s">
        <v>1800</v>
      </c>
      <c r="E479" s="102">
        <v>45806</v>
      </c>
      <c r="F479" s="101" t="s">
        <v>371</v>
      </c>
      <c r="G479" s="101" t="s">
        <v>864</v>
      </c>
      <c r="H479" s="103">
        <v>12734.67</v>
      </c>
      <c r="I479" s="133">
        <v>0.48199999999999998</v>
      </c>
      <c r="J479" s="104" t="s">
        <v>832</v>
      </c>
      <c r="K479" s="104" t="s">
        <v>1541</v>
      </c>
    </row>
    <row r="480" spans="1:11" hidden="1" x14ac:dyDescent="0.3">
      <c r="A480" s="100" t="s">
        <v>390</v>
      </c>
      <c r="B480" s="101" t="s">
        <v>8</v>
      </c>
      <c r="C480" s="101" t="s">
        <v>1801</v>
      </c>
      <c r="D480" s="101" t="s">
        <v>1802</v>
      </c>
      <c r="E480" s="102">
        <v>45806</v>
      </c>
      <c r="F480" s="101" t="s">
        <v>371</v>
      </c>
      <c r="G480" s="101" t="s">
        <v>864</v>
      </c>
      <c r="H480" s="103">
        <v>11772.39</v>
      </c>
      <c r="I480" s="133">
        <v>0.51100000000000001</v>
      </c>
      <c r="J480" s="104" t="s">
        <v>832</v>
      </c>
      <c r="K480" s="104" t="s">
        <v>1541</v>
      </c>
    </row>
    <row r="481" spans="1:11" hidden="1" x14ac:dyDescent="0.3">
      <c r="A481" s="100" t="s">
        <v>390</v>
      </c>
      <c r="B481" s="101" t="s">
        <v>8</v>
      </c>
      <c r="C481" s="101" t="s">
        <v>1803</v>
      </c>
      <c r="D481" s="101" t="s">
        <v>1804</v>
      </c>
      <c r="E481" s="102">
        <v>45807</v>
      </c>
      <c r="F481" s="101" t="s">
        <v>371</v>
      </c>
      <c r="G481" s="101" t="s">
        <v>864</v>
      </c>
      <c r="H481" s="103">
        <v>21809.1</v>
      </c>
      <c r="I481" s="133">
        <v>0.28399999999999997</v>
      </c>
      <c r="J481" s="104" t="s">
        <v>832</v>
      </c>
      <c r="K481" s="104" t="s">
        <v>1541</v>
      </c>
    </row>
    <row r="482" spans="1:11" hidden="1" x14ac:dyDescent="0.3">
      <c r="A482" s="100" t="s">
        <v>390</v>
      </c>
      <c r="B482" s="101" t="s">
        <v>8</v>
      </c>
      <c r="C482" s="101" t="s">
        <v>1805</v>
      </c>
      <c r="D482" s="101" t="s">
        <v>1806</v>
      </c>
      <c r="E482" s="102">
        <v>45807</v>
      </c>
      <c r="F482" s="101" t="s">
        <v>370</v>
      </c>
      <c r="G482" s="101" t="s">
        <v>63</v>
      </c>
      <c r="H482" s="103">
        <v>43500</v>
      </c>
      <c r="I482" s="133">
        <v>0.54300000000000004</v>
      </c>
      <c r="J482" s="104" t="s">
        <v>830</v>
      </c>
      <c r="K482" s="104" t="s">
        <v>1541</v>
      </c>
    </row>
    <row r="483" spans="1:11" hidden="1" x14ac:dyDescent="0.3">
      <c r="A483" s="100" t="s">
        <v>392</v>
      </c>
      <c r="B483" s="101" t="s">
        <v>8</v>
      </c>
      <c r="C483" s="101" t="s">
        <v>1807</v>
      </c>
      <c r="D483" s="101" t="s">
        <v>1808</v>
      </c>
      <c r="E483" s="102">
        <v>45807</v>
      </c>
      <c r="F483" s="101" t="s">
        <v>370</v>
      </c>
      <c r="G483" s="101" t="s">
        <v>63</v>
      </c>
      <c r="H483" s="103">
        <v>4200</v>
      </c>
      <c r="I483" s="133">
        <v>0.57099999999999995</v>
      </c>
      <c r="J483" s="104" t="s">
        <v>830</v>
      </c>
      <c r="K483" s="104" t="s">
        <v>1540</v>
      </c>
    </row>
    <row r="484" spans="1:11" hidden="1" x14ac:dyDescent="0.3">
      <c r="A484" s="100" t="s">
        <v>392</v>
      </c>
      <c r="B484" s="101" t="s">
        <v>8</v>
      </c>
      <c r="C484" s="101" t="s">
        <v>1809</v>
      </c>
      <c r="D484" s="101" t="s">
        <v>1810</v>
      </c>
      <c r="E484" s="102">
        <v>45807</v>
      </c>
      <c r="F484" s="101" t="s">
        <v>842</v>
      </c>
      <c r="G484" s="101" t="s">
        <v>843</v>
      </c>
      <c r="H484" s="103">
        <v>22000</v>
      </c>
      <c r="I484" s="133">
        <v>0.47499999999999998</v>
      </c>
      <c r="J484" s="104" t="s">
        <v>1835</v>
      </c>
      <c r="K484" s="104" t="s">
        <v>1540</v>
      </c>
    </row>
    <row r="485" spans="1:11" hidden="1" x14ac:dyDescent="0.3">
      <c r="A485" s="100" t="s">
        <v>392</v>
      </c>
      <c r="B485" s="101" t="s">
        <v>8</v>
      </c>
      <c r="C485" s="101" t="s">
        <v>1811</v>
      </c>
      <c r="D485" s="101" t="s">
        <v>1812</v>
      </c>
      <c r="E485" s="102">
        <v>45807</v>
      </c>
      <c r="F485" s="101" t="s">
        <v>842</v>
      </c>
      <c r="G485" s="101" t="s">
        <v>843</v>
      </c>
      <c r="H485" s="103">
        <v>22000</v>
      </c>
      <c r="I485" s="133">
        <v>0.47499999999999998</v>
      </c>
      <c r="J485" s="104" t="s">
        <v>1835</v>
      </c>
      <c r="K485" s="104" t="s">
        <v>1540</v>
      </c>
    </row>
    <row r="486" spans="1:11" hidden="1" x14ac:dyDescent="0.3">
      <c r="A486" s="100" t="s">
        <v>392</v>
      </c>
      <c r="B486" s="101" t="s">
        <v>8</v>
      </c>
      <c r="C486" s="101" t="s">
        <v>1813</v>
      </c>
      <c r="D486" s="101" t="s">
        <v>1814</v>
      </c>
      <c r="E486" s="102">
        <v>45807</v>
      </c>
      <c r="F486" s="101" t="s">
        <v>842</v>
      </c>
      <c r="G486" s="101" t="s">
        <v>843</v>
      </c>
      <c r="H486" s="103">
        <v>22000</v>
      </c>
      <c r="I486" s="133">
        <v>0.47299999999999998</v>
      </c>
      <c r="J486" s="104" t="s">
        <v>1835</v>
      </c>
      <c r="K486" s="104" t="s">
        <v>1540</v>
      </c>
    </row>
    <row r="487" spans="1:11" hidden="1" x14ac:dyDescent="0.3">
      <c r="A487" s="100" t="s">
        <v>392</v>
      </c>
      <c r="B487" s="101" t="s">
        <v>8</v>
      </c>
      <c r="C487" s="101" t="s">
        <v>1815</v>
      </c>
      <c r="D487" s="101" t="s">
        <v>1816</v>
      </c>
      <c r="E487" s="102">
        <v>45807</v>
      </c>
      <c r="F487" s="101" t="s">
        <v>842</v>
      </c>
      <c r="G487" s="101" t="s">
        <v>843</v>
      </c>
      <c r="H487" s="103">
        <v>22000</v>
      </c>
      <c r="I487" s="133">
        <v>0.47299999999999998</v>
      </c>
      <c r="J487" s="104" t="s">
        <v>1835</v>
      </c>
      <c r="K487" s="104" t="s">
        <v>1540</v>
      </c>
    </row>
    <row r="488" spans="1:11" hidden="1" x14ac:dyDescent="0.3">
      <c r="A488" s="100" t="s">
        <v>392</v>
      </c>
      <c r="B488" s="101" t="s">
        <v>8</v>
      </c>
      <c r="C488" s="101" t="s">
        <v>1817</v>
      </c>
      <c r="D488" s="101" t="s">
        <v>1818</v>
      </c>
      <c r="E488" s="102">
        <v>45807</v>
      </c>
      <c r="F488" s="101" t="s">
        <v>370</v>
      </c>
      <c r="G488" s="101" t="s">
        <v>63</v>
      </c>
      <c r="H488" s="103">
        <v>4200</v>
      </c>
      <c r="I488" s="133">
        <v>0.57099999999999995</v>
      </c>
      <c r="J488" s="104" t="s">
        <v>830</v>
      </c>
      <c r="K488" s="104" t="s">
        <v>1540</v>
      </c>
    </row>
    <row r="489" spans="1:11" hidden="1" x14ac:dyDescent="0.3">
      <c r="A489" s="100" t="s">
        <v>390</v>
      </c>
      <c r="B489" s="101" t="s">
        <v>8</v>
      </c>
      <c r="C489" s="101" t="s">
        <v>1819</v>
      </c>
      <c r="D489" s="101" t="s">
        <v>1820</v>
      </c>
      <c r="E489" s="102">
        <v>45808</v>
      </c>
      <c r="F489" s="101" t="s">
        <v>619</v>
      </c>
      <c r="G489" s="101" t="s">
        <v>16</v>
      </c>
      <c r="H489" s="103">
        <v>19500</v>
      </c>
      <c r="I489" s="133">
        <v>0.55600000000000005</v>
      </c>
      <c r="J489" s="104" t="s">
        <v>833</v>
      </c>
      <c r="K489" s="104" t="s">
        <v>1541</v>
      </c>
    </row>
    <row r="490" spans="1:11" hidden="1" x14ac:dyDescent="0.3">
      <c r="A490" s="100" t="s">
        <v>390</v>
      </c>
      <c r="B490" s="101" t="s">
        <v>8</v>
      </c>
      <c r="C490" s="101" t="s">
        <v>1821</v>
      </c>
      <c r="D490" s="101" t="s">
        <v>1822</v>
      </c>
      <c r="E490" s="102">
        <v>45785</v>
      </c>
      <c r="F490" s="101" t="s">
        <v>372</v>
      </c>
      <c r="G490" s="101" t="s">
        <v>10</v>
      </c>
      <c r="H490" s="103">
        <v>75797.724799999996</v>
      </c>
      <c r="I490" s="133">
        <v>0.28399999999999997</v>
      </c>
      <c r="J490" s="104" t="s">
        <v>833</v>
      </c>
      <c r="K490" s="104" t="s">
        <v>1542</v>
      </c>
    </row>
    <row r="491" spans="1:11" hidden="1" x14ac:dyDescent="0.3">
      <c r="A491" s="100" t="s">
        <v>390</v>
      </c>
      <c r="B491" s="101" t="s">
        <v>8</v>
      </c>
      <c r="C491" s="101" t="s">
        <v>1823</v>
      </c>
      <c r="D491" s="101" t="s">
        <v>1533</v>
      </c>
      <c r="E491" s="102">
        <v>45785</v>
      </c>
      <c r="F491" s="101" t="s">
        <v>1174</v>
      </c>
      <c r="G491" s="101" t="s">
        <v>857</v>
      </c>
      <c r="H491" s="103">
        <v>1469.1000000000001</v>
      </c>
      <c r="I491" s="133">
        <v>0.64900000000000002</v>
      </c>
      <c r="J491" s="104" t="s">
        <v>831</v>
      </c>
      <c r="K491" s="104" t="s">
        <v>1542</v>
      </c>
    </row>
    <row r="492" spans="1:11" hidden="1" x14ac:dyDescent="0.3">
      <c r="A492" s="100" t="s">
        <v>392</v>
      </c>
      <c r="B492" s="101" t="s">
        <v>8</v>
      </c>
      <c r="C492" s="101" t="s">
        <v>1824</v>
      </c>
      <c r="D492" s="101" t="s">
        <v>1825</v>
      </c>
      <c r="E492" s="102">
        <v>45800</v>
      </c>
      <c r="F492" s="101" t="s">
        <v>844</v>
      </c>
      <c r="G492" s="101" t="s">
        <v>863</v>
      </c>
      <c r="H492" s="103">
        <v>115936.20000000001</v>
      </c>
      <c r="I492" s="133">
        <v>0.159</v>
      </c>
      <c r="J492" s="104" t="s">
        <v>848</v>
      </c>
      <c r="K492" s="104" t="s">
        <v>1540</v>
      </c>
    </row>
    <row r="493" spans="1:11" hidden="1" x14ac:dyDescent="0.3">
      <c r="A493" s="100" t="s">
        <v>390</v>
      </c>
      <c r="B493" s="101" t="s">
        <v>8</v>
      </c>
      <c r="C493" s="101" t="s">
        <v>1826</v>
      </c>
      <c r="D493" s="101" t="s">
        <v>1827</v>
      </c>
      <c r="E493" s="102">
        <v>45805</v>
      </c>
      <c r="F493" s="101" t="s">
        <v>620</v>
      </c>
      <c r="G493" s="101" t="s">
        <v>622</v>
      </c>
      <c r="H493" s="103">
        <v>3846.7599999999998</v>
      </c>
      <c r="I493" s="133">
        <v>0.17</v>
      </c>
      <c r="J493" s="104" t="s">
        <v>831</v>
      </c>
      <c r="K493" s="104" t="s">
        <v>1541</v>
      </c>
    </row>
    <row r="494" spans="1:11" hidden="1" x14ac:dyDescent="0.3">
      <c r="A494" s="100" t="s">
        <v>390</v>
      </c>
      <c r="B494" s="101" t="s">
        <v>8</v>
      </c>
      <c r="C494" s="101" t="s">
        <v>1828</v>
      </c>
      <c r="D494" s="101" t="s">
        <v>1827</v>
      </c>
      <c r="E494" s="102">
        <v>45805</v>
      </c>
      <c r="F494" s="101" t="s">
        <v>620</v>
      </c>
      <c r="G494" s="101" t="s">
        <v>622</v>
      </c>
      <c r="H494" s="103">
        <v>71840.166379999995</v>
      </c>
      <c r="I494" s="133">
        <v>0.17</v>
      </c>
      <c r="J494" s="104" t="s">
        <v>831</v>
      </c>
      <c r="K494" s="104" t="s">
        <v>1541</v>
      </c>
    </row>
    <row r="495" spans="1:11" hidden="1" x14ac:dyDescent="0.3">
      <c r="A495" s="100" t="s">
        <v>390</v>
      </c>
      <c r="B495" s="101" t="s">
        <v>8</v>
      </c>
      <c r="C495" s="101" t="s">
        <v>1829</v>
      </c>
      <c r="D495" s="101" t="s">
        <v>1830</v>
      </c>
      <c r="E495" s="102">
        <v>45806</v>
      </c>
      <c r="F495" s="101" t="s">
        <v>1007</v>
      </c>
      <c r="G495" s="101" t="s">
        <v>865</v>
      </c>
      <c r="H495" s="103">
        <v>79734</v>
      </c>
      <c r="I495" s="133">
        <v>0.34599999999999997</v>
      </c>
      <c r="J495" s="104" t="s">
        <v>831</v>
      </c>
      <c r="K495" s="104" t="s">
        <v>1542</v>
      </c>
    </row>
    <row r="496" spans="1:11" hidden="1" x14ac:dyDescent="0.3">
      <c r="A496" s="100" t="s">
        <v>390</v>
      </c>
      <c r="B496" s="101" t="s">
        <v>8</v>
      </c>
      <c r="C496" s="101" t="s">
        <v>1831</v>
      </c>
      <c r="D496" s="101" t="s">
        <v>1832</v>
      </c>
      <c r="E496" s="102">
        <v>45807</v>
      </c>
      <c r="F496" s="101" t="s">
        <v>1175</v>
      </c>
      <c r="G496" s="101" t="s">
        <v>852</v>
      </c>
      <c r="H496" s="103">
        <v>2416</v>
      </c>
      <c r="I496" s="133">
        <v>0.65300000000000002</v>
      </c>
      <c r="J496" s="104" t="s">
        <v>831</v>
      </c>
      <c r="K496" s="104" t="s">
        <v>1542</v>
      </c>
    </row>
    <row r="497" spans="1:11" hidden="1" x14ac:dyDescent="0.3">
      <c r="A497" s="100" t="s">
        <v>390</v>
      </c>
      <c r="B497" s="101" t="s">
        <v>8</v>
      </c>
      <c r="C497" s="101" t="s">
        <v>1833</v>
      </c>
      <c r="D497" s="101" t="s">
        <v>1832</v>
      </c>
      <c r="E497" s="102">
        <v>45807</v>
      </c>
      <c r="F497" s="101" t="s">
        <v>1175</v>
      </c>
      <c r="G497" s="101" t="s">
        <v>852</v>
      </c>
      <c r="H497" s="103">
        <v>4735.3599999999997</v>
      </c>
      <c r="I497" s="133">
        <v>0.65300000000000002</v>
      </c>
      <c r="J497" s="104" t="s">
        <v>831</v>
      </c>
      <c r="K497" s="104" t="s">
        <v>1542</v>
      </c>
    </row>
    <row r="498" spans="1:11" hidden="1" x14ac:dyDescent="0.3">
      <c r="A498" s="100" t="s">
        <v>390</v>
      </c>
      <c r="B498" s="101" t="s">
        <v>49</v>
      </c>
      <c r="C498" s="101" t="s">
        <v>1836</v>
      </c>
      <c r="D498" s="101" t="s">
        <v>1906</v>
      </c>
      <c r="E498" s="102">
        <v>45811</v>
      </c>
      <c r="F498" s="101" t="s">
        <v>372</v>
      </c>
      <c r="G498" s="101" t="s">
        <v>10</v>
      </c>
      <c r="H498" s="103">
        <v>124396.66</v>
      </c>
      <c r="I498" s="133">
        <v>0.23100000000000001</v>
      </c>
      <c r="J498" s="104" t="s">
        <v>833</v>
      </c>
      <c r="K498" s="104" t="s">
        <v>1542</v>
      </c>
    </row>
    <row r="499" spans="1:11" hidden="1" x14ac:dyDescent="0.3">
      <c r="A499" s="100" t="s">
        <v>392</v>
      </c>
      <c r="B499" s="101" t="s">
        <v>49</v>
      </c>
      <c r="C499" s="101" t="s">
        <v>1837</v>
      </c>
      <c r="D499" s="101" t="s">
        <v>1907</v>
      </c>
      <c r="E499" s="102">
        <v>45812</v>
      </c>
      <c r="F499" s="101" t="s">
        <v>372</v>
      </c>
      <c r="G499" s="101" t="s">
        <v>10</v>
      </c>
      <c r="H499" s="103">
        <v>36044</v>
      </c>
      <c r="I499" s="133">
        <v>0.437</v>
      </c>
      <c r="J499" s="104" t="s">
        <v>848</v>
      </c>
      <c r="K499" s="104" t="s">
        <v>1540</v>
      </c>
    </row>
    <row r="500" spans="1:11" hidden="1" x14ac:dyDescent="0.3">
      <c r="A500" s="100" t="s">
        <v>390</v>
      </c>
      <c r="B500" s="101" t="s">
        <v>49</v>
      </c>
      <c r="C500" s="101" t="s">
        <v>1838</v>
      </c>
      <c r="D500" s="101" t="s">
        <v>1908</v>
      </c>
      <c r="E500" s="102">
        <v>45813</v>
      </c>
      <c r="F500" s="101" t="s">
        <v>371</v>
      </c>
      <c r="G500" s="101" t="s">
        <v>864</v>
      </c>
      <c r="H500" s="103">
        <v>24676.87</v>
      </c>
      <c r="I500" s="133">
        <v>0.26700000000000002</v>
      </c>
      <c r="J500" s="104" t="s">
        <v>832</v>
      </c>
      <c r="K500" s="104" t="s">
        <v>1541</v>
      </c>
    </row>
    <row r="501" spans="1:11" hidden="1" x14ac:dyDescent="0.3">
      <c r="A501" s="100" t="s">
        <v>392</v>
      </c>
      <c r="B501" s="101" t="s">
        <v>49</v>
      </c>
      <c r="C501" s="101" t="s">
        <v>1839</v>
      </c>
      <c r="D501" s="101" t="s">
        <v>1909</v>
      </c>
      <c r="E501" s="102">
        <v>45813</v>
      </c>
      <c r="F501" s="101" t="s">
        <v>370</v>
      </c>
      <c r="G501" s="101" t="s">
        <v>63</v>
      </c>
      <c r="H501" s="103">
        <v>11745</v>
      </c>
      <c r="I501" s="133">
        <v>0.69299999999999995</v>
      </c>
      <c r="J501" s="104" t="s">
        <v>848</v>
      </c>
      <c r="K501" s="104" t="s">
        <v>1540</v>
      </c>
    </row>
    <row r="502" spans="1:11" hidden="1" x14ac:dyDescent="0.3">
      <c r="A502" s="100" t="s">
        <v>390</v>
      </c>
      <c r="B502" s="101" t="s">
        <v>49</v>
      </c>
      <c r="C502" s="101" t="s">
        <v>1840</v>
      </c>
      <c r="D502" s="101" t="s">
        <v>1910</v>
      </c>
      <c r="E502" s="102">
        <v>45814</v>
      </c>
      <c r="F502" s="101" t="s">
        <v>371</v>
      </c>
      <c r="G502" s="101" t="s">
        <v>864</v>
      </c>
      <c r="H502" s="103">
        <v>44799.58</v>
      </c>
      <c r="I502" s="133">
        <v>0.161</v>
      </c>
      <c r="J502" s="104" t="s">
        <v>832</v>
      </c>
      <c r="K502" s="104" t="s">
        <v>1541</v>
      </c>
    </row>
    <row r="503" spans="1:11" hidden="1" x14ac:dyDescent="0.3">
      <c r="A503" s="100" t="s">
        <v>390</v>
      </c>
      <c r="B503" s="101" t="s">
        <v>49</v>
      </c>
      <c r="C503" s="101" t="s">
        <v>1841</v>
      </c>
      <c r="D503" s="101" t="s">
        <v>1911</v>
      </c>
      <c r="E503" s="102">
        <v>45814</v>
      </c>
      <c r="F503" s="101" t="s">
        <v>371</v>
      </c>
      <c r="G503" s="101" t="s">
        <v>864</v>
      </c>
      <c r="H503" s="103">
        <v>65236.39</v>
      </c>
      <c r="I503" s="133">
        <v>0.151</v>
      </c>
      <c r="J503" s="104" t="s">
        <v>832</v>
      </c>
      <c r="K503" s="104" t="s">
        <v>1541</v>
      </c>
    </row>
    <row r="504" spans="1:11" hidden="1" x14ac:dyDescent="0.3">
      <c r="A504" s="100" t="s">
        <v>390</v>
      </c>
      <c r="B504" s="101" t="s">
        <v>49</v>
      </c>
      <c r="C504" s="101" t="s">
        <v>1842</v>
      </c>
      <c r="D504" s="101" t="s">
        <v>1912</v>
      </c>
      <c r="E504" s="102">
        <v>45814</v>
      </c>
      <c r="F504" s="101" t="s">
        <v>371</v>
      </c>
      <c r="G504" s="101" t="s">
        <v>864</v>
      </c>
      <c r="H504" s="103">
        <v>25056.52</v>
      </c>
      <c r="I504" s="133">
        <v>0.26400000000000001</v>
      </c>
      <c r="J504" s="104" t="s">
        <v>832</v>
      </c>
      <c r="K504" s="104" t="s">
        <v>1541</v>
      </c>
    </row>
    <row r="505" spans="1:11" hidden="1" x14ac:dyDescent="0.3">
      <c r="A505" s="100" t="s">
        <v>392</v>
      </c>
      <c r="B505" s="101" t="s">
        <v>49</v>
      </c>
      <c r="C505" s="101" t="s">
        <v>1843</v>
      </c>
      <c r="D505" s="101" t="s">
        <v>1913</v>
      </c>
      <c r="E505" s="102">
        <v>45817</v>
      </c>
      <c r="F505" s="101" t="s">
        <v>372</v>
      </c>
      <c r="G505" s="101" t="s">
        <v>10</v>
      </c>
      <c r="H505" s="103">
        <v>41000</v>
      </c>
      <c r="I505" s="133">
        <v>0.38300000000000001</v>
      </c>
      <c r="J505" s="104" t="s">
        <v>848</v>
      </c>
      <c r="K505" s="104" t="s">
        <v>1540</v>
      </c>
    </row>
    <row r="506" spans="1:11" hidden="1" x14ac:dyDescent="0.3">
      <c r="A506" s="100" t="s">
        <v>392</v>
      </c>
      <c r="B506" s="101" t="s">
        <v>49</v>
      </c>
      <c r="C506" s="101" t="s">
        <v>1844</v>
      </c>
      <c r="D506" s="101" t="s">
        <v>1914</v>
      </c>
      <c r="E506" s="102">
        <v>45817</v>
      </c>
      <c r="F506" s="101" t="s">
        <v>371</v>
      </c>
      <c r="G506" s="101" t="s">
        <v>864</v>
      </c>
      <c r="H506" s="103">
        <v>7520</v>
      </c>
      <c r="I506" s="133">
        <v>0.86199999999999999</v>
      </c>
      <c r="J506" s="104" t="s">
        <v>848</v>
      </c>
      <c r="K506" s="104" t="s">
        <v>1540</v>
      </c>
    </row>
    <row r="507" spans="1:11" hidden="1" x14ac:dyDescent="0.3">
      <c r="A507" s="100" t="s">
        <v>392</v>
      </c>
      <c r="B507" s="101" t="s">
        <v>49</v>
      </c>
      <c r="C507" s="101" t="s">
        <v>1845</v>
      </c>
      <c r="D507" s="101" t="s">
        <v>1915</v>
      </c>
      <c r="E507" s="102">
        <v>45817</v>
      </c>
      <c r="F507" s="101" t="s">
        <v>374</v>
      </c>
      <c r="G507" s="101" t="s">
        <v>17</v>
      </c>
      <c r="H507" s="103">
        <v>4500</v>
      </c>
      <c r="I507" s="133">
        <v>0.6</v>
      </c>
      <c r="J507" s="104" t="s">
        <v>848</v>
      </c>
      <c r="K507" s="104" t="s">
        <v>1540</v>
      </c>
    </row>
    <row r="508" spans="1:11" hidden="1" x14ac:dyDescent="0.3">
      <c r="A508" s="100" t="s">
        <v>390</v>
      </c>
      <c r="B508" s="101" t="s">
        <v>49</v>
      </c>
      <c r="C508" s="101" t="s">
        <v>1846</v>
      </c>
      <c r="D508" s="101" t="s">
        <v>1916</v>
      </c>
      <c r="E508" s="102">
        <v>45817</v>
      </c>
      <c r="F508" s="101" t="s">
        <v>371</v>
      </c>
      <c r="G508" s="101" t="s">
        <v>864</v>
      </c>
      <c r="H508" s="103">
        <v>76942.94</v>
      </c>
      <c r="I508" s="133">
        <v>0.16600000000000001</v>
      </c>
      <c r="J508" s="104" t="s">
        <v>832</v>
      </c>
      <c r="K508" s="104" t="s">
        <v>1541</v>
      </c>
    </row>
    <row r="509" spans="1:11" hidden="1" x14ac:dyDescent="0.3">
      <c r="A509" s="100" t="s">
        <v>390</v>
      </c>
      <c r="B509" s="101" t="s">
        <v>49</v>
      </c>
      <c r="C509" s="101" t="s">
        <v>1847</v>
      </c>
      <c r="D509" s="101" t="s">
        <v>1917</v>
      </c>
      <c r="E509" s="102">
        <v>45818</v>
      </c>
      <c r="F509" s="101" t="s">
        <v>371</v>
      </c>
      <c r="G509" s="101" t="s">
        <v>864</v>
      </c>
      <c r="H509" s="103">
        <v>16281.75</v>
      </c>
      <c r="I509" s="133">
        <v>0.437</v>
      </c>
      <c r="J509" s="104" t="s">
        <v>832</v>
      </c>
      <c r="K509" s="104" t="s">
        <v>1541</v>
      </c>
    </row>
    <row r="510" spans="1:11" hidden="1" x14ac:dyDescent="0.3">
      <c r="A510" s="100" t="s">
        <v>390</v>
      </c>
      <c r="B510" s="101" t="s">
        <v>49</v>
      </c>
      <c r="C510" s="101" t="s">
        <v>1848</v>
      </c>
      <c r="D510" s="101" t="s">
        <v>1918</v>
      </c>
      <c r="E510" s="102">
        <v>45818</v>
      </c>
      <c r="F510" s="101" t="s">
        <v>370</v>
      </c>
      <c r="G510" s="101" t="s">
        <v>63</v>
      </c>
      <c r="H510" s="103">
        <v>32920</v>
      </c>
      <c r="I510" s="133">
        <v>0.55000000000000004</v>
      </c>
      <c r="J510" s="104" t="s">
        <v>1835</v>
      </c>
      <c r="K510" s="104" t="s">
        <v>1541</v>
      </c>
    </row>
    <row r="511" spans="1:11" hidden="1" x14ac:dyDescent="0.3">
      <c r="A511" s="100" t="s">
        <v>390</v>
      </c>
      <c r="B511" s="101" t="s">
        <v>49</v>
      </c>
      <c r="C511" s="101" t="s">
        <v>1849</v>
      </c>
      <c r="D511" s="101" t="s">
        <v>1919</v>
      </c>
      <c r="E511" s="102">
        <v>45818</v>
      </c>
      <c r="F511" s="101" t="s">
        <v>370</v>
      </c>
      <c r="G511" s="101" t="s">
        <v>63</v>
      </c>
      <c r="H511" s="103">
        <v>6800</v>
      </c>
      <c r="I511" s="133">
        <v>0.61199999999999999</v>
      </c>
      <c r="J511" s="104" t="s">
        <v>1835</v>
      </c>
      <c r="K511" s="104" t="s">
        <v>1541</v>
      </c>
    </row>
    <row r="512" spans="1:11" hidden="1" x14ac:dyDescent="0.3">
      <c r="A512" s="100" t="s">
        <v>392</v>
      </c>
      <c r="B512" s="101" t="s">
        <v>49</v>
      </c>
      <c r="C512" s="101" t="s">
        <v>1850</v>
      </c>
      <c r="D512" s="101" t="s">
        <v>1920</v>
      </c>
      <c r="E512" s="102">
        <v>45818</v>
      </c>
      <c r="F512" s="101" t="s">
        <v>842</v>
      </c>
      <c r="G512" s="101" t="s">
        <v>843</v>
      </c>
      <c r="H512" s="103">
        <v>22000</v>
      </c>
      <c r="I512" s="133">
        <v>0.47499999999999998</v>
      </c>
      <c r="J512" s="104" t="s">
        <v>1835</v>
      </c>
      <c r="K512" s="104" t="s">
        <v>1540</v>
      </c>
    </row>
    <row r="513" spans="1:11" hidden="1" x14ac:dyDescent="0.3">
      <c r="A513" s="100" t="s">
        <v>392</v>
      </c>
      <c r="B513" s="101" t="s">
        <v>49</v>
      </c>
      <c r="C513" s="101" t="s">
        <v>1851</v>
      </c>
      <c r="D513" s="101" t="s">
        <v>1921</v>
      </c>
      <c r="E513" s="102">
        <v>45818</v>
      </c>
      <c r="F513" s="101" t="s">
        <v>842</v>
      </c>
      <c r="G513" s="101" t="s">
        <v>843</v>
      </c>
      <c r="H513" s="103">
        <v>22000</v>
      </c>
      <c r="I513" s="133">
        <v>0.47499999999999998</v>
      </c>
      <c r="J513" s="104" t="s">
        <v>1835</v>
      </c>
      <c r="K513" s="104" t="s">
        <v>1540</v>
      </c>
    </row>
    <row r="514" spans="1:11" hidden="1" x14ac:dyDescent="0.3">
      <c r="A514" s="100" t="s">
        <v>392</v>
      </c>
      <c r="B514" s="101" t="s">
        <v>49</v>
      </c>
      <c r="C514" s="101" t="s">
        <v>1852</v>
      </c>
      <c r="D514" s="101" t="s">
        <v>1922</v>
      </c>
      <c r="E514" s="102">
        <v>45819</v>
      </c>
      <c r="F514" s="101" t="s">
        <v>842</v>
      </c>
      <c r="G514" s="101" t="s">
        <v>843</v>
      </c>
      <c r="H514" s="103">
        <v>22000</v>
      </c>
      <c r="I514" s="133">
        <v>0.435</v>
      </c>
      <c r="J514" s="104" t="s">
        <v>1835</v>
      </c>
      <c r="K514" s="104" t="s">
        <v>1540</v>
      </c>
    </row>
    <row r="515" spans="1:11" hidden="1" x14ac:dyDescent="0.3">
      <c r="A515" s="100" t="s">
        <v>390</v>
      </c>
      <c r="B515" s="101" t="s">
        <v>49</v>
      </c>
      <c r="C515" s="101" t="s">
        <v>1853</v>
      </c>
      <c r="D515" s="101" t="s">
        <v>1710</v>
      </c>
      <c r="E515" s="102">
        <v>45820</v>
      </c>
      <c r="F515" s="101" t="s">
        <v>371</v>
      </c>
      <c r="G515" s="101" t="s">
        <v>864</v>
      </c>
      <c r="H515" s="103">
        <v>3000</v>
      </c>
      <c r="I515" s="133">
        <v>0.68400000000000005</v>
      </c>
      <c r="J515" s="104" t="s">
        <v>832</v>
      </c>
      <c r="K515" s="104" t="s">
        <v>1541</v>
      </c>
    </row>
    <row r="516" spans="1:11" hidden="1" x14ac:dyDescent="0.3">
      <c r="A516" s="100" t="s">
        <v>392</v>
      </c>
      <c r="B516" s="101" t="s">
        <v>49</v>
      </c>
      <c r="C516" s="101" t="s">
        <v>1854</v>
      </c>
      <c r="D516" s="101" t="s">
        <v>1923</v>
      </c>
      <c r="E516" s="102">
        <v>45821</v>
      </c>
      <c r="F516" s="101" t="s">
        <v>842</v>
      </c>
      <c r="G516" s="101" t="s">
        <v>843</v>
      </c>
      <c r="H516" s="103">
        <v>22000</v>
      </c>
      <c r="I516" s="133">
        <v>0.437</v>
      </c>
      <c r="J516" s="104" t="s">
        <v>1835</v>
      </c>
      <c r="K516" s="104" t="s">
        <v>1540</v>
      </c>
    </row>
    <row r="517" spans="1:11" hidden="1" x14ac:dyDescent="0.3">
      <c r="A517" s="100" t="s">
        <v>392</v>
      </c>
      <c r="B517" s="101" t="s">
        <v>49</v>
      </c>
      <c r="C517" s="101" t="s">
        <v>1855</v>
      </c>
      <c r="D517" s="101" t="s">
        <v>1924</v>
      </c>
      <c r="E517" s="102">
        <v>45821</v>
      </c>
      <c r="F517" s="101" t="s">
        <v>842</v>
      </c>
      <c r="G517" s="101" t="s">
        <v>843</v>
      </c>
      <c r="H517" s="103">
        <v>22000</v>
      </c>
      <c r="I517" s="133">
        <v>0.437</v>
      </c>
      <c r="J517" s="104" t="s">
        <v>1835</v>
      </c>
      <c r="K517" s="104" t="s">
        <v>1540</v>
      </c>
    </row>
    <row r="518" spans="1:11" hidden="1" x14ac:dyDescent="0.3">
      <c r="A518" s="100" t="s">
        <v>392</v>
      </c>
      <c r="B518" s="101" t="s">
        <v>49</v>
      </c>
      <c r="C518" s="101" t="s">
        <v>1856</v>
      </c>
      <c r="D518" s="101" t="s">
        <v>1925</v>
      </c>
      <c r="E518" s="102">
        <v>45824</v>
      </c>
      <c r="F518" s="101" t="s">
        <v>370</v>
      </c>
      <c r="G518" s="101" t="s">
        <v>63</v>
      </c>
      <c r="H518" s="103">
        <v>5575</v>
      </c>
      <c r="I518" s="133">
        <v>0.67700000000000005</v>
      </c>
      <c r="J518" s="104" t="s">
        <v>848</v>
      </c>
      <c r="K518" s="104" t="s">
        <v>1540</v>
      </c>
    </row>
    <row r="519" spans="1:11" hidden="1" x14ac:dyDescent="0.3">
      <c r="A519" s="100" t="s">
        <v>392</v>
      </c>
      <c r="B519" s="101" t="s">
        <v>49</v>
      </c>
      <c r="C519" s="101" t="s">
        <v>1857</v>
      </c>
      <c r="D519" s="101" t="s">
        <v>1926</v>
      </c>
      <c r="E519" s="102">
        <v>45824</v>
      </c>
      <c r="F519" s="101" t="s">
        <v>370</v>
      </c>
      <c r="G519" s="101" t="s">
        <v>63</v>
      </c>
      <c r="H519" s="103">
        <v>22900</v>
      </c>
      <c r="I519" s="133">
        <v>0.68100000000000005</v>
      </c>
      <c r="J519" s="104" t="s">
        <v>848</v>
      </c>
      <c r="K519" s="104" t="s">
        <v>1540</v>
      </c>
    </row>
    <row r="520" spans="1:11" hidden="1" x14ac:dyDescent="0.3">
      <c r="A520" s="100" t="s">
        <v>392</v>
      </c>
      <c r="B520" s="101" t="s">
        <v>49</v>
      </c>
      <c r="C520" s="101" t="s">
        <v>1858</v>
      </c>
      <c r="D520" s="101" t="s">
        <v>1927</v>
      </c>
      <c r="E520" s="102">
        <v>45824</v>
      </c>
      <c r="F520" s="101" t="s">
        <v>371</v>
      </c>
      <c r="G520" s="101" t="s">
        <v>864</v>
      </c>
      <c r="H520" s="103">
        <v>7800</v>
      </c>
      <c r="I520" s="133">
        <v>0.80300000000000005</v>
      </c>
      <c r="J520" s="104" t="s">
        <v>848</v>
      </c>
      <c r="K520" s="104" t="s">
        <v>1540</v>
      </c>
    </row>
    <row r="521" spans="1:11" hidden="1" x14ac:dyDescent="0.3">
      <c r="A521" s="100" t="s">
        <v>392</v>
      </c>
      <c r="B521" s="101" t="s">
        <v>49</v>
      </c>
      <c r="C521" s="101" t="s">
        <v>1859</v>
      </c>
      <c r="D521" s="101" t="s">
        <v>1928</v>
      </c>
      <c r="E521" s="102">
        <v>45824</v>
      </c>
      <c r="F521" s="101" t="s">
        <v>842</v>
      </c>
      <c r="G521" s="101" t="s">
        <v>843</v>
      </c>
      <c r="H521" s="103">
        <v>22000</v>
      </c>
      <c r="I521" s="133">
        <v>0.47699999999999998</v>
      </c>
      <c r="J521" s="104" t="s">
        <v>1835</v>
      </c>
      <c r="K521" s="104" t="s">
        <v>1540</v>
      </c>
    </row>
    <row r="522" spans="1:11" hidden="1" x14ac:dyDescent="0.3">
      <c r="A522" s="100" t="s">
        <v>392</v>
      </c>
      <c r="B522" s="101" t="s">
        <v>49</v>
      </c>
      <c r="C522" s="101" t="s">
        <v>1860</v>
      </c>
      <c r="D522" s="101" t="s">
        <v>1929</v>
      </c>
      <c r="E522" s="102">
        <v>45824</v>
      </c>
      <c r="F522" s="101" t="s">
        <v>371</v>
      </c>
      <c r="G522" s="101" t="s">
        <v>864</v>
      </c>
      <c r="H522" s="103">
        <v>7520</v>
      </c>
      <c r="I522" s="133">
        <v>0.86199999999999999</v>
      </c>
      <c r="J522" s="104" t="s">
        <v>848</v>
      </c>
      <c r="K522" s="104" t="s">
        <v>1540</v>
      </c>
    </row>
    <row r="523" spans="1:11" hidden="1" x14ac:dyDescent="0.3">
      <c r="A523" s="100" t="s">
        <v>392</v>
      </c>
      <c r="B523" s="101" t="s">
        <v>49</v>
      </c>
      <c r="C523" s="101" t="s">
        <v>1861</v>
      </c>
      <c r="D523" s="101" t="s">
        <v>1930</v>
      </c>
      <c r="E523" s="102">
        <v>45825</v>
      </c>
      <c r="F523" s="101" t="s">
        <v>371</v>
      </c>
      <c r="G523" s="101" t="s">
        <v>864</v>
      </c>
      <c r="H523" s="103">
        <v>7520</v>
      </c>
      <c r="I523" s="133">
        <v>0.86199999999999999</v>
      </c>
      <c r="J523" s="104" t="s">
        <v>848</v>
      </c>
      <c r="K523" s="104" t="s">
        <v>1540</v>
      </c>
    </row>
    <row r="524" spans="1:11" hidden="1" x14ac:dyDescent="0.3">
      <c r="A524" s="100" t="s">
        <v>390</v>
      </c>
      <c r="B524" s="101" t="s">
        <v>49</v>
      </c>
      <c r="C524" s="101" t="s">
        <v>1862</v>
      </c>
      <c r="D524" s="101" t="s">
        <v>1931</v>
      </c>
      <c r="E524" s="102">
        <v>45825</v>
      </c>
      <c r="F524" s="101" t="s">
        <v>371</v>
      </c>
      <c r="G524" s="101" t="s">
        <v>864</v>
      </c>
      <c r="H524" s="103">
        <v>31895.84</v>
      </c>
      <c r="I524" s="133">
        <v>0.17100000000000001</v>
      </c>
      <c r="J524" s="104" t="s">
        <v>832</v>
      </c>
      <c r="K524" s="104" t="s">
        <v>1541</v>
      </c>
    </row>
    <row r="525" spans="1:11" hidden="1" x14ac:dyDescent="0.3">
      <c r="A525" s="100" t="s">
        <v>390</v>
      </c>
      <c r="B525" s="101" t="s">
        <v>49</v>
      </c>
      <c r="C525" s="101" t="s">
        <v>1863</v>
      </c>
      <c r="D525" s="101" t="s">
        <v>1932</v>
      </c>
      <c r="E525" s="102">
        <v>45825</v>
      </c>
      <c r="F525" s="101" t="s">
        <v>371</v>
      </c>
      <c r="G525" s="101" t="s">
        <v>864</v>
      </c>
      <c r="H525" s="103">
        <v>54294.74</v>
      </c>
      <c r="I525" s="133">
        <v>0.154</v>
      </c>
      <c r="J525" s="104" t="s">
        <v>832</v>
      </c>
      <c r="K525" s="104" t="s">
        <v>1541</v>
      </c>
    </row>
    <row r="526" spans="1:11" hidden="1" x14ac:dyDescent="0.3">
      <c r="A526" s="100" t="s">
        <v>390</v>
      </c>
      <c r="B526" s="101" t="s">
        <v>49</v>
      </c>
      <c r="C526" s="101" t="s">
        <v>1864</v>
      </c>
      <c r="D526" s="101" t="s">
        <v>1933</v>
      </c>
      <c r="E526" s="102">
        <v>45825</v>
      </c>
      <c r="F526" s="101" t="s">
        <v>371</v>
      </c>
      <c r="G526" s="101" t="s">
        <v>864</v>
      </c>
      <c r="H526" s="103">
        <v>13005.48</v>
      </c>
      <c r="I526" s="133">
        <v>0.23</v>
      </c>
      <c r="J526" s="104" t="s">
        <v>832</v>
      </c>
      <c r="K526" s="104" t="s">
        <v>1541</v>
      </c>
    </row>
    <row r="527" spans="1:11" hidden="1" x14ac:dyDescent="0.3">
      <c r="A527" s="100" t="s">
        <v>390</v>
      </c>
      <c r="B527" s="101" t="s">
        <v>49</v>
      </c>
      <c r="C527" s="101" t="s">
        <v>1865</v>
      </c>
      <c r="D527" s="101" t="s">
        <v>1934</v>
      </c>
      <c r="E527" s="102">
        <v>45825</v>
      </c>
      <c r="F527" s="101" t="s">
        <v>371</v>
      </c>
      <c r="G527" s="101" t="s">
        <v>864</v>
      </c>
      <c r="H527" s="103">
        <v>24254.34</v>
      </c>
      <c r="I527" s="133">
        <v>0.22900000000000001</v>
      </c>
      <c r="J527" s="104" t="s">
        <v>832</v>
      </c>
      <c r="K527" s="104" t="s">
        <v>1541</v>
      </c>
    </row>
    <row r="528" spans="1:11" hidden="1" x14ac:dyDescent="0.3">
      <c r="A528" s="100" t="s">
        <v>390</v>
      </c>
      <c r="B528" s="101" t="s">
        <v>49</v>
      </c>
      <c r="C528" s="101" t="s">
        <v>1866</v>
      </c>
      <c r="D528" s="101" t="s">
        <v>1935</v>
      </c>
      <c r="E528" s="102">
        <v>45826</v>
      </c>
      <c r="F528" s="101" t="s">
        <v>371</v>
      </c>
      <c r="G528" s="101" t="s">
        <v>864</v>
      </c>
      <c r="H528" s="103">
        <v>34280.11</v>
      </c>
      <c r="I528" s="133">
        <v>0.16800000000000001</v>
      </c>
      <c r="J528" s="104" t="s">
        <v>832</v>
      </c>
      <c r="K528" s="104" t="s">
        <v>1541</v>
      </c>
    </row>
    <row r="529" spans="1:11" hidden="1" x14ac:dyDescent="0.3">
      <c r="A529" s="100" t="s">
        <v>392</v>
      </c>
      <c r="B529" s="101" t="s">
        <v>49</v>
      </c>
      <c r="C529" s="101" t="s">
        <v>1867</v>
      </c>
      <c r="D529" s="101" t="s">
        <v>1936</v>
      </c>
      <c r="E529" s="102">
        <v>45826</v>
      </c>
      <c r="F529" s="101" t="s">
        <v>370</v>
      </c>
      <c r="G529" s="101" t="s">
        <v>63</v>
      </c>
      <c r="H529" s="103">
        <v>8150</v>
      </c>
      <c r="I529" s="133">
        <v>0.64400000000000002</v>
      </c>
      <c r="J529" s="104" t="s">
        <v>848</v>
      </c>
      <c r="K529" s="104" t="s">
        <v>1540</v>
      </c>
    </row>
    <row r="530" spans="1:11" hidden="1" x14ac:dyDescent="0.3">
      <c r="A530" s="100" t="s">
        <v>392</v>
      </c>
      <c r="B530" s="101" t="s">
        <v>49</v>
      </c>
      <c r="C530" s="101" t="s">
        <v>1868</v>
      </c>
      <c r="D530" s="101" t="s">
        <v>1937</v>
      </c>
      <c r="E530" s="102">
        <v>45826</v>
      </c>
      <c r="F530" s="101" t="s">
        <v>370</v>
      </c>
      <c r="G530" s="101" t="s">
        <v>63</v>
      </c>
      <c r="H530" s="103">
        <v>8150</v>
      </c>
      <c r="I530" s="133">
        <v>0.64400000000000002</v>
      </c>
      <c r="J530" s="104" t="s">
        <v>848</v>
      </c>
      <c r="K530" s="104" t="s">
        <v>1540</v>
      </c>
    </row>
    <row r="531" spans="1:11" hidden="1" x14ac:dyDescent="0.3">
      <c r="A531" s="100" t="s">
        <v>392</v>
      </c>
      <c r="B531" s="101" t="s">
        <v>49</v>
      </c>
      <c r="C531" s="101" t="s">
        <v>1869</v>
      </c>
      <c r="D531" s="101" t="s">
        <v>1938</v>
      </c>
      <c r="E531" s="102">
        <v>45828</v>
      </c>
      <c r="F531" s="101" t="s">
        <v>842</v>
      </c>
      <c r="G531" s="101" t="s">
        <v>843</v>
      </c>
      <c r="H531" s="103">
        <v>22000</v>
      </c>
      <c r="I531" s="133">
        <v>0.47699999999999998</v>
      </c>
      <c r="J531" s="104" t="s">
        <v>1835</v>
      </c>
      <c r="K531" s="104" t="s">
        <v>1540</v>
      </c>
    </row>
    <row r="532" spans="1:11" hidden="1" x14ac:dyDescent="0.3">
      <c r="A532" s="100" t="s">
        <v>392</v>
      </c>
      <c r="B532" s="101" t="s">
        <v>49</v>
      </c>
      <c r="C532" s="101" t="s">
        <v>1870</v>
      </c>
      <c r="D532" s="101" t="s">
        <v>1939</v>
      </c>
      <c r="E532" s="102">
        <v>45828</v>
      </c>
      <c r="F532" s="101" t="s">
        <v>842</v>
      </c>
      <c r="G532" s="101" t="s">
        <v>843</v>
      </c>
      <c r="H532" s="103">
        <v>22000</v>
      </c>
      <c r="I532" s="133">
        <v>0.439</v>
      </c>
      <c r="J532" s="104" t="s">
        <v>1977</v>
      </c>
      <c r="K532" s="104" t="s">
        <v>1540</v>
      </c>
    </row>
    <row r="533" spans="1:11" hidden="1" x14ac:dyDescent="0.3">
      <c r="A533" s="100" t="s">
        <v>392</v>
      </c>
      <c r="B533" s="101" t="s">
        <v>49</v>
      </c>
      <c r="C533" s="101" t="s">
        <v>1871</v>
      </c>
      <c r="D533" s="101" t="s">
        <v>1940</v>
      </c>
      <c r="E533" s="102">
        <v>45828</v>
      </c>
      <c r="F533" s="101" t="s">
        <v>842</v>
      </c>
      <c r="G533" s="101" t="s">
        <v>843</v>
      </c>
      <c r="H533" s="103">
        <v>22000</v>
      </c>
      <c r="I533" s="133">
        <v>0.438</v>
      </c>
      <c r="J533" s="104" t="s">
        <v>1835</v>
      </c>
      <c r="K533" s="104" t="s">
        <v>1540</v>
      </c>
    </row>
    <row r="534" spans="1:11" hidden="1" x14ac:dyDescent="0.3">
      <c r="A534" s="100" t="s">
        <v>390</v>
      </c>
      <c r="B534" s="101" t="s">
        <v>49</v>
      </c>
      <c r="C534" s="101" t="s">
        <v>1872</v>
      </c>
      <c r="D534" s="101" t="s">
        <v>1941</v>
      </c>
      <c r="E534" s="102">
        <v>45828</v>
      </c>
      <c r="F534" s="101" t="s">
        <v>372</v>
      </c>
      <c r="G534" s="101" t="s">
        <v>10</v>
      </c>
      <c r="H534" s="103">
        <v>73548</v>
      </c>
      <c r="I534" s="133">
        <v>0.20799999999999999</v>
      </c>
      <c r="J534" s="104" t="s">
        <v>833</v>
      </c>
      <c r="K534" s="104" t="s">
        <v>1542</v>
      </c>
    </row>
    <row r="535" spans="1:11" hidden="1" x14ac:dyDescent="0.3">
      <c r="A535" s="100" t="s">
        <v>392</v>
      </c>
      <c r="B535" s="101" t="s">
        <v>49</v>
      </c>
      <c r="C535" s="101" t="s">
        <v>1873</v>
      </c>
      <c r="D535" s="101" t="s">
        <v>1942</v>
      </c>
      <c r="E535" s="102">
        <v>45831</v>
      </c>
      <c r="F535" s="101" t="s">
        <v>372</v>
      </c>
      <c r="G535" s="101" t="s">
        <v>10</v>
      </c>
      <c r="H535" s="103">
        <v>24750</v>
      </c>
      <c r="I535" s="133">
        <v>0.42</v>
      </c>
      <c r="J535" s="104" t="s">
        <v>848</v>
      </c>
      <c r="K535" s="104" t="s">
        <v>1540</v>
      </c>
    </row>
    <row r="536" spans="1:11" hidden="1" x14ac:dyDescent="0.3">
      <c r="A536" s="100" t="s">
        <v>392</v>
      </c>
      <c r="B536" s="101" t="s">
        <v>49</v>
      </c>
      <c r="C536" s="101" t="s">
        <v>1874</v>
      </c>
      <c r="D536" s="101" t="s">
        <v>1943</v>
      </c>
      <c r="E536" s="102">
        <v>45831</v>
      </c>
      <c r="F536" s="101" t="s">
        <v>372</v>
      </c>
      <c r="G536" s="101" t="s">
        <v>10</v>
      </c>
      <c r="H536" s="103">
        <v>24250</v>
      </c>
      <c r="I536" s="133">
        <v>0.40799999999999997</v>
      </c>
      <c r="J536" s="104" t="s">
        <v>848</v>
      </c>
      <c r="K536" s="104" t="s">
        <v>1540</v>
      </c>
    </row>
    <row r="537" spans="1:11" hidden="1" x14ac:dyDescent="0.3">
      <c r="A537" s="100" t="s">
        <v>392</v>
      </c>
      <c r="B537" s="101" t="s">
        <v>49</v>
      </c>
      <c r="C537" s="101" t="s">
        <v>1875</v>
      </c>
      <c r="D537" s="101" t="s">
        <v>1944</v>
      </c>
      <c r="E537" s="102">
        <v>45831</v>
      </c>
      <c r="F537" s="101" t="s">
        <v>372</v>
      </c>
      <c r="G537" s="101" t="s">
        <v>10</v>
      </c>
      <c r="H537" s="103">
        <v>41700</v>
      </c>
      <c r="I537" s="133">
        <v>0.40899999999999997</v>
      </c>
      <c r="J537" s="104" t="s">
        <v>848</v>
      </c>
      <c r="K537" s="104" t="s">
        <v>1540</v>
      </c>
    </row>
    <row r="538" spans="1:11" hidden="1" x14ac:dyDescent="0.3">
      <c r="A538" s="100" t="s">
        <v>390</v>
      </c>
      <c r="B538" s="101" t="s">
        <v>49</v>
      </c>
      <c r="C538" s="101" t="s">
        <v>1876</v>
      </c>
      <c r="D538" s="101" t="s">
        <v>1945</v>
      </c>
      <c r="E538" s="102">
        <v>45831</v>
      </c>
      <c r="F538" s="101" t="s">
        <v>372</v>
      </c>
      <c r="G538" s="101" t="s">
        <v>10</v>
      </c>
      <c r="H538" s="103">
        <v>107397.75</v>
      </c>
      <c r="I538" s="133">
        <v>0.28299999999999997</v>
      </c>
      <c r="J538" s="104" t="s">
        <v>833</v>
      </c>
      <c r="K538" s="104" t="s">
        <v>1542</v>
      </c>
    </row>
    <row r="539" spans="1:11" hidden="1" x14ac:dyDescent="0.3">
      <c r="A539" s="100" t="s">
        <v>390</v>
      </c>
      <c r="B539" s="101" t="s">
        <v>49</v>
      </c>
      <c r="C539" s="101" t="s">
        <v>1877</v>
      </c>
      <c r="D539" s="101" t="s">
        <v>1946</v>
      </c>
      <c r="E539" s="102">
        <v>45831</v>
      </c>
      <c r="F539" s="101" t="s">
        <v>371</v>
      </c>
      <c r="G539" s="101" t="s">
        <v>864</v>
      </c>
      <c r="H539" s="103">
        <v>15529.65</v>
      </c>
      <c r="I539" s="133">
        <v>0.17100000000000001</v>
      </c>
      <c r="J539" s="104" t="s">
        <v>832</v>
      </c>
      <c r="K539" s="104" t="s">
        <v>1541</v>
      </c>
    </row>
    <row r="540" spans="1:11" hidden="1" x14ac:dyDescent="0.3">
      <c r="A540" s="100" t="s">
        <v>392</v>
      </c>
      <c r="B540" s="101" t="s">
        <v>49</v>
      </c>
      <c r="C540" s="101" t="s">
        <v>1878</v>
      </c>
      <c r="D540" s="101" t="s">
        <v>1947</v>
      </c>
      <c r="E540" s="102">
        <v>45831</v>
      </c>
      <c r="F540" s="101" t="s">
        <v>842</v>
      </c>
      <c r="G540" s="101" t="s">
        <v>843</v>
      </c>
      <c r="H540" s="103">
        <v>22000</v>
      </c>
      <c r="I540" s="133">
        <v>0.48399999999999999</v>
      </c>
      <c r="J540" s="104" t="s">
        <v>1977</v>
      </c>
      <c r="K540" s="104" t="s">
        <v>1540</v>
      </c>
    </row>
    <row r="541" spans="1:11" hidden="1" x14ac:dyDescent="0.3">
      <c r="A541" s="100" t="s">
        <v>390</v>
      </c>
      <c r="B541" s="101" t="s">
        <v>49</v>
      </c>
      <c r="C541" s="101" t="s">
        <v>1879</v>
      </c>
      <c r="D541" s="101" t="s">
        <v>1948</v>
      </c>
      <c r="E541" s="102">
        <v>45831</v>
      </c>
      <c r="F541" s="101" t="s">
        <v>370</v>
      </c>
      <c r="G541" s="101" t="s">
        <v>63</v>
      </c>
      <c r="H541" s="103">
        <v>16080</v>
      </c>
      <c r="I541" s="133">
        <v>0.57899999999999996</v>
      </c>
      <c r="J541" s="104" t="s">
        <v>1835</v>
      </c>
      <c r="K541" s="104" t="s">
        <v>1541</v>
      </c>
    </row>
    <row r="542" spans="1:11" hidden="1" x14ac:dyDescent="0.3">
      <c r="A542" s="100" t="s">
        <v>390</v>
      </c>
      <c r="B542" s="101" t="s">
        <v>49</v>
      </c>
      <c r="C542" s="101" t="s">
        <v>1880</v>
      </c>
      <c r="D542" s="101" t="s">
        <v>1949</v>
      </c>
      <c r="E542" s="102">
        <v>45832</v>
      </c>
      <c r="F542" s="101" t="s">
        <v>371</v>
      </c>
      <c r="G542" s="101" t="s">
        <v>864</v>
      </c>
      <c r="H542" s="103">
        <v>14046.15</v>
      </c>
      <c r="I542" s="133">
        <v>0.20399999999999999</v>
      </c>
      <c r="J542" s="104" t="s">
        <v>832</v>
      </c>
      <c r="K542" s="104" t="s">
        <v>1541</v>
      </c>
    </row>
    <row r="543" spans="1:11" hidden="1" x14ac:dyDescent="0.3">
      <c r="A543" s="100" t="s">
        <v>392</v>
      </c>
      <c r="B543" s="101" t="s">
        <v>49</v>
      </c>
      <c r="C543" s="101" t="s">
        <v>1881</v>
      </c>
      <c r="D543" s="101" t="s">
        <v>1950</v>
      </c>
      <c r="E543" s="102">
        <v>45833</v>
      </c>
      <c r="F543" s="101" t="s">
        <v>370</v>
      </c>
      <c r="G543" s="101" t="s">
        <v>63</v>
      </c>
      <c r="H543" s="103">
        <v>18200</v>
      </c>
      <c r="I543" s="133">
        <v>0.61499999999999999</v>
      </c>
      <c r="J543" s="104" t="s">
        <v>848</v>
      </c>
      <c r="K543" s="104" t="s">
        <v>1540</v>
      </c>
    </row>
    <row r="544" spans="1:11" hidden="1" x14ac:dyDescent="0.3">
      <c r="A544" s="100" t="s">
        <v>392</v>
      </c>
      <c r="B544" s="101" t="s">
        <v>49</v>
      </c>
      <c r="C544" s="101" t="s">
        <v>1882</v>
      </c>
      <c r="D544" s="101" t="s">
        <v>1951</v>
      </c>
      <c r="E544" s="102">
        <v>45833</v>
      </c>
      <c r="F544" s="101" t="s">
        <v>371</v>
      </c>
      <c r="G544" s="101" t="s">
        <v>864</v>
      </c>
      <c r="H544" s="103">
        <v>7896</v>
      </c>
      <c r="I544" s="133">
        <v>0.86899999999999999</v>
      </c>
      <c r="J544" s="104" t="s">
        <v>848</v>
      </c>
      <c r="K544" s="104" t="s">
        <v>1540</v>
      </c>
    </row>
    <row r="545" spans="1:11" hidden="1" x14ac:dyDescent="0.3">
      <c r="A545" s="100" t="s">
        <v>392</v>
      </c>
      <c r="B545" s="101" t="s">
        <v>49</v>
      </c>
      <c r="C545" s="101" t="s">
        <v>1883</v>
      </c>
      <c r="D545" s="101" t="s">
        <v>1952</v>
      </c>
      <c r="E545" s="102">
        <v>45833</v>
      </c>
      <c r="F545" s="101" t="s">
        <v>842</v>
      </c>
      <c r="G545" s="101" t="s">
        <v>843</v>
      </c>
      <c r="H545" s="103">
        <v>22000</v>
      </c>
      <c r="I545" s="133">
        <v>0.48399999999999999</v>
      </c>
      <c r="J545" s="104" t="s">
        <v>1977</v>
      </c>
      <c r="K545" s="104" t="s">
        <v>1540</v>
      </c>
    </row>
    <row r="546" spans="1:11" hidden="1" x14ac:dyDescent="0.3">
      <c r="A546" s="100" t="s">
        <v>390</v>
      </c>
      <c r="B546" s="101" t="s">
        <v>49</v>
      </c>
      <c r="C546" s="101" t="s">
        <v>1884</v>
      </c>
      <c r="D546" s="101" t="s">
        <v>1953</v>
      </c>
      <c r="E546" s="102">
        <v>45833</v>
      </c>
      <c r="F546" s="101" t="s">
        <v>371</v>
      </c>
      <c r="G546" s="101" t="s">
        <v>864</v>
      </c>
      <c r="H546" s="103">
        <v>145230.38</v>
      </c>
      <c r="I546" s="133">
        <v>0.13700000000000001</v>
      </c>
      <c r="J546" s="104" t="s">
        <v>832</v>
      </c>
      <c r="K546" s="104" t="s">
        <v>1541</v>
      </c>
    </row>
    <row r="547" spans="1:11" hidden="1" x14ac:dyDescent="0.3">
      <c r="A547" s="100" t="s">
        <v>390</v>
      </c>
      <c r="B547" s="101" t="s">
        <v>49</v>
      </c>
      <c r="C547" s="101" t="s">
        <v>1885</v>
      </c>
      <c r="D547" s="101" t="s">
        <v>1954</v>
      </c>
      <c r="E547" s="102">
        <v>45834</v>
      </c>
      <c r="F547" s="101" t="s">
        <v>372</v>
      </c>
      <c r="G547" s="101" t="s">
        <v>10</v>
      </c>
      <c r="H547" s="103">
        <v>77046.81</v>
      </c>
      <c r="I547" s="133">
        <v>0.30499999999999999</v>
      </c>
      <c r="J547" s="104" t="s">
        <v>833</v>
      </c>
      <c r="K547" s="104" t="s">
        <v>1542</v>
      </c>
    </row>
    <row r="548" spans="1:11" hidden="1" x14ac:dyDescent="0.3">
      <c r="A548" s="100" t="s">
        <v>390</v>
      </c>
      <c r="B548" s="101" t="s">
        <v>49</v>
      </c>
      <c r="C548" s="101" t="s">
        <v>1886</v>
      </c>
      <c r="D548" s="101" t="s">
        <v>1955</v>
      </c>
      <c r="E548" s="102">
        <v>45834</v>
      </c>
      <c r="F548" s="101" t="s">
        <v>371</v>
      </c>
      <c r="G548" s="101" t="s">
        <v>864</v>
      </c>
      <c r="H548" s="103">
        <v>43975.48</v>
      </c>
      <c r="I548" s="133">
        <v>0.154</v>
      </c>
      <c r="J548" s="104" t="s">
        <v>832</v>
      </c>
      <c r="K548" s="104" t="s">
        <v>1541</v>
      </c>
    </row>
    <row r="549" spans="1:11" hidden="1" x14ac:dyDescent="0.3">
      <c r="A549" s="100" t="s">
        <v>390</v>
      </c>
      <c r="B549" s="101" t="s">
        <v>49</v>
      </c>
      <c r="C549" s="101" t="s">
        <v>1887</v>
      </c>
      <c r="D549" s="101" t="s">
        <v>1956</v>
      </c>
      <c r="E549" s="102">
        <v>45834</v>
      </c>
      <c r="F549" s="101" t="s">
        <v>371</v>
      </c>
      <c r="G549" s="101" t="s">
        <v>864</v>
      </c>
      <c r="H549" s="103">
        <v>44962.41</v>
      </c>
      <c r="I549" s="133">
        <v>0.16</v>
      </c>
      <c r="J549" s="104" t="s">
        <v>832</v>
      </c>
      <c r="K549" s="104" t="s">
        <v>1541</v>
      </c>
    </row>
    <row r="550" spans="1:11" hidden="1" x14ac:dyDescent="0.3">
      <c r="A550" s="100" t="s">
        <v>390</v>
      </c>
      <c r="B550" s="101" t="s">
        <v>49</v>
      </c>
      <c r="C550" s="101" t="s">
        <v>1888</v>
      </c>
      <c r="D550" s="101" t="s">
        <v>1957</v>
      </c>
      <c r="E550" s="102">
        <v>45834</v>
      </c>
      <c r="F550" s="101" t="s">
        <v>371</v>
      </c>
      <c r="G550" s="101" t="s">
        <v>864</v>
      </c>
      <c r="H550" s="103">
        <v>45138.14</v>
      </c>
      <c r="I550" s="133">
        <v>0.14499999999999999</v>
      </c>
      <c r="J550" s="104" t="s">
        <v>832</v>
      </c>
      <c r="K550" s="104" t="s">
        <v>1541</v>
      </c>
    </row>
    <row r="551" spans="1:11" hidden="1" x14ac:dyDescent="0.3">
      <c r="A551" s="100" t="s">
        <v>390</v>
      </c>
      <c r="B551" s="101" t="s">
        <v>49</v>
      </c>
      <c r="C551" s="101" t="s">
        <v>1889</v>
      </c>
      <c r="D551" s="101" t="s">
        <v>1958</v>
      </c>
      <c r="E551" s="102">
        <v>45834</v>
      </c>
      <c r="F551" s="101" t="s">
        <v>371</v>
      </c>
      <c r="G551" s="101" t="s">
        <v>864</v>
      </c>
      <c r="H551" s="103">
        <v>13117.25</v>
      </c>
      <c r="I551" s="133">
        <v>0.46300000000000002</v>
      </c>
      <c r="J551" s="104" t="s">
        <v>832</v>
      </c>
      <c r="K551" s="104" t="s">
        <v>1541</v>
      </c>
    </row>
    <row r="552" spans="1:11" hidden="1" x14ac:dyDescent="0.3">
      <c r="A552" s="100" t="s">
        <v>392</v>
      </c>
      <c r="B552" s="101" t="s">
        <v>49</v>
      </c>
      <c r="C552" s="101" t="s">
        <v>1890</v>
      </c>
      <c r="D552" s="101" t="s">
        <v>1959</v>
      </c>
      <c r="E552" s="102">
        <v>45834</v>
      </c>
      <c r="F552" s="101" t="s">
        <v>842</v>
      </c>
      <c r="G552" s="101" t="s">
        <v>843</v>
      </c>
      <c r="H552" s="103">
        <v>22000</v>
      </c>
      <c r="I552" s="133">
        <v>0.435</v>
      </c>
      <c r="J552" s="104" t="s">
        <v>1977</v>
      </c>
      <c r="K552" s="104" t="s">
        <v>1540</v>
      </c>
    </row>
    <row r="553" spans="1:11" hidden="1" x14ac:dyDescent="0.3">
      <c r="A553" s="100" t="s">
        <v>390</v>
      </c>
      <c r="B553" s="101" t="s">
        <v>49</v>
      </c>
      <c r="C553" s="101" t="s">
        <v>1891</v>
      </c>
      <c r="D553" s="101" t="s">
        <v>1960</v>
      </c>
      <c r="E553" s="102">
        <v>45835</v>
      </c>
      <c r="F553" s="101" t="s">
        <v>372</v>
      </c>
      <c r="G553" s="101" t="s">
        <v>10</v>
      </c>
      <c r="H553" s="103">
        <v>9702.9599999999991</v>
      </c>
      <c r="I553" s="133">
        <v>0.36499999999999999</v>
      </c>
      <c r="J553" s="104" t="s">
        <v>833</v>
      </c>
      <c r="K553" s="104" t="s">
        <v>1541</v>
      </c>
    </row>
    <row r="554" spans="1:11" hidden="1" x14ac:dyDescent="0.3">
      <c r="A554" s="100" t="s">
        <v>390</v>
      </c>
      <c r="B554" s="101" t="s">
        <v>49</v>
      </c>
      <c r="C554" s="101" t="s">
        <v>1892</v>
      </c>
      <c r="D554" s="101" t="s">
        <v>1961</v>
      </c>
      <c r="E554" s="102">
        <v>45835</v>
      </c>
      <c r="F554" s="101" t="s">
        <v>372</v>
      </c>
      <c r="G554" s="101" t="s">
        <v>10</v>
      </c>
      <c r="H554" s="103">
        <v>106289.04</v>
      </c>
      <c r="I554" s="133">
        <v>0.34100000000000003</v>
      </c>
      <c r="J554" s="104" t="s">
        <v>833</v>
      </c>
      <c r="K554" s="104" t="s">
        <v>1542</v>
      </c>
    </row>
    <row r="555" spans="1:11" hidden="1" x14ac:dyDescent="0.3">
      <c r="A555" s="100" t="s">
        <v>390</v>
      </c>
      <c r="B555" s="101" t="s">
        <v>49</v>
      </c>
      <c r="C555" s="101" t="s">
        <v>1893</v>
      </c>
      <c r="D555" s="101" t="s">
        <v>1822</v>
      </c>
      <c r="E555" s="102">
        <v>45835</v>
      </c>
      <c r="F555" s="101" t="s">
        <v>372</v>
      </c>
      <c r="G555" s="101" t="s">
        <v>10</v>
      </c>
      <c r="H555" s="103">
        <v>99854.05</v>
      </c>
      <c r="I555" s="133">
        <v>0.26600000000000001</v>
      </c>
      <c r="J555" s="104" t="s">
        <v>833</v>
      </c>
      <c r="K555" s="104" t="s">
        <v>1542</v>
      </c>
    </row>
    <row r="556" spans="1:11" hidden="1" x14ac:dyDescent="0.3">
      <c r="A556" s="100" t="s">
        <v>390</v>
      </c>
      <c r="B556" s="101" t="s">
        <v>49</v>
      </c>
      <c r="C556" s="101" t="s">
        <v>1894</v>
      </c>
      <c r="D556" s="101" t="s">
        <v>1962</v>
      </c>
      <c r="E556" s="102">
        <v>45835</v>
      </c>
      <c r="F556" s="101" t="s">
        <v>371</v>
      </c>
      <c r="G556" s="101" t="s">
        <v>864</v>
      </c>
      <c r="H556" s="103">
        <v>30454.92</v>
      </c>
      <c r="I556" s="133">
        <v>0.23799999999999999</v>
      </c>
      <c r="J556" s="104" t="s">
        <v>832</v>
      </c>
      <c r="K556" s="104" t="s">
        <v>1541</v>
      </c>
    </row>
    <row r="557" spans="1:11" hidden="1" x14ac:dyDescent="0.3">
      <c r="A557" s="100" t="s">
        <v>392</v>
      </c>
      <c r="B557" s="101" t="s">
        <v>49</v>
      </c>
      <c r="C557" s="101" t="s">
        <v>1895</v>
      </c>
      <c r="D557" s="101" t="s">
        <v>1963</v>
      </c>
      <c r="E557" s="102">
        <v>45835</v>
      </c>
      <c r="F557" s="101" t="s">
        <v>844</v>
      </c>
      <c r="G557" s="101" t="s">
        <v>863</v>
      </c>
      <c r="H557" s="103">
        <v>21000</v>
      </c>
      <c r="I557" s="133">
        <v>0.316</v>
      </c>
      <c r="J557" s="104" t="s">
        <v>1018</v>
      </c>
      <c r="K557" s="104" t="s">
        <v>1540</v>
      </c>
    </row>
    <row r="558" spans="1:11" hidden="1" x14ac:dyDescent="0.3">
      <c r="A558" s="100" t="s">
        <v>390</v>
      </c>
      <c r="B558" s="101" t="s">
        <v>49</v>
      </c>
      <c r="C558" s="101" t="s">
        <v>1896</v>
      </c>
      <c r="D558" s="101" t="s">
        <v>1964</v>
      </c>
      <c r="E558" s="102">
        <v>45835</v>
      </c>
      <c r="F558" s="101" t="s">
        <v>371</v>
      </c>
      <c r="G558" s="101" t="s">
        <v>864</v>
      </c>
      <c r="H558" s="103">
        <v>30069.31</v>
      </c>
      <c r="I558" s="133">
        <v>0.29099999999999998</v>
      </c>
      <c r="J558" s="104" t="s">
        <v>832</v>
      </c>
      <c r="K558" s="104" t="s">
        <v>1541</v>
      </c>
    </row>
    <row r="559" spans="1:11" hidden="1" x14ac:dyDescent="0.3">
      <c r="A559" s="100" t="s">
        <v>390</v>
      </c>
      <c r="B559" s="101" t="s">
        <v>49</v>
      </c>
      <c r="C559" s="101" t="s">
        <v>1897</v>
      </c>
      <c r="D559" s="101" t="s">
        <v>1965</v>
      </c>
      <c r="E559" s="102">
        <v>45835</v>
      </c>
      <c r="F559" s="101" t="s">
        <v>370</v>
      </c>
      <c r="G559" s="101" t="s">
        <v>63</v>
      </c>
      <c r="H559" s="103">
        <v>15500</v>
      </c>
      <c r="I559" s="133">
        <v>0.43</v>
      </c>
      <c r="J559" s="104" t="s">
        <v>1835</v>
      </c>
      <c r="K559" s="104" t="s">
        <v>1541</v>
      </c>
    </row>
    <row r="560" spans="1:11" hidden="1" x14ac:dyDescent="0.3">
      <c r="A560" s="100" t="s">
        <v>392</v>
      </c>
      <c r="B560" s="101" t="s">
        <v>49</v>
      </c>
      <c r="C560" s="101" t="s">
        <v>1898</v>
      </c>
      <c r="D560" s="101" t="s">
        <v>1966</v>
      </c>
      <c r="E560" s="102">
        <v>45835</v>
      </c>
      <c r="F560" s="101" t="s">
        <v>842</v>
      </c>
      <c r="G560" s="101" t="s">
        <v>843</v>
      </c>
      <c r="H560" s="103">
        <v>22000</v>
      </c>
      <c r="I560" s="133">
        <v>0.441</v>
      </c>
      <c r="J560" s="104" t="s">
        <v>1977</v>
      </c>
      <c r="K560" s="104" t="s">
        <v>1540</v>
      </c>
    </row>
    <row r="561" spans="1:11" hidden="1" x14ac:dyDescent="0.3">
      <c r="A561" s="100" t="s">
        <v>390</v>
      </c>
      <c r="B561" s="101" t="s">
        <v>49</v>
      </c>
      <c r="C561" s="101" t="s">
        <v>1899</v>
      </c>
      <c r="D561" s="101" t="s">
        <v>1967</v>
      </c>
      <c r="E561" s="102">
        <v>45835</v>
      </c>
      <c r="F561" s="101" t="s">
        <v>371</v>
      </c>
      <c r="G561" s="101" t="s">
        <v>864</v>
      </c>
      <c r="H561" s="103">
        <v>13540.26</v>
      </c>
      <c r="I561" s="133">
        <v>0.22900000000000001</v>
      </c>
      <c r="J561" s="104" t="s">
        <v>832</v>
      </c>
      <c r="K561" s="104" t="s">
        <v>1541</v>
      </c>
    </row>
    <row r="562" spans="1:11" hidden="1" x14ac:dyDescent="0.3">
      <c r="A562" s="100" t="s">
        <v>392</v>
      </c>
      <c r="B562" s="101" t="s">
        <v>49</v>
      </c>
      <c r="C562" s="101" t="s">
        <v>1900</v>
      </c>
      <c r="D562" s="101" t="s">
        <v>1968</v>
      </c>
      <c r="E562" s="102">
        <v>45835</v>
      </c>
      <c r="F562" s="101" t="s">
        <v>371</v>
      </c>
      <c r="G562" s="101" t="s">
        <v>864</v>
      </c>
      <c r="H562" s="103">
        <v>7896</v>
      </c>
      <c r="I562" s="133">
        <v>0.74399999999999999</v>
      </c>
      <c r="J562" s="104" t="s">
        <v>848</v>
      </c>
      <c r="K562" s="104" t="s">
        <v>1540</v>
      </c>
    </row>
    <row r="563" spans="1:11" hidden="1" x14ac:dyDescent="0.3">
      <c r="A563" s="100" t="s">
        <v>392</v>
      </c>
      <c r="B563" s="101" t="s">
        <v>49</v>
      </c>
      <c r="C563" s="101" t="s">
        <v>1901</v>
      </c>
      <c r="D563" s="101" t="s">
        <v>1969</v>
      </c>
      <c r="E563" s="102">
        <v>45838</v>
      </c>
      <c r="F563" s="101" t="s">
        <v>371</v>
      </c>
      <c r="G563" s="101" t="s">
        <v>864</v>
      </c>
      <c r="H563" s="103">
        <v>4800</v>
      </c>
      <c r="I563" s="133">
        <v>0.78600000000000003</v>
      </c>
      <c r="J563" s="104" t="s">
        <v>848</v>
      </c>
      <c r="K563" s="104" t="s">
        <v>1540</v>
      </c>
    </row>
    <row r="564" spans="1:11" hidden="1" x14ac:dyDescent="0.3">
      <c r="A564" s="100" t="s">
        <v>390</v>
      </c>
      <c r="B564" s="101" t="s">
        <v>49</v>
      </c>
      <c r="C564" s="101" t="s">
        <v>1902</v>
      </c>
      <c r="D564" s="101" t="s">
        <v>1970</v>
      </c>
      <c r="E564" s="102">
        <v>45838</v>
      </c>
      <c r="F564" s="101" t="s">
        <v>371</v>
      </c>
      <c r="G564" s="101" t="s">
        <v>864</v>
      </c>
      <c r="H564" s="103">
        <v>30809.15</v>
      </c>
      <c r="I564" s="133">
        <v>0.23400000000000001</v>
      </c>
      <c r="J564" s="104" t="s">
        <v>832</v>
      </c>
      <c r="K564" s="104" t="s">
        <v>1541</v>
      </c>
    </row>
    <row r="565" spans="1:11" hidden="1" x14ac:dyDescent="0.3">
      <c r="A565" s="100" t="s">
        <v>390</v>
      </c>
      <c r="B565" s="101" t="s">
        <v>49</v>
      </c>
      <c r="C565" s="101" t="s">
        <v>1903</v>
      </c>
      <c r="D565" s="101" t="s">
        <v>1830</v>
      </c>
      <c r="E565" s="102">
        <v>45838</v>
      </c>
      <c r="F565" s="101" t="s">
        <v>1007</v>
      </c>
      <c r="G565" s="101" t="s">
        <v>865</v>
      </c>
      <c r="H565" s="103">
        <v>0.01</v>
      </c>
      <c r="I565" s="133">
        <v>0.34599999999999997</v>
      </c>
      <c r="J565" s="104" t="s">
        <v>831</v>
      </c>
      <c r="K565" s="104" t="s">
        <v>1542</v>
      </c>
    </row>
    <row r="566" spans="1:11" hidden="1" x14ac:dyDescent="0.3">
      <c r="A566" s="100" t="s">
        <v>392</v>
      </c>
      <c r="B566" s="101" t="s">
        <v>49</v>
      </c>
      <c r="C566" s="101" t="s">
        <v>1904</v>
      </c>
      <c r="D566" s="101" t="s">
        <v>1971</v>
      </c>
      <c r="E566" s="102">
        <v>45838</v>
      </c>
      <c r="F566" s="101" t="s">
        <v>371</v>
      </c>
      <c r="G566" s="101" t="s">
        <v>864</v>
      </c>
      <c r="H566" s="103">
        <v>37600</v>
      </c>
      <c r="I566" s="133">
        <v>0.86299999999999999</v>
      </c>
      <c r="J566" s="104" t="s">
        <v>848</v>
      </c>
      <c r="K566" s="104" t="s">
        <v>1540</v>
      </c>
    </row>
    <row r="567" spans="1:11" hidden="1" x14ac:dyDescent="0.3">
      <c r="A567" s="100" t="s">
        <v>390</v>
      </c>
      <c r="B567" s="101" t="s">
        <v>49</v>
      </c>
      <c r="C567" s="101" t="s">
        <v>1905</v>
      </c>
      <c r="D567" s="101" t="s">
        <v>1972</v>
      </c>
      <c r="E567" s="102">
        <v>45838</v>
      </c>
      <c r="F567" s="101" t="s">
        <v>370</v>
      </c>
      <c r="G567" s="101" t="s">
        <v>63</v>
      </c>
      <c r="H567" s="103">
        <v>130054.54</v>
      </c>
      <c r="I567" s="133">
        <v>0.46400000000000002</v>
      </c>
      <c r="J567" s="104" t="s">
        <v>1835</v>
      </c>
      <c r="K567" s="104" t="s">
        <v>1542</v>
      </c>
    </row>
    <row r="568" spans="1:11" hidden="1" x14ac:dyDescent="0.3">
      <c r="A568" s="100" t="s">
        <v>390</v>
      </c>
      <c r="B568" s="101" t="s">
        <v>49</v>
      </c>
      <c r="C568" s="101" t="s">
        <v>1973</v>
      </c>
      <c r="D568" s="101" t="s">
        <v>1832</v>
      </c>
      <c r="E568" s="102">
        <v>45818</v>
      </c>
      <c r="F568" s="101" t="s">
        <v>1174</v>
      </c>
      <c r="G568" s="101" t="s">
        <v>857</v>
      </c>
      <c r="H568" s="103">
        <v>1429.4625000000001</v>
      </c>
      <c r="I568" s="133">
        <v>0.65200000000000002</v>
      </c>
      <c r="J568" s="104" t="s">
        <v>831</v>
      </c>
      <c r="K568" s="104" t="s">
        <v>1542</v>
      </c>
    </row>
    <row r="569" spans="1:11" hidden="1" x14ac:dyDescent="0.3">
      <c r="A569" s="100" t="s">
        <v>390</v>
      </c>
      <c r="B569" s="101" t="s">
        <v>49</v>
      </c>
      <c r="C569" s="101" t="s">
        <v>1974</v>
      </c>
      <c r="D569" s="101" t="s">
        <v>1975</v>
      </c>
      <c r="E569" s="102">
        <v>45824</v>
      </c>
      <c r="F569" s="101" t="s">
        <v>372</v>
      </c>
      <c r="G569" s="101" t="s">
        <v>10</v>
      </c>
      <c r="H569" s="103">
        <v>150495.09</v>
      </c>
      <c r="I569" s="133">
        <v>0.251</v>
      </c>
      <c r="J569" s="104" t="s">
        <v>833</v>
      </c>
      <c r="K569" s="104" t="s">
        <v>1542</v>
      </c>
    </row>
    <row r="570" spans="1:11" hidden="1" x14ac:dyDescent="0.3">
      <c r="A570" s="100" t="s">
        <v>390</v>
      </c>
      <c r="B570" s="101" t="s">
        <v>49</v>
      </c>
      <c r="C570" s="101" t="s">
        <v>1976</v>
      </c>
      <c r="D570" s="101" t="s">
        <v>1830</v>
      </c>
      <c r="E570" s="102">
        <v>45838</v>
      </c>
      <c r="F570" s="101" t="s">
        <v>1007</v>
      </c>
      <c r="G570" s="101" t="s">
        <v>865</v>
      </c>
      <c r="H570" s="103">
        <v>86023.641199999998</v>
      </c>
      <c r="I570" s="133">
        <v>0.34599999999999997</v>
      </c>
      <c r="J570" s="104" t="s">
        <v>831</v>
      </c>
      <c r="K570" s="104" t="s">
        <v>1542</v>
      </c>
    </row>
    <row r="571" spans="1:11" hidden="1" x14ac:dyDescent="0.3">
      <c r="A571" s="100" t="s">
        <v>392</v>
      </c>
      <c r="B571" s="101" t="s">
        <v>50</v>
      </c>
      <c r="C571" s="101" t="s">
        <v>1978</v>
      </c>
      <c r="D571" s="101" t="s">
        <v>1979</v>
      </c>
      <c r="E571" s="102">
        <v>45842</v>
      </c>
      <c r="F571" s="101" t="s">
        <v>370</v>
      </c>
      <c r="G571" s="101" t="s">
        <v>63</v>
      </c>
      <c r="H571" s="103">
        <v>17400</v>
      </c>
      <c r="I571" s="133">
        <v>0.56299999999999994</v>
      </c>
      <c r="J571" s="104" t="s">
        <v>1835</v>
      </c>
      <c r="K571" s="104" t="s">
        <v>1540</v>
      </c>
    </row>
    <row r="572" spans="1:11" hidden="1" x14ac:dyDescent="0.3">
      <c r="A572" s="100" t="s">
        <v>392</v>
      </c>
      <c r="B572" s="101" t="s">
        <v>50</v>
      </c>
      <c r="C572" s="101" t="s">
        <v>1980</v>
      </c>
      <c r="D572" s="101" t="s">
        <v>1981</v>
      </c>
      <c r="E572" s="102">
        <v>45842</v>
      </c>
      <c r="F572" s="101" t="s">
        <v>370</v>
      </c>
      <c r="G572" s="101" t="s">
        <v>63</v>
      </c>
      <c r="H572" s="103">
        <v>9700</v>
      </c>
      <c r="I572" s="133">
        <v>0.54600000000000004</v>
      </c>
      <c r="J572" s="104" t="s">
        <v>1835</v>
      </c>
      <c r="K572" s="104" t="s">
        <v>1540</v>
      </c>
    </row>
    <row r="573" spans="1:11" hidden="1" x14ac:dyDescent="0.3">
      <c r="A573" s="100" t="s">
        <v>392</v>
      </c>
      <c r="B573" s="101" t="s">
        <v>50</v>
      </c>
      <c r="C573" s="101" t="s">
        <v>1982</v>
      </c>
      <c r="D573" s="101" t="s">
        <v>1983</v>
      </c>
      <c r="E573" s="102">
        <v>45842</v>
      </c>
      <c r="F573" s="101" t="s">
        <v>370</v>
      </c>
      <c r="G573" s="101" t="s">
        <v>63</v>
      </c>
      <c r="H573" s="103">
        <v>4200</v>
      </c>
      <c r="I573" s="133">
        <v>0.57099999999999995</v>
      </c>
      <c r="J573" s="104" t="s">
        <v>1835</v>
      </c>
      <c r="K573" s="104" t="s">
        <v>1540</v>
      </c>
    </row>
    <row r="574" spans="1:11" hidden="1" x14ac:dyDescent="0.3">
      <c r="A574" s="100" t="s">
        <v>392</v>
      </c>
      <c r="B574" s="101" t="s">
        <v>50</v>
      </c>
      <c r="C574" s="101" t="s">
        <v>1984</v>
      </c>
      <c r="D574" s="101" t="s">
        <v>1985</v>
      </c>
      <c r="E574" s="102">
        <v>45842</v>
      </c>
      <c r="F574" s="101" t="s">
        <v>370</v>
      </c>
      <c r="G574" s="101" t="s">
        <v>63</v>
      </c>
      <c r="H574" s="103">
        <v>10700</v>
      </c>
      <c r="I574" s="133">
        <v>0.56100000000000005</v>
      </c>
      <c r="J574" s="104" t="s">
        <v>1835</v>
      </c>
      <c r="K574" s="104" t="s">
        <v>1541</v>
      </c>
    </row>
    <row r="575" spans="1:11" hidden="1" x14ac:dyDescent="0.3">
      <c r="A575" s="100" t="s">
        <v>392</v>
      </c>
      <c r="B575" s="101" t="s">
        <v>50</v>
      </c>
      <c r="C575" s="101" t="s">
        <v>1986</v>
      </c>
      <c r="D575" s="101" t="s">
        <v>1987</v>
      </c>
      <c r="E575" s="102">
        <v>45842</v>
      </c>
      <c r="F575" s="101" t="s">
        <v>370</v>
      </c>
      <c r="G575" s="101" t="s">
        <v>63</v>
      </c>
      <c r="H575" s="103">
        <v>41000</v>
      </c>
      <c r="I575" s="133">
        <v>0.44700000000000001</v>
      </c>
      <c r="J575" s="104" t="s">
        <v>1835</v>
      </c>
      <c r="K575" s="104" t="s">
        <v>1541</v>
      </c>
    </row>
    <row r="576" spans="1:11" hidden="1" x14ac:dyDescent="0.3">
      <c r="A576" s="100" t="s">
        <v>392</v>
      </c>
      <c r="B576" s="101" t="s">
        <v>50</v>
      </c>
      <c r="C576" s="101" t="s">
        <v>1988</v>
      </c>
      <c r="D576" s="101" t="s">
        <v>1989</v>
      </c>
      <c r="E576" s="102">
        <v>45842</v>
      </c>
      <c r="F576" s="101" t="s">
        <v>370</v>
      </c>
      <c r="G576" s="101" t="s">
        <v>63</v>
      </c>
      <c r="H576" s="103">
        <v>4800</v>
      </c>
      <c r="I576" s="133">
        <v>0.625</v>
      </c>
      <c r="J576" s="104" t="s">
        <v>848</v>
      </c>
      <c r="K576" s="104" t="s">
        <v>1540</v>
      </c>
    </row>
    <row r="577" spans="1:11" hidden="1" x14ac:dyDescent="0.3">
      <c r="A577" s="100" t="s">
        <v>392</v>
      </c>
      <c r="B577" s="101" t="s">
        <v>50</v>
      </c>
      <c r="C577" s="101" t="s">
        <v>1990</v>
      </c>
      <c r="D577" s="101" t="s">
        <v>1991</v>
      </c>
      <c r="E577" s="102">
        <v>45842</v>
      </c>
      <c r="F577" s="101" t="s">
        <v>370</v>
      </c>
      <c r="G577" s="101" t="s">
        <v>63</v>
      </c>
      <c r="H577" s="103">
        <v>4800</v>
      </c>
      <c r="I577" s="133">
        <v>0.625</v>
      </c>
      <c r="J577" s="104" t="s">
        <v>848</v>
      </c>
      <c r="K577" s="104" t="s">
        <v>1540</v>
      </c>
    </row>
    <row r="578" spans="1:11" hidden="1" x14ac:dyDescent="0.3">
      <c r="A578" s="100" t="s">
        <v>392</v>
      </c>
      <c r="B578" s="101" t="s">
        <v>50</v>
      </c>
      <c r="C578" s="101" t="s">
        <v>1992</v>
      </c>
      <c r="D578" s="101" t="s">
        <v>1993</v>
      </c>
      <c r="E578" s="102">
        <v>45842</v>
      </c>
      <c r="F578" s="101" t="s">
        <v>370</v>
      </c>
      <c r="G578" s="101" t="s">
        <v>63</v>
      </c>
      <c r="H578" s="103">
        <v>7276</v>
      </c>
      <c r="I578" s="133">
        <v>0.57399999999999995</v>
      </c>
      <c r="J578" s="104" t="s">
        <v>1835</v>
      </c>
      <c r="K578" s="104" t="s">
        <v>1540</v>
      </c>
    </row>
    <row r="579" spans="1:11" hidden="1" x14ac:dyDescent="0.3">
      <c r="A579" s="100" t="s">
        <v>392</v>
      </c>
      <c r="B579" s="101" t="s">
        <v>50</v>
      </c>
      <c r="C579" s="101" t="s">
        <v>1994</v>
      </c>
      <c r="D579" s="101" t="s">
        <v>1995</v>
      </c>
      <c r="E579" s="102">
        <v>45842</v>
      </c>
      <c r="F579" s="101" t="s">
        <v>370</v>
      </c>
      <c r="G579" s="101" t="s">
        <v>63</v>
      </c>
      <c r="H579" s="103">
        <v>6100</v>
      </c>
      <c r="I579" s="133">
        <v>0.65600000000000003</v>
      </c>
      <c r="J579" s="104" t="s">
        <v>848</v>
      </c>
      <c r="K579" s="104" t="s">
        <v>1540</v>
      </c>
    </row>
    <row r="580" spans="1:11" hidden="1" x14ac:dyDescent="0.3">
      <c r="A580" s="100" t="s">
        <v>392</v>
      </c>
      <c r="B580" s="101" t="s">
        <v>50</v>
      </c>
      <c r="C580" s="101" t="s">
        <v>1996</v>
      </c>
      <c r="D580" s="101" t="s">
        <v>1997</v>
      </c>
      <c r="E580" s="102">
        <v>45842</v>
      </c>
      <c r="F580" s="101" t="s">
        <v>370</v>
      </c>
      <c r="G580" s="101" t="s">
        <v>63</v>
      </c>
      <c r="H580" s="103">
        <v>8150</v>
      </c>
      <c r="I580" s="133">
        <v>0.57099999999999995</v>
      </c>
      <c r="J580" s="104" t="s">
        <v>1835</v>
      </c>
      <c r="K580" s="104" t="s">
        <v>1540</v>
      </c>
    </row>
    <row r="581" spans="1:11" hidden="1" x14ac:dyDescent="0.3">
      <c r="A581" s="100" t="s">
        <v>392</v>
      </c>
      <c r="B581" s="101" t="s">
        <v>50</v>
      </c>
      <c r="C581" s="101" t="s">
        <v>1998</v>
      </c>
      <c r="D581" s="101" t="s">
        <v>1999</v>
      </c>
      <c r="E581" s="102">
        <v>45842</v>
      </c>
      <c r="F581" s="101" t="s">
        <v>370</v>
      </c>
      <c r="G581" s="101" t="s">
        <v>63</v>
      </c>
      <c r="H581" s="103">
        <v>17300</v>
      </c>
      <c r="I581" s="133">
        <v>0.59</v>
      </c>
      <c r="J581" s="104" t="s">
        <v>1835</v>
      </c>
      <c r="K581" s="104" t="s">
        <v>1540</v>
      </c>
    </row>
    <row r="582" spans="1:11" hidden="1" x14ac:dyDescent="0.3">
      <c r="A582" s="100" t="s">
        <v>392</v>
      </c>
      <c r="B582" s="101" t="s">
        <v>50</v>
      </c>
      <c r="C582" s="101" t="s">
        <v>2000</v>
      </c>
      <c r="D582" s="101" t="s">
        <v>2001</v>
      </c>
      <c r="E582" s="102">
        <v>45842</v>
      </c>
      <c r="F582" s="101" t="s">
        <v>370</v>
      </c>
      <c r="G582" s="101" t="s">
        <v>63</v>
      </c>
      <c r="H582" s="103">
        <v>13600</v>
      </c>
      <c r="I582" s="133">
        <v>0.54200000000000004</v>
      </c>
      <c r="J582" s="104" t="s">
        <v>1835</v>
      </c>
      <c r="K582" s="104" t="s">
        <v>1541</v>
      </c>
    </row>
    <row r="583" spans="1:11" hidden="1" x14ac:dyDescent="0.3">
      <c r="A583" s="100" t="s">
        <v>392</v>
      </c>
      <c r="B583" s="101" t="s">
        <v>50</v>
      </c>
      <c r="C583" s="101" t="s">
        <v>2002</v>
      </c>
      <c r="D583" s="101" t="s">
        <v>2003</v>
      </c>
      <c r="E583" s="102">
        <v>45842</v>
      </c>
      <c r="F583" s="101" t="s">
        <v>370</v>
      </c>
      <c r="G583" s="101" t="s">
        <v>63</v>
      </c>
      <c r="H583" s="103">
        <v>9600</v>
      </c>
      <c r="I583" s="133">
        <v>0.52100000000000002</v>
      </c>
      <c r="J583" s="104" t="s">
        <v>848</v>
      </c>
      <c r="K583" s="104" t="s">
        <v>1540</v>
      </c>
    </row>
    <row r="584" spans="1:11" hidden="1" x14ac:dyDescent="0.3">
      <c r="A584" s="100" t="s">
        <v>392</v>
      </c>
      <c r="B584" s="101" t="s">
        <v>50</v>
      </c>
      <c r="C584" s="101" t="s">
        <v>2004</v>
      </c>
      <c r="D584" s="101" t="s">
        <v>2005</v>
      </c>
      <c r="E584" s="102">
        <v>45842</v>
      </c>
      <c r="F584" s="101" t="s">
        <v>370</v>
      </c>
      <c r="G584" s="101" t="s">
        <v>63</v>
      </c>
      <c r="H584" s="103">
        <v>10800</v>
      </c>
      <c r="I584" s="133">
        <v>0.60199999999999998</v>
      </c>
      <c r="J584" s="104" t="s">
        <v>848</v>
      </c>
      <c r="K584" s="104" t="s">
        <v>1540</v>
      </c>
    </row>
    <row r="585" spans="1:11" hidden="1" x14ac:dyDescent="0.3">
      <c r="A585" s="100" t="s">
        <v>392</v>
      </c>
      <c r="B585" s="101" t="s">
        <v>50</v>
      </c>
      <c r="C585" s="101" t="s">
        <v>2006</v>
      </c>
      <c r="D585" s="101" t="s">
        <v>2007</v>
      </c>
      <c r="E585" s="102">
        <v>45842</v>
      </c>
      <c r="F585" s="101" t="s">
        <v>842</v>
      </c>
      <c r="G585" s="101" t="s">
        <v>843</v>
      </c>
      <c r="H585" s="103">
        <v>22000</v>
      </c>
      <c r="I585" s="133">
        <v>0.44400000000000001</v>
      </c>
      <c r="J585" s="104" t="s">
        <v>1977</v>
      </c>
      <c r="K585" s="104" t="s">
        <v>1540</v>
      </c>
    </row>
    <row r="586" spans="1:11" hidden="1" x14ac:dyDescent="0.3">
      <c r="A586" s="100" t="s">
        <v>392</v>
      </c>
      <c r="B586" s="101" t="s">
        <v>50</v>
      </c>
      <c r="C586" s="101" t="s">
        <v>2008</v>
      </c>
      <c r="D586" s="101" t="s">
        <v>2009</v>
      </c>
      <c r="E586" s="102">
        <v>45842</v>
      </c>
      <c r="F586" s="101" t="s">
        <v>842</v>
      </c>
      <c r="G586" s="101" t="s">
        <v>843</v>
      </c>
      <c r="H586" s="103">
        <v>22000</v>
      </c>
      <c r="I586" s="133">
        <v>0.44400000000000001</v>
      </c>
      <c r="J586" s="104" t="s">
        <v>1977</v>
      </c>
      <c r="K586" s="104" t="s">
        <v>1540</v>
      </c>
    </row>
    <row r="587" spans="1:11" hidden="1" x14ac:dyDescent="0.3">
      <c r="A587" s="100" t="s">
        <v>392</v>
      </c>
      <c r="B587" s="101" t="s">
        <v>50</v>
      </c>
      <c r="C587" s="101" t="s">
        <v>2010</v>
      </c>
      <c r="D587" s="101" t="s">
        <v>2011</v>
      </c>
      <c r="E587" s="102">
        <v>45842</v>
      </c>
      <c r="F587" s="101" t="s">
        <v>371</v>
      </c>
      <c r="G587" s="101" t="s">
        <v>864</v>
      </c>
      <c r="H587" s="103">
        <v>9600</v>
      </c>
      <c r="I587" s="133">
        <v>0.78600000000000003</v>
      </c>
      <c r="J587" s="104" t="s">
        <v>848</v>
      </c>
      <c r="K587" s="104" t="s">
        <v>1540</v>
      </c>
    </row>
    <row r="588" spans="1:11" hidden="1" x14ac:dyDescent="0.3">
      <c r="A588" s="100" t="s">
        <v>392</v>
      </c>
      <c r="B588" s="101" t="s">
        <v>50</v>
      </c>
      <c r="C588" s="101" t="s">
        <v>2012</v>
      </c>
      <c r="D588" s="101" t="s">
        <v>2013</v>
      </c>
      <c r="E588" s="102">
        <v>45842</v>
      </c>
      <c r="F588" s="101" t="s">
        <v>370</v>
      </c>
      <c r="G588" s="101" t="s">
        <v>63</v>
      </c>
      <c r="H588" s="103">
        <v>8300</v>
      </c>
      <c r="I588" s="133">
        <v>0.56599999999999995</v>
      </c>
      <c r="J588" s="104" t="s">
        <v>848</v>
      </c>
      <c r="K588" s="104" t="s">
        <v>1540</v>
      </c>
    </row>
    <row r="589" spans="1:11" hidden="1" x14ac:dyDescent="0.3">
      <c r="A589" s="100" t="s">
        <v>392</v>
      </c>
      <c r="B589" s="101" t="s">
        <v>50</v>
      </c>
      <c r="C589" s="101" t="s">
        <v>2014</v>
      </c>
      <c r="D589" s="101" t="s">
        <v>2015</v>
      </c>
      <c r="E589" s="102">
        <v>45842</v>
      </c>
      <c r="F589" s="101" t="s">
        <v>370</v>
      </c>
      <c r="G589" s="101" t="s">
        <v>63</v>
      </c>
      <c r="H589" s="103">
        <v>8600</v>
      </c>
      <c r="I589" s="133">
        <v>0.74399999999999999</v>
      </c>
      <c r="J589" s="104" t="s">
        <v>848</v>
      </c>
      <c r="K589" s="104" t="s">
        <v>1540</v>
      </c>
    </row>
    <row r="590" spans="1:11" hidden="1" x14ac:dyDescent="0.3">
      <c r="A590" s="100" t="s">
        <v>392</v>
      </c>
      <c r="B590" s="101" t="s">
        <v>50</v>
      </c>
      <c r="C590" s="101" t="s">
        <v>2016</v>
      </c>
      <c r="D590" s="101" t="s">
        <v>2017</v>
      </c>
      <c r="E590" s="102">
        <v>45842</v>
      </c>
      <c r="F590" s="101" t="s">
        <v>370</v>
      </c>
      <c r="G590" s="101" t="s">
        <v>63</v>
      </c>
      <c r="H590" s="103">
        <v>4800</v>
      </c>
      <c r="I590" s="133">
        <v>0.625</v>
      </c>
      <c r="J590" s="104" t="s">
        <v>848</v>
      </c>
      <c r="K590" s="104" t="s">
        <v>1540</v>
      </c>
    </row>
    <row r="591" spans="1:11" hidden="1" x14ac:dyDescent="0.3">
      <c r="A591" s="100" t="s">
        <v>392</v>
      </c>
      <c r="B591" s="101" t="s">
        <v>50</v>
      </c>
      <c r="C591" s="101" t="s">
        <v>2018</v>
      </c>
      <c r="D591" s="101" t="s">
        <v>2019</v>
      </c>
      <c r="E591" s="102">
        <v>45842</v>
      </c>
      <c r="F591" s="101" t="s">
        <v>370</v>
      </c>
      <c r="G591" s="101" t="s">
        <v>63</v>
      </c>
      <c r="H591" s="103">
        <v>17500</v>
      </c>
      <c r="I591" s="133">
        <v>0.61299999999999999</v>
      </c>
      <c r="J591" s="104" t="s">
        <v>1835</v>
      </c>
      <c r="K591" s="104" t="s">
        <v>1540</v>
      </c>
    </row>
    <row r="592" spans="1:11" hidden="1" x14ac:dyDescent="0.3">
      <c r="A592" s="100" t="s">
        <v>392</v>
      </c>
      <c r="B592" s="101" t="s">
        <v>50</v>
      </c>
      <c r="C592" s="101" t="s">
        <v>2020</v>
      </c>
      <c r="D592" s="101" t="s">
        <v>2021</v>
      </c>
      <c r="E592" s="102">
        <v>45845</v>
      </c>
      <c r="F592" s="101" t="s">
        <v>370</v>
      </c>
      <c r="G592" s="101" t="s">
        <v>63</v>
      </c>
      <c r="H592" s="103">
        <v>8000</v>
      </c>
      <c r="I592" s="133">
        <v>0.66200000000000003</v>
      </c>
      <c r="J592" s="104" t="s">
        <v>848</v>
      </c>
      <c r="K592" s="104" t="s">
        <v>1540</v>
      </c>
    </row>
    <row r="593" spans="1:11" hidden="1" x14ac:dyDescent="0.3">
      <c r="A593" s="100" t="s">
        <v>392</v>
      </c>
      <c r="B593" s="101" t="s">
        <v>50</v>
      </c>
      <c r="C593" s="101" t="s">
        <v>2022</v>
      </c>
      <c r="D593" s="101" t="s">
        <v>2023</v>
      </c>
      <c r="E593" s="102">
        <v>45845</v>
      </c>
      <c r="F593" s="101" t="s">
        <v>370</v>
      </c>
      <c r="G593" s="101" t="s">
        <v>63</v>
      </c>
      <c r="H593" s="103">
        <v>7700</v>
      </c>
      <c r="I593" s="133">
        <v>0.66200000000000003</v>
      </c>
      <c r="J593" s="104" t="s">
        <v>848</v>
      </c>
      <c r="K593" s="104" t="s">
        <v>1540</v>
      </c>
    </row>
    <row r="594" spans="1:11" hidden="1" x14ac:dyDescent="0.3">
      <c r="A594" s="100" t="s">
        <v>392</v>
      </c>
      <c r="B594" s="101" t="s">
        <v>50</v>
      </c>
      <c r="C594" s="101" t="s">
        <v>2024</v>
      </c>
      <c r="D594" s="101" t="s">
        <v>2025</v>
      </c>
      <c r="E594" s="102">
        <v>45845</v>
      </c>
      <c r="F594" s="101" t="s">
        <v>372</v>
      </c>
      <c r="G594" s="101" t="s">
        <v>10</v>
      </c>
      <c r="H594" s="103">
        <v>42100</v>
      </c>
      <c r="I594" s="133">
        <v>0.38500000000000001</v>
      </c>
      <c r="J594" s="104" t="s">
        <v>848</v>
      </c>
      <c r="K594" s="104" t="s">
        <v>1540</v>
      </c>
    </row>
    <row r="595" spans="1:11" hidden="1" x14ac:dyDescent="0.3">
      <c r="A595" s="100" t="s">
        <v>392</v>
      </c>
      <c r="B595" s="101" t="s">
        <v>50</v>
      </c>
      <c r="C595" s="101" t="s">
        <v>2026</v>
      </c>
      <c r="D595" s="101" t="s">
        <v>2027</v>
      </c>
      <c r="E595" s="102">
        <v>45845</v>
      </c>
      <c r="F595" s="101" t="s">
        <v>372</v>
      </c>
      <c r="G595" s="101" t="s">
        <v>10</v>
      </c>
      <c r="H595" s="103">
        <v>25200</v>
      </c>
      <c r="I595" s="133">
        <v>0.40100000000000002</v>
      </c>
      <c r="J595" s="104" t="s">
        <v>848</v>
      </c>
      <c r="K595" s="104" t="s">
        <v>1540</v>
      </c>
    </row>
    <row r="596" spans="1:11" hidden="1" x14ac:dyDescent="0.3">
      <c r="A596" s="100" t="s">
        <v>392</v>
      </c>
      <c r="B596" s="101" t="s">
        <v>50</v>
      </c>
      <c r="C596" s="101" t="s">
        <v>2028</v>
      </c>
      <c r="D596" s="101" t="s">
        <v>2029</v>
      </c>
      <c r="E596" s="102">
        <v>45845</v>
      </c>
      <c r="F596" s="101" t="s">
        <v>842</v>
      </c>
      <c r="G596" s="101" t="s">
        <v>843</v>
      </c>
      <c r="H596" s="103">
        <v>22000</v>
      </c>
      <c r="I596" s="133">
        <v>0.44600000000000001</v>
      </c>
      <c r="J596" s="104" t="s">
        <v>1977</v>
      </c>
      <c r="K596" s="104" t="s">
        <v>1540</v>
      </c>
    </row>
    <row r="597" spans="1:11" hidden="1" x14ac:dyDescent="0.3">
      <c r="A597" s="100" t="s">
        <v>390</v>
      </c>
      <c r="B597" s="101" t="s">
        <v>50</v>
      </c>
      <c r="C597" s="101" t="s">
        <v>2030</v>
      </c>
      <c r="D597" s="101" t="s">
        <v>2031</v>
      </c>
      <c r="E597" s="102">
        <v>45845</v>
      </c>
      <c r="F597" s="101" t="s">
        <v>371</v>
      </c>
      <c r="G597" s="101" t="s">
        <v>864</v>
      </c>
      <c r="H597" s="103">
        <v>15499.2</v>
      </c>
      <c r="I597" s="133">
        <v>0.29199999999999998</v>
      </c>
      <c r="J597" s="104" t="s">
        <v>832</v>
      </c>
      <c r="K597" s="104" t="s">
        <v>1541</v>
      </c>
    </row>
    <row r="598" spans="1:11" hidden="1" x14ac:dyDescent="0.3">
      <c r="A598" s="100" t="s">
        <v>392</v>
      </c>
      <c r="B598" s="101" t="s">
        <v>50</v>
      </c>
      <c r="C598" s="101" t="s">
        <v>2032</v>
      </c>
      <c r="D598" s="101" t="s">
        <v>2033</v>
      </c>
      <c r="E598" s="102">
        <v>45846</v>
      </c>
      <c r="F598" s="101" t="s">
        <v>372</v>
      </c>
      <c r="G598" s="101" t="s">
        <v>10</v>
      </c>
      <c r="H598" s="103">
        <v>25200</v>
      </c>
      <c r="I598" s="133">
        <v>0.379</v>
      </c>
      <c r="J598" s="104" t="s">
        <v>848</v>
      </c>
      <c r="K598" s="104" t="s">
        <v>1540</v>
      </c>
    </row>
    <row r="599" spans="1:11" hidden="1" x14ac:dyDescent="0.3">
      <c r="A599" s="100" t="s">
        <v>392</v>
      </c>
      <c r="B599" s="101" t="s">
        <v>50</v>
      </c>
      <c r="C599" s="101" t="s">
        <v>2034</v>
      </c>
      <c r="D599" s="101" t="s">
        <v>2035</v>
      </c>
      <c r="E599" s="102">
        <v>45846</v>
      </c>
      <c r="F599" s="101" t="s">
        <v>370</v>
      </c>
      <c r="G599" s="101" t="s">
        <v>63</v>
      </c>
      <c r="H599" s="103">
        <v>13250</v>
      </c>
      <c r="I599" s="133">
        <v>0.59399999999999997</v>
      </c>
      <c r="J599" s="104" t="s">
        <v>1835</v>
      </c>
      <c r="K599" s="104" t="s">
        <v>1541</v>
      </c>
    </row>
    <row r="600" spans="1:11" hidden="1" x14ac:dyDescent="0.3">
      <c r="A600" s="100" t="s">
        <v>390</v>
      </c>
      <c r="B600" s="101" t="s">
        <v>50</v>
      </c>
      <c r="C600" s="101" t="s">
        <v>2036</v>
      </c>
      <c r="D600" s="101" t="s">
        <v>2037</v>
      </c>
      <c r="E600" s="102">
        <v>45846</v>
      </c>
      <c r="F600" s="101" t="s">
        <v>371</v>
      </c>
      <c r="G600" s="101" t="s">
        <v>864</v>
      </c>
      <c r="H600" s="103">
        <v>13926.89</v>
      </c>
      <c r="I600" s="133">
        <v>0.47899999999999998</v>
      </c>
      <c r="J600" s="104" t="s">
        <v>832</v>
      </c>
      <c r="K600" s="104" t="s">
        <v>1541</v>
      </c>
    </row>
    <row r="601" spans="1:11" hidden="1" x14ac:dyDescent="0.3">
      <c r="A601" s="100" t="s">
        <v>392</v>
      </c>
      <c r="B601" s="101" t="s">
        <v>50</v>
      </c>
      <c r="C601" s="101" t="s">
        <v>2038</v>
      </c>
      <c r="D601" s="101" t="s">
        <v>2039</v>
      </c>
      <c r="E601" s="102">
        <v>45847</v>
      </c>
      <c r="F601" s="101" t="s">
        <v>370</v>
      </c>
      <c r="G601" s="101" t="s">
        <v>63</v>
      </c>
      <c r="H601" s="103">
        <v>14103</v>
      </c>
      <c r="I601" s="133">
        <v>0.59</v>
      </c>
      <c r="J601" s="104" t="s">
        <v>848</v>
      </c>
      <c r="K601" s="104" t="s">
        <v>1540</v>
      </c>
    </row>
    <row r="602" spans="1:11" hidden="1" x14ac:dyDescent="0.3">
      <c r="A602" s="100" t="s">
        <v>390</v>
      </c>
      <c r="B602" s="101" t="s">
        <v>50</v>
      </c>
      <c r="C602" s="101" t="s">
        <v>2040</v>
      </c>
      <c r="D602" s="101" t="s">
        <v>2041</v>
      </c>
      <c r="E602" s="102">
        <v>45847</v>
      </c>
      <c r="F602" s="101" t="s">
        <v>371</v>
      </c>
      <c r="G602" s="101" t="s">
        <v>864</v>
      </c>
      <c r="H602" s="103">
        <v>18041.650000000001</v>
      </c>
      <c r="I602" s="133">
        <v>0.45</v>
      </c>
      <c r="J602" s="104" t="s">
        <v>832</v>
      </c>
      <c r="K602" s="104" t="s">
        <v>1541</v>
      </c>
    </row>
    <row r="603" spans="1:11" hidden="1" x14ac:dyDescent="0.3">
      <c r="A603" s="100" t="s">
        <v>390</v>
      </c>
      <c r="B603" s="101" t="s">
        <v>50</v>
      </c>
      <c r="C603" s="101" t="s">
        <v>2042</v>
      </c>
      <c r="D603" s="101" t="s">
        <v>2043</v>
      </c>
      <c r="E603" s="102">
        <v>45848</v>
      </c>
      <c r="F603" s="101" t="s">
        <v>371</v>
      </c>
      <c r="G603" s="101" t="s">
        <v>864</v>
      </c>
      <c r="H603" s="103">
        <v>37539.64</v>
      </c>
      <c r="I603" s="133">
        <v>0.16700000000000001</v>
      </c>
      <c r="J603" s="104" t="s">
        <v>832</v>
      </c>
      <c r="K603" s="104" t="s">
        <v>1541</v>
      </c>
    </row>
    <row r="604" spans="1:11" hidden="1" x14ac:dyDescent="0.3">
      <c r="A604" s="100" t="s">
        <v>390</v>
      </c>
      <c r="B604" s="101" t="s">
        <v>50</v>
      </c>
      <c r="C604" s="101" t="s">
        <v>2044</v>
      </c>
      <c r="D604" s="101" t="s">
        <v>2045</v>
      </c>
      <c r="E604" s="102">
        <v>45848</v>
      </c>
      <c r="F604" s="101" t="s">
        <v>371</v>
      </c>
      <c r="G604" s="101" t="s">
        <v>864</v>
      </c>
      <c r="H604" s="103">
        <v>43320.06</v>
      </c>
      <c r="I604" s="133">
        <v>0.16200000000000001</v>
      </c>
      <c r="J604" s="104" t="s">
        <v>832</v>
      </c>
      <c r="K604" s="104" t="s">
        <v>1541</v>
      </c>
    </row>
    <row r="605" spans="1:11" hidden="1" x14ac:dyDescent="0.3">
      <c r="A605" s="100" t="s">
        <v>390</v>
      </c>
      <c r="B605" s="101" t="s">
        <v>50</v>
      </c>
      <c r="C605" s="101" t="s">
        <v>2046</v>
      </c>
      <c r="D605" s="101" t="s">
        <v>2047</v>
      </c>
      <c r="E605" s="102">
        <v>45848</v>
      </c>
      <c r="F605" s="101" t="s">
        <v>371</v>
      </c>
      <c r="G605" s="101" t="s">
        <v>864</v>
      </c>
      <c r="H605" s="103">
        <v>27429.66</v>
      </c>
      <c r="I605" s="133">
        <v>0.18</v>
      </c>
      <c r="J605" s="104" t="s">
        <v>832</v>
      </c>
      <c r="K605" s="104" t="s">
        <v>1541</v>
      </c>
    </row>
    <row r="606" spans="1:11" hidden="1" x14ac:dyDescent="0.3">
      <c r="A606" s="100" t="s">
        <v>390</v>
      </c>
      <c r="B606" s="101" t="s">
        <v>50</v>
      </c>
      <c r="C606" s="101" t="s">
        <v>2048</v>
      </c>
      <c r="D606" s="101" t="s">
        <v>2049</v>
      </c>
      <c r="E606" s="102">
        <v>45848</v>
      </c>
      <c r="F606" s="101" t="s">
        <v>371</v>
      </c>
      <c r="G606" s="101" t="s">
        <v>864</v>
      </c>
      <c r="H606" s="103">
        <v>22871.13</v>
      </c>
      <c r="I606" s="133">
        <v>0.19</v>
      </c>
      <c r="J606" s="104" t="s">
        <v>832</v>
      </c>
      <c r="K606" s="104" t="s">
        <v>1541</v>
      </c>
    </row>
    <row r="607" spans="1:11" hidden="1" x14ac:dyDescent="0.3">
      <c r="A607" s="100" t="s">
        <v>390</v>
      </c>
      <c r="B607" s="101" t="s">
        <v>50</v>
      </c>
      <c r="C607" s="101" t="s">
        <v>2050</v>
      </c>
      <c r="D607" s="101" t="s">
        <v>2051</v>
      </c>
      <c r="E607" s="102">
        <v>45848</v>
      </c>
      <c r="F607" s="101" t="s">
        <v>371</v>
      </c>
      <c r="G607" s="101" t="s">
        <v>864</v>
      </c>
      <c r="H607" s="103">
        <v>17287.900000000001</v>
      </c>
      <c r="I607" s="133">
        <v>0.20899999999999999</v>
      </c>
      <c r="J607" s="104" t="s">
        <v>832</v>
      </c>
      <c r="K607" s="104" t="s">
        <v>1541</v>
      </c>
    </row>
    <row r="608" spans="1:11" hidden="1" x14ac:dyDescent="0.3">
      <c r="A608" s="100" t="s">
        <v>392</v>
      </c>
      <c r="B608" s="101" t="s">
        <v>50</v>
      </c>
      <c r="C608" s="101" t="s">
        <v>2052</v>
      </c>
      <c r="D608" s="101" t="s">
        <v>2053</v>
      </c>
      <c r="E608" s="102">
        <v>45848</v>
      </c>
      <c r="F608" s="101" t="s">
        <v>370</v>
      </c>
      <c r="G608" s="101" t="s">
        <v>63</v>
      </c>
      <c r="H608" s="103">
        <v>8300</v>
      </c>
      <c r="I608" s="133">
        <v>0.34899999999999998</v>
      </c>
      <c r="J608" s="104" t="s">
        <v>848</v>
      </c>
      <c r="K608" s="104" t="s">
        <v>1540</v>
      </c>
    </row>
    <row r="609" spans="1:11" hidden="1" x14ac:dyDescent="0.3">
      <c r="A609" s="100" t="s">
        <v>392</v>
      </c>
      <c r="B609" s="101" t="s">
        <v>50</v>
      </c>
      <c r="C609" s="101" t="s">
        <v>2054</v>
      </c>
      <c r="D609" s="101" t="s">
        <v>2055</v>
      </c>
      <c r="E609" s="102">
        <v>45849</v>
      </c>
      <c r="F609" s="101" t="s">
        <v>370</v>
      </c>
      <c r="G609" s="101" t="s">
        <v>63</v>
      </c>
      <c r="H609" s="103">
        <v>8150</v>
      </c>
      <c r="I609" s="133">
        <v>0.57099999999999995</v>
      </c>
      <c r="J609" s="104" t="s">
        <v>848</v>
      </c>
      <c r="K609" s="104" t="s">
        <v>1540</v>
      </c>
    </row>
    <row r="610" spans="1:11" hidden="1" x14ac:dyDescent="0.3">
      <c r="A610" s="100" t="s">
        <v>392</v>
      </c>
      <c r="B610" s="101" t="s">
        <v>50</v>
      </c>
      <c r="C610" s="101" t="s">
        <v>2056</v>
      </c>
      <c r="D610" s="101" t="s">
        <v>2057</v>
      </c>
      <c r="E610" s="102">
        <v>45849</v>
      </c>
      <c r="F610" s="101" t="s">
        <v>370</v>
      </c>
      <c r="G610" s="101" t="s">
        <v>63</v>
      </c>
      <c r="H610" s="103">
        <v>8000</v>
      </c>
      <c r="I610" s="133">
        <v>0.66200000000000003</v>
      </c>
      <c r="J610" s="104" t="s">
        <v>848</v>
      </c>
      <c r="K610" s="104" t="s">
        <v>1540</v>
      </c>
    </row>
    <row r="611" spans="1:11" hidden="1" x14ac:dyDescent="0.3">
      <c r="A611" s="100" t="s">
        <v>390</v>
      </c>
      <c r="B611" s="101" t="s">
        <v>50</v>
      </c>
      <c r="C611" s="101" t="s">
        <v>2058</v>
      </c>
      <c r="D611" s="101" t="s">
        <v>2059</v>
      </c>
      <c r="E611" s="102">
        <v>45849</v>
      </c>
      <c r="F611" s="101" t="s">
        <v>371</v>
      </c>
      <c r="G611" s="101" t="s">
        <v>864</v>
      </c>
      <c r="H611" s="103">
        <v>25060.27</v>
      </c>
      <c r="I611" s="133">
        <v>0.182</v>
      </c>
      <c r="J611" s="104" t="s">
        <v>832</v>
      </c>
      <c r="K611" s="104" t="s">
        <v>1541</v>
      </c>
    </row>
    <row r="612" spans="1:11" hidden="1" x14ac:dyDescent="0.3">
      <c r="A612" s="100" t="s">
        <v>392</v>
      </c>
      <c r="B612" s="101" t="s">
        <v>50</v>
      </c>
      <c r="C612" s="101" t="s">
        <v>2060</v>
      </c>
      <c r="D612" s="101" t="s">
        <v>2061</v>
      </c>
      <c r="E612" s="102">
        <v>45849</v>
      </c>
      <c r="F612" s="101" t="s">
        <v>842</v>
      </c>
      <c r="G612" s="101" t="s">
        <v>843</v>
      </c>
      <c r="H612" s="103">
        <v>22000</v>
      </c>
      <c r="I612" s="133">
        <v>0.44800000000000001</v>
      </c>
      <c r="J612" s="104" t="s">
        <v>1977</v>
      </c>
      <c r="K612" s="104" t="s">
        <v>1540</v>
      </c>
    </row>
    <row r="613" spans="1:11" hidden="1" x14ac:dyDescent="0.3">
      <c r="A613" s="100" t="s">
        <v>392</v>
      </c>
      <c r="B613" s="101" t="s">
        <v>50</v>
      </c>
      <c r="C613" s="101" t="s">
        <v>2062</v>
      </c>
      <c r="D613" s="101" t="s">
        <v>2063</v>
      </c>
      <c r="E613" s="102">
        <v>45849</v>
      </c>
      <c r="F613" s="101" t="s">
        <v>372</v>
      </c>
      <c r="G613" s="101" t="s">
        <v>10</v>
      </c>
      <c r="H613" s="103">
        <v>41500</v>
      </c>
      <c r="I613" s="133">
        <v>0.376</v>
      </c>
      <c r="J613" s="104" t="s">
        <v>848</v>
      </c>
      <c r="K613" s="104" t="s">
        <v>1540</v>
      </c>
    </row>
    <row r="614" spans="1:11" hidden="1" x14ac:dyDescent="0.3">
      <c r="A614" s="100" t="s">
        <v>392</v>
      </c>
      <c r="B614" s="101" t="s">
        <v>50</v>
      </c>
      <c r="C614" s="101" t="s">
        <v>2064</v>
      </c>
      <c r="D614" s="101" t="s">
        <v>2065</v>
      </c>
      <c r="E614" s="102">
        <v>45849</v>
      </c>
      <c r="F614" s="101" t="s">
        <v>842</v>
      </c>
      <c r="G614" s="101" t="s">
        <v>843</v>
      </c>
      <c r="H614" s="103">
        <v>22000</v>
      </c>
      <c r="I614" s="133">
        <v>0.44800000000000001</v>
      </c>
      <c r="J614" s="104" t="s">
        <v>1977</v>
      </c>
      <c r="K614" s="104" t="s">
        <v>1540</v>
      </c>
    </row>
    <row r="615" spans="1:11" hidden="1" x14ac:dyDescent="0.3">
      <c r="A615" s="100" t="s">
        <v>392</v>
      </c>
      <c r="B615" s="101" t="s">
        <v>50</v>
      </c>
      <c r="C615" s="101" t="s">
        <v>2066</v>
      </c>
      <c r="D615" s="101" t="s">
        <v>2067</v>
      </c>
      <c r="E615" s="102">
        <v>45849</v>
      </c>
      <c r="F615" s="101" t="s">
        <v>842</v>
      </c>
      <c r="G615" s="101" t="s">
        <v>843</v>
      </c>
      <c r="H615" s="103">
        <v>22000</v>
      </c>
      <c r="I615" s="133">
        <v>0.44800000000000001</v>
      </c>
      <c r="J615" s="104" t="s">
        <v>1977</v>
      </c>
      <c r="K615" s="104" t="s">
        <v>1540</v>
      </c>
    </row>
    <row r="616" spans="1:11" hidden="1" x14ac:dyDescent="0.3">
      <c r="A616" s="100" t="s">
        <v>392</v>
      </c>
      <c r="B616" s="101" t="s">
        <v>50</v>
      </c>
      <c r="C616" s="101" t="s">
        <v>2068</v>
      </c>
      <c r="D616" s="101" t="s">
        <v>2069</v>
      </c>
      <c r="E616" s="102">
        <v>45852</v>
      </c>
      <c r="F616" s="101" t="s">
        <v>370</v>
      </c>
      <c r="G616" s="101" t="s">
        <v>63</v>
      </c>
      <c r="H616" s="103">
        <v>6800</v>
      </c>
      <c r="I616" s="133">
        <v>0.73499999999999999</v>
      </c>
      <c r="J616" s="104" t="s">
        <v>848</v>
      </c>
      <c r="K616" s="104" t="s">
        <v>1540</v>
      </c>
    </row>
    <row r="617" spans="1:11" hidden="1" x14ac:dyDescent="0.3">
      <c r="A617" s="100" t="s">
        <v>392</v>
      </c>
      <c r="B617" s="101" t="s">
        <v>50</v>
      </c>
      <c r="C617" s="101" t="s">
        <v>2070</v>
      </c>
      <c r="D617" s="101" t="s">
        <v>2071</v>
      </c>
      <c r="E617" s="102">
        <v>45852</v>
      </c>
      <c r="F617" s="101" t="s">
        <v>370</v>
      </c>
      <c r="G617" s="101" t="s">
        <v>63</v>
      </c>
      <c r="H617" s="103">
        <v>10600</v>
      </c>
      <c r="I617" s="133">
        <v>0.73499999999999999</v>
      </c>
      <c r="J617" s="104" t="s">
        <v>1835</v>
      </c>
      <c r="K617" s="104" t="s">
        <v>1540</v>
      </c>
    </row>
    <row r="618" spans="1:11" hidden="1" x14ac:dyDescent="0.3">
      <c r="A618" s="100" t="s">
        <v>392</v>
      </c>
      <c r="B618" s="101" t="s">
        <v>50</v>
      </c>
      <c r="C618" s="101" t="s">
        <v>2072</v>
      </c>
      <c r="D618" s="101" t="s">
        <v>2073</v>
      </c>
      <c r="E618" s="102">
        <v>45852</v>
      </c>
      <c r="F618" s="101" t="s">
        <v>370</v>
      </c>
      <c r="G618" s="101" t="s">
        <v>63</v>
      </c>
      <c r="H618" s="103">
        <v>8150</v>
      </c>
      <c r="I618" s="133">
        <v>0.53400000000000003</v>
      </c>
      <c r="J618" s="104" t="s">
        <v>1835</v>
      </c>
      <c r="K618" s="104" t="s">
        <v>1540</v>
      </c>
    </row>
    <row r="619" spans="1:11" hidden="1" x14ac:dyDescent="0.3">
      <c r="A619" s="100" t="s">
        <v>390</v>
      </c>
      <c r="B619" s="101" t="s">
        <v>50</v>
      </c>
      <c r="C619" s="101" t="s">
        <v>2074</v>
      </c>
      <c r="D619" s="101" t="s">
        <v>2075</v>
      </c>
      <c r="E619" s="102">
        <v>45852</v>
      </c>
      <c r="F619" s="101" t="s">
        <v>375</v>
      </c>
      <c r="G619" s="101" t="s">
        <v>62</v>
      </c>
      <c r="H619" s="103">
        <v>11596.990000000002</v>
      </c>
      <c r="I619" s="133">
        <v>0.40899999999999997</v>
      </c>
      <c r="J619" s="104" t="s">
        <v>831</v>
      </c>
      <c r="K619" s="104" t="s">
        <v>1541</v>
      </c>
    </row>
    <row r="620" spans="1:11" hidden="1" x14ac:dyDescent="0.3">
      <c r="A620" s="100" t="s">
        <v>390</v>
      </c>
      <c r="B620" s="101" t="s">
        <v>50</v>
      </c>
      <c r="C620" s="101" t="s">
        <v>2076</v>
      </c>
      <c r="D620" s="101" t="s">
        <v>2077</v>
      </c>
      <c r="E620" s="102">
        <v>45853</v>
      </c>
      <c r="F620" s="101" t="s">
        <v>371</v>
      </c>
      <c r="G620" s="101" t="s">
        <v>864</v>
      </c>
      <c r="H620" s="103">
        <v>75360.51999999999</v>
      </c>
      <c r="I620" s="133">
        <v>0.17299999999999999</v>
      </c>
      <c r="J620" s="104" t="s">
        <v>832</v>
      </c>
      <c r="K620" s="104" t="s">
        <v>1541</v>
      </c>
    </row>
    <row r="621" spans="1:11" hidden="1" x14ac:dyDescent="0.3">
      <c r="A621" s="100" t="s">
        <v>392</v>
      </c>
      <c r="B621" s="101" t="s">
        <v>50</v>
      </c>
      <c r="C621" s="101" t="s">
        <v>2078</v>
      </c>
      <c r="D621" s="101" t="s">
        <v>2079</v>
      </c>
      <c r="E621" s="102">
        <v>45853</v>
      </c>
      <c r="F621" s="101" t="s">
        <v>842</v>
      </c>
      <c r="G621" s="101" t="s">
        <v>843</v>
      </c>
      <c r="H621" s="103">
        <v>22000</v>
      </c>
      <c r="I621" s="133">
        <v>0.45100000000000001</v>
      </c>
      <c r="J621" s="104" t="s">
        <v>1977</v>
      </c>
      <c r="K621" s="104" t="s">
        <v>1540</v>
      </c>
    </row>
    <row r="622" spans="1:11" hidden="1" x14ac:dyDescent="0.3">
      <c r="A622" s="100" t="s">
        <v>392</v>
      </c>
      <c r="B622" s="101" t="s">
        <v>50</v>
      </c>
      <c r="C622" s="101" t="s">
        <v>2080</v>
      </c>
      <c r="D622" s="101" t="s">
        <v>2081</v>
      </c>
      <c r="E622" s="102">
        <v>45853</v>
      </c>
      <c r="F622" s="101" t="s">
        <v>372</v>
      </c>
      <c r="G622" s="101" t="s">
        <v>10</v>
      </c>
      <c r="H622" s="103">
        <v>43600</v>
      </c>
      <c r="I622" s="133">
        <v>0.38900000000000001</v>
      </c>
      <c r="J622" s="104" t="s">
        <v>848</v>
      </c>
      <c r="K622" s="104" t="s">
        <v>1540</v>
      </c>
    </row>
    <row r="623" spans="1:11" hidden="1" x14ac:dyDescent="0.3">
      <c r="A623" s="100" t="s">
        <v>392</v>
      </c>
      <c r="B623" s="101" t="s">
        <v>50</v>
      </c>
      <c r="C623" s="101" t="s">
        <v>2082</v>
      </c>
      <c r="D623" s="101" t="s">
        <v>2083</v>
      </c>
      <c r="E623" s="102">
        <v>45853</v>
      </c>
      <c r="F623" s="101" t="s">
        <v>372</v>
      </c>
      <c r="G623" s="101" t="s">
        <v>10</v>
      </c>
      <c r="H623" s="103">
        <v>4000</v>
      </c>
      <c r="I623" s="133">
        <v>0.6</v>
      </c>
      <c r="J623" s="104" t="s">
        <v>848</v>
      </c>
      <c r="K623" s="104" t="s">
        <v>1540</v>
      </c>
    </row>
    <row r="624" spans="1:11" hidden="1" x14ac:dyDescent="0.3">
      <c r="A624" s="100" t="s">
        <v>390</v>
      </c>
      <c r="B624" s="101" t="s">
        <v>50</v>
      </c>
      <c r="C624" s="101" t="s">
        <v>2084</v>
      </c>
      <c r="D624" s="101" t="s">
        <v>2085</v>
      </c>
      <c r="E624" s="102">
        <v>45853</v>
      </c>
      <c r="F624" s="101" t="s">
        <v>619</v>
      </c>
      <c r="G624" s="101" t="s">
        <v>2086</v>
      </c>
      <c r="H624" s="103">
        <v>19500</v>
      </c>
      <c r="I624" s="133">
        <v>0.55600000000000005</v>
      </c>
      <c r="J624" s="104" t="s">
        <v>833</v>
      </c>
      <c r="K624" s="104" t="s">
        <v>1541</v>
      </c>
    </row>
    <row r="625" spans="1:11" hidden="1" x14ac:dyDescent="0.3">
      <c r="A625" s="100" t="s">
        <v>392</v>
      </c>
      <c r="B625" s="101" t="s">
        <v>50</v>
      </c>
      <c r="C625" s="101" t="s">
        <v>2087</v>
      </c>
      <c r="D625" s="101" t="s">
        <v>2088</v>
      </c>
      <c r="E625" s="102">
        <v>45853</v>
      </c>
      <c r="F625" s="101" t="s">
        <v>844</v>
      </c>
      <c r="G625" s="101" t="s">
        <v>846</v>
      </c>
      <c r="H625" s="103">
        <v>11640.93</v>
      </c>
      <c r="I625" s="133">
        <v>0.23100000000000001</v>
      </c>
      <c r="J625" s="104" t="s">
        <v>1977</v>
      </c>
      <c r="K625" s="104" t="s">
        <v>1540</v>
      </c>
    </row>
    <row r="626" spans="1:11" hidden="1" x14ac:dyDescent="0.3">
      <c r="A626" s="100" t="s">
        <v>390</v>
      </c>
      <c r="B626" s="101" t="s">
        <v>50</v>
      </c>
      <c r="C626" s="101" t="s">
        <v>2089</v>
      </c>
      <c r="D626" s="101" t="s">
        <v>2090</v>
      </c>
      <c r="E626" s="102">
        <v>45854</v>
      </c>
      <c r="F626" s="101" t="s">
        <v>371</v>
      </c>
      <c r="G626" s="101" t="s">
        <v>864</v>
      </c>
      <c r="H626" s="103">
        <v>59451.85</v>
      </c>
      <c r="I626" s="133">
        <v>0.153</v>
      </c>
      <c r="J626" s="104" t="s">
        <v>832</v>
      </c>
      <c r="K626" s="104" t="s">
        <v>1541</v>
      </c>
    </row>
    <row r="627" spans="1:11" hidden="1" x14ac:dyDescent="0.3">
      <c r="A627" s="100" t="s">
        <v>392</v>
      </c>
      <c r="B627" s="101" t="s">
        <v>50</v>
      </c>
      <c r="C627" s="101" t="s">
        <v>2091</v>
      </c>
      <c r="D627" s="101" t="s">
        <v>2092</v>
      </c>
      <c r="E627" s="102">
        <v>45854</v>
      </c>
      <c r="F627" s="101" t="s">
        <v>370</v>
      </c>
      <c r="G627" s="101" t="s">
        <v>63</v>
      </c>
      <c r="H627" s="103">
        <v>11000</v>
      </c>
      <c r="I627" s="133">
        <v>0.64500000000000002</v>
      </c>
      <c r="J627" s="104" t="s">
        <v>848</v>
      </c>
      <c r="K627" s="104" t="s">
        <v>1540</v>
      </c>
    </row>
    <row r="628" spans="1:11" hidden="1" x14ac:dyDescent="0.3">
      <c r="A628" s="100" t="s">
        <v>392</v>
      </c>
      <c r="B628" s="101" t="s">
        <v>50</v>
      </c>
      <c r="C628" s="101" t="s">
        <v>2093</v>
      </c>
      <c r="D628" s="101" t="s">
        <v>2094</v>
      </c>
      <c r="E628" s="102">
        <v>45854</v>
      </c>
      <c r="F628" s="101" t="s">
        <v>370</v>
      </c>
      <c r="G628" s="101" t="s">
        <v>63</v>
      </c>
      <c r="H628" s="103">
        <v>6000</v>
      </c>
      <c r="I628" s="133">
        <v>0.7</v>
      </c>
      <c r="J628" s="104" t="s">
        <v>1835</v>
      </c>
      <c r="K628" s="104" t="s">
        <v>1540</v>
      </c>
    </row>
    <row r="629" spans="1:11" hidden="1" x14ac:dyDescent="0.3">
      <c r="A629" s="100" t="s">
        <v>390</v>
      </c>
      <c r="B629" s="101" t="s">
        <v>50</v>
      </c>
      <c r="C629" s="101" t="s">
        <v>2095</v>
      </c>
      <c r="D629" s="101" t="s">
        <v>2096</v>
      </c>
      <c r="E629" s="102">
        <v>45854</v>
      </c>
      <c r="F629" s="101" t="s">
        <v>376</v>
      </c>
      <c r="G629" s="101" t="s">
        <v>14</v>
      </c>
      <c r="H629" s="103">
        <v>11448.470000000001</v>
      </c>
      <c r="I629" s="133">
        <v>0.312</v>
      </c>
      <c r="J629" s="104" t="s">
        <v>832</v>
      </c>
      <c r="K629" s="104" t="s">
        <v>1541</v>
      </c>
    </row>
    <row r="630" spans="1:11" hidden="1" x14ac:dyDescent="0.3">
      <c r="A630" s="100" t="s">
        <v>392</v>
      </c>
      <c r="B630" s="101" t="s">
        <v>50</v>
      </c>
      <c r="C630" s="101" t="s">
        <v>2097</v>
      </c>
      <c r="D630" s="101" t="s">
        <v>2098</v>
      </c>
      <c r="E630" s="102">
        <v>45854</v>
      </c>
      <c r="F630" s="101" t="s">
        <v>370</v>
      </c>
      <c r="G630" s="101" t="s">
        <v>63</v>
      </c>
      <c r="H630" s="103">
        <v>6700</v>
      </c>
      <c r="I630" s="133">
        <v>0.56699999999999995</v>
      </c>
      <c r="J630" s="104" t="s">
        <v>1835</v>
      </c>
      <c r="K630" s="104" t="s">
        <v>1540</v>
      </c>
    </row>
    <row r="631" spans="1:11" hidden="1" x14ac:dyDescent="0.3">
      <c r="A631" s="100" t="s">
        <v>390</v>
      </c>
      <c r="B631" s="101" t="s">
        <v>50</v>
      </c>
      <c r="C631" s="101" t="s">
        <v>2099</v>
      </c>
      <c r="D631" s="101" t="s">
        <v>2100</v>
      </c>
      <c r="E631" s="102">
        <v>45854</v>
      </c>
      <c r="F631" s="101" t="s">
        <v>371</v>
      </c>
      <c r="G631" s="101" t="s">
        <v>864</v>
      </c>
      <c r="H631" s="103">
        <v>14317.13</v>
      </c>
      <c r="I631" s="133">
        <v>0.432</v>
      </c>
      <c r="J631" s="104" t="s">
        <v>832</v>
      </c>
      <c r="K631" s="104" t="s">
        <v>1541</v>
      </c>
    </row>
    <row r="632" spans="1:11" hidden="1" x14ac:dyDescent="0.3">
      <c r="A632" s="100" t="s">
        <v>390</v>
      </c>
      <c r="B632" s="101" t="s">
        <v>50</v>
      </c>
      <c r="C632" s="101" t="s">
        <v>2101</v>
      </c>
      <c r="D632" s="101" t="s">
        <v>2102</v>
      </c>
      <c r="E632" s="102">
        <v>45855</v>
      </c>
      <c r="F632" s="101" t="s">
        <v>371</v>
      </c>
      <c r="G632" s="101" t="s">
        <v>864</v>
      </c>
      <c r="H632" s="103">
        <v>254608.83000000002</v>
      </c>
      <c r="I632" s="133">
        <v>0.17299999999999999</v>
      </c>
      <c r="J632" s="104" t="s">
        <v>833</v>
      </c>
      <c r="K632" s="104" t="s">
        <v>1542</v>
      </c>
    </row>
    <row r="633" spans="1:11" hidden="1" x14ac:dyDescent="0.3">
      <c r="A633" s="100" t="s">
        <v>390</v>
      </c>
      <c r="B633" s="101" t="s">
        <v>50</v>
      </c>
      <c r="C633" s="101" t="s">
        <v>2103</v>
      </c>
      <c r="D633" s="101" t="s">
        <v>2104</v>
      </c>
      <c r="E633" s="102">
        <v>45855</v>
      </c>
      <c r="F633" s="101" t="s">
        <v>371</v>
      </c>
      <c r="G633" s="101" t="s">
        <v>864</v>
      </c>
      <c r="H633" s="103">
        <v>96291.78</v>
      </c>
      <c r="I633" s="133">
        <v>0.17100000000000001</v>
      </c>
      <c r="J633" s="104" t="s">
        <v>833</v>
      </c>
      <c r="K633" s="104" t="s">
        <v>1542</v>
      </c>
    </row>
    <row r="634" spans="1:11" hidden="1" x14ac:dyDescent="0.3">
      <c r="A634" s="100" t="s">
        <v>392</v>
      </c>
      <c r="B634" s="101" t="s">
        <v>50</v>
      </c>
      <c r="C634" s="101" t="s">
        <v>2105</v>
      </c>
      <c r="D634" s="101" t="s">
        <v>2106</v>
      </c>
      <c r="E634" s="102">
        <v>45855</v>
      </c>
      <c r="F634" s="101" t="s">
        <v>370</v>
      </c>
      <c r="G634" s="101" t="s">
        <v>63</v>
      </c>
      <c r="H634" s="103">
        <v>17900</v>
      </c>
      <c r="I634" s="133">
        <v>0.50800000000000001</v>
      </c>
      <c r="J634" s="104" t="s">
        <v>1835</v>
      </c>
      <c r="K634" s="104" t="s">
        <v>1540</v>
      </c>
    </row>
    <row r="635" spans="1:11" hidden="1" x14ac:dyDescent="0.3">
      <c r="A635" s="100" t="s">
        <v>392</v>
      </c>
      <c r="B635" s="101" t="s">
        <v>50</v>
      </c>
      <c r="C635" s="101" t="s">
        <v>2107</v>
      </c>
      <c r="D635" s="101" t="s">
        <v>2108</v>
      </c>
      <c r="E635" s="102">
        <v>45855</v>
      </c>
      <c r="F635" s="101" t="s">
        <v>370</v>
      </c>
      <c r="G635" s="101" t="s">
        <v>63</v>
      </c>
      <c r="H635" s="103">
        <v>8300</v>
      </c>
      <c r="I635" s="133">
        <v>0.56599999999999995</v>
      </c>
      <c r="J635" s="104" t="s">
        <v>1835</v>
      </c>
      <c r="K635" s="104" t="s">
        <v>1540</v>
      </c>
    </row>
    <row r="636" spans="1:11" hidden="1" x14ac:dyDescent="0.3">
      <c r="A636" s="100" t="s">
        <v>390</v>
      </c>
      <c r="B636" s="101" t="s">
        <v>50</v>
      </c>
      <c r="C636" s="101" t="s">
        <v>2109</v>
      </c>
      <c r="D636" s="101" t="s">
        <v>1975</v>
      </c>
      <c r="E636" s="102">
        <v>45856</v>
      </c>
      <c r="F636" s="101" t="s">
        <v>372</v>
      </c>
      <c r="G636" s="101" t="s">
        <v>10</v>
      </c>
      <c r="H636" s="103">
        <v>104036.54</v>
      </c>
      <c r="I636" s="133">
        <v>0.28399999999999997</v>
      </c>
      <c r="J636" s="104" t="s">
        <v>833</v>
      </c>
      <c r="K636" s="104" t="s">
        <v>1542</v>
      </c>
    </row>
    <row r="637" spans="1:11" hidden="1" x14ac:dyDescent="0.3">
      <c r="A637" s="100" t="s">
        <v>390</v>
      </c>
      <c r="B637" s="101" t="s">
        <v>50</v>
      </c>
      <c r="C637" s="101" t="s">
        <v>2110</v>
      </c>
      <c r="D637" s="101" t="s">
        <v>2111</v>
      </c>
      <c r="E637" s="102">
        <v>45856</v>
      </c>
      <c r="F637" s="101" t="s">
        <v>372</v>
      </c>
      <c r="G637" s="101" t="s">
        <v>10</v>
      </c>
      <c r="H637" s="103">
        <v>121895.34</v>
      </c>
      <c r="I637" s="133">
        <v>0.25800000000000001</v>
      </c>
      <c r="J637" s="104" t="s">
        <v>833</v>
      </c>
      <c r="K637" s="104" t="s">
        <v>1542</v>
      </c>
    </row>
    <row r="638" spans="1:11" hidden="1" x14ac:dyDescent="0.3">
      <c r="A638" s="100" t="s">
        <v>390</v>
      </c>
      <c r="B638" s="101" t="s">
        <v>50</v>
      </c>
      <c r="C638" s="101" t="s">
        <v>2112</v>
      </c>
      <c r="D638" s="101" t="s">
        <v>2113</v>
      </c>
      <c r="E638" s="102">
        <v>45856</v>
      </c>
      <c r="F638" s="101" t="s">
        <v>371</v>
      </c>
      <c r="G638" s="101" t="s">
        <v>864</v>
      </c>
      <c r="H638" s="103">
        <v>113979.51</v>
      </c>
      <c r="I638" s="133">
        <v>0.22700000000000001</v>
      </c>
      <c r="J638" s="104" t="s">
        <v>833</v>
      </c>
      <c r="K638" s="104" t="s">
        <v>1542</v>
      </c>
    </row>
    <row r="639" spans="1:11" hidden="1" x14ac:dyDescent="0.3">
      <c r="A639" s="100" t="s">
        <v>390</v>
      </c>
      <c r="B639" s="101" t="s">
        <v>50</v>
      </c>
      <c r="C639" s="101" t="s">
        <v>2114</v>
      </c>
      <c r="D639" s="101" t="s">
        <v>2113</v>
      </c>
      <c r="E639" s="102">
        <v>45856</v>
      </c>
      <c r="F639" s="101" t="s">
        <v>371</v>
      </c>
      <c r="G639" s="101" t="s">
        <v>864</v>
      </c>
      <c r="H639" s="103">
        <v>5250</v>
      </c>
      <c r="I639" s="133">
        <v>0.22700000000000001</v>
      </c>
      <c r="J639" s="104" t="s">
        <v>833</v>
      </c>
      <c r="K639" s="104" t="s">
        <v>1542</v>
      </c>
    </row>
    <row r="640" spans="1:11" hidden="1" x14ac:dyDescent="0.3">
      <c r="A640" s="100" t="s">
        <v>390</v>
      </c>
      <c r="B640" s="101" t="s">
        <v>50</v>
      </c>
      <c r="C640" s="101" t="s">
        <v>2115</v>
      </c>
      <c r="D640" s="101" t="s">
        <v>2116</v>
      </c>
      <c r="E640" s="102">
        <v>45856</v>
      </c>
      <c r="F640" s="101" t="s">
        <v>371</v>
      </c>
      <c r="G640" s="101" t="s">
        <v>864</v>
      </c>
      <c r="H640" s="103">
        <v>292437.04000000004</v>
      </c>
      <c r="I640" s="133">
        <v>0.191</v>
      </c>
      <c r="J640" s="104" t="s">
        <v>833</v>
      </c>
      <c r="K640" s="104" t="s">
        <v>1542</v>
      </c>
    </row>
    <row r="641" spans="1:11" hidden="1" x14ac:dyDescent="0.3">
      <c r="A641" s="100" t="s">
        <v>390</v>
      </c>
      <c r="B641" s="101" t="s">
        <v>50</v>
      </c>
      <c r="C641" s="101" t="s">
        <v>2117</v>
      </c>
      <c r="D641" s="101" t="s">
        <v>2116</v>
      </c>
      <c r="E641" s="102">
        <v>45856</v>
      </c>
      <c r="F641" s="101" t="s">
        <v>371</v>
      </c>
      <c r="G641" s="101" t="s">
        <v>864</v>
      </c>
      <c r="H641" s="103">
        <v>5250</v>
      </c>
      <c r="I641" s="133">
        <v>0.191</v>
      </c>
      <c r="J641" s="104" t="s">
        <v>833</v>
      </c>
      <c r="K641" s="104" t="s">
        <v>1542</v>
      </c>
    </row>
    <row r="642" spans="1:11" hidden="1" x14ac:dyDescent="0.3">
      <c r="A642" s="100" t="s">
        <v>392</v>
      </c>
      <c r="B642" s="101" t="s">
        <v>50</v>
      </c>
      <c r="C642" s="101" t="s">
        <v>2118</v>
      </c>
      <c r="D642" s="101" t="s">
        <v>2119</v>
      </c>
      <c r="E642" s="102">
        <v>45859</v>
      </c>
      <c r="F642" s="101" t="s">
        <v>842</v>
      </c>
      <c r="G642" s="101" t="s">
        <v>843</v>
      </c>
      <c r="H642" s="103">
        <v>23900</v>
      </c>
      <c r="I642" s="133">
        <v>0.44</v>
      </c>
      <c r="J642" s="104" t="s">
        <v>1977</v>
      </c>
      <c r="K642" s="104" t="s">
        <v>1540</v>
      </c>
    </row>
    <row r="643" spans="1:11" hidden="1" x14ac:dyDescent="0.3">
      <c r="A643" s="100" t="s">
        <v>392</v>
      </c>
      <c r="B643" s="101" t="s">
        <v>50</v>
      </c>
      <c r="C643" s="101" t="s">
        <v>2120</v>
      </c>
      <c r="D643" s="101" t="s">
        <v>2121</v>
      </c>
      <c r="E643" s="102">
        <v>45859</v>
      </c>
      <c r="F643" s="101" t="s">
        <v>372</v>
      </c>
      <c r="G643" s="101" t="s">
        <v>10</v>
      </c>
      <c r="H643" s="103">
        <v>62532</v>
      </c>
      <c r="I643" s="133">
        <v>0.47099999999999997</v>
      </c>
      <c r="J643" s="104" t="s">
        <v>848</v>
      </c>
      <c r="K643" s="104" t="s">
        <v>1540</v>
      </c>
    </row>
    <row r="644" spans="1:11" hidden="1" x14ac:dyDescent="0.3">
      <c r="A644" s="100" t="s">
        <v>392</v>
      </c>
      <c r="B644" s="101" t="s">
        <v>50</v>
      </c>
      <c r="C644" s="101" t="s">
        <v>2122</v>
      </c>
      <c r="D644" s="101" t="s">
        <v>2123</v>
      </c>
      <c r="E644" s="102">
        <v>45859</v>
      </c>
      <c r="F644" s="101" t="s">
        <v>374</v>
      </c>
      <c r="G644" s="101" t="s">
        <v>2124</v>
      </c>
      <c r="H644" s="103">
        <v>7700</v>
      </c>
      <c r="I644" s="133">
        <v>0.63600000000000001</v>
      </c>
      <c r="J644" s="104" t="s">
        <v>848</v>
      </c>
      <c r="K644" s="104" t="s">
        <v>1540</v>
      </c>
    </row>
    <row r="645" spans="1:11" hidden="1" x14ac:dyDescent="0.3">
      <c r="A645" s="100" t="s">
        <v>392</v>
      </c>
      <c r="B645" s="101" t="s">
        <v>50</v>
      </c>
      <c r="C645" s="101" t="s">
        <v>2125</v>
      </c>
      <c r="D645" s="101" t="s">
        <v>2126</v>
      </c>
      <c r="E645" s="102">
        <v>45860</v>
      </c>
      <c r="F645" s="101" t="s">
        <v>371</v>
      </c>
      <c r="G645" s="101" t="s">
        <v>864</v>
      </c>
      <c r="H645" s="103">
        <v>7063.22</v>
      </c>
      <c r="I645" s="133">
        <v>0.78100000000000003</v>
      </c>
      <c r="J645" s="104" t="s">
        <v>1018</v>
      </c>
      <c r="K645" s="104" t="s">
        <v>1540</v>
      </c>
    </row>
    <row r="646" spans="1:11" hidden="1" x14ac:dyDescent="0.3">
      <c r="A646" s="100" t="s">
        <v>390</v>
      </c>
      <c r="B646" s="101" t="s">
        <v>50</v>
      </c>
      <c r="C646" s="101" t="s">
        <v>2127</v>
      </c>
      <c r="D646" s="101" t="s">
        <v>2128</v>
      </c>
      <c r="E646" s="102">
        <v>45860</v>
      </c>
      <c r="F646" s="101" t="s">
        <v>370</v>
      </c>
      <c r="G646" s="101" t="s">
        <v>63</v>
      </c>
      <c r="H646" s="103">
        <v>8500</v>
      </c>
      <c r="I646" s="133">
        <v>0.52500000000000002</v>
      </c>
      <c r="J646" s="104" t="s">
        <v>1835</v>
      </c>
      <c r="K646" s="104" t="s">
        <v>1541</v>
      </c>
    </row>
    <row r="647" spans="1:11" hidden="1" x14ac:dyDescent="0.3">
      <c r="A647" s="100" t="s">
        <v>390</v>
      </c>
      <c r="B647" s="101" t="s">
        <v>50</v>
      </c>
      <c r="C647" s="101" t="s">
        <v>2129</v>
      </c>
      <c r="D647" s="101" t="s">
        <v>2130</v>
      </c>
      <c r="E647" s="102">
        <v>45860</v>
      </c>
      <c r="F647" s="101" t="s">
        <v>2131</v>
      </c>
      <c r="G647" s="101" t="s">
        <v>2132</v>
      </c>
      <c r="H647" s="103">
        <v>12600</v>
      </c>
      <c r="I647" s="133">
        <v>0.68200000000000005</v>
      </c>
      <c r="J647" s="104" t="s">
        <v>831</v>
      </c>
      <c r="K647" s="104" t="s">
        <v>1541</v>
      </c>
    </row>
    <row r="648" spans="1:11" hidden="1" x14ac:dyDescent="0.3">
      <c r="A648" s="100" t="s">
        <v>392</v>
      </c>
      <c r="B648" s="101" t="s">
        <v>50</v>
      </c>
      <c r="C648" s="101" t="s">
        <v>2133</v>
      </c>
      <c r="D648" s="101" t="s">
        <v>2134</v>
      </c>
      <c r="E648" s="102">
        <v>45860</v>
      </c>
      <c r="F648" s="101" t="s">
        <v>371</v>
      </c>
      <c r="G648" s="101" t="s">
        <v>864</v>
      </c>
      <c r="H648" s="103">
        <v>7400</v>
      </c>
      <c r="I648" s="133">
        <v>0.86299999999999999</v>
      </c>
      <c r="J648" s="104" t="s">
        <v>1018</v>
      </c>
      <c r="K648" s="104" t="s">
        <v>1540</v>
      </c>
    </row>
    <row r="649" spans="1:11" hidden="1" x14ac:dyDescent="0.3">
      <c r="A649" s="100" t="s">
        <v>390</v>
      </c>
      <c r="B649" s="101" t="s">
        <v>50</v>
      </c>
      <c r="C649" s="101" t="s">
        <v>2135</v>
      </c>
      <c r="D649" s="101" t="s">
        <v>2136</v>
      </c>
      <c r="E649" s="102">
        <v>45860</v>
      </c>
      <c r="F649" s="101" t="s">
        <v>372</v>
      </c>
      <c r="G649" s="101" t="s">
        <v>10</v>
      </c>
      <c r="H649" s="103">
        <v>3540</v>
      </c>
      <c r="I649" s="133">
        <v>0.25900000000000001</v>
      </c>
      <c r="J649" s="104" t="s">
        <v>833</v>
      </c>
      <c r="K649" s="104" t="s">
        <v>1542</v>
      </c>
    </row>
    <row r="650" spans="1:11" hidden="1" x14ac:dyDescent="0.3">
      <c r="A650" s="100" t="s">
        <v>390</v>
      </c>
      <c r="B650" s="101" t="s">
        <v>50</v>
      </c>
      <c r="C650" s="101" t="s">
        <v>2137</v>
      </c>
      <c r="D650" s="101" t="s">
        <v>2138</v>
      </c>
      <c r="E650" s="102">
        <v>45860</v>
      </c>
      <c r="F650" s="101" t="s">
        <v>371</v>
      </c>
      <c r="G650" s="101" t="s">
        <v>864</v>
      </c>
      <c r="H650" s="103">
        <v>13197.19</v>
      </c>
      <c r="I650" s="133">
        <v>0.191</v>
      </c>
      <c r="J650" s="104" t="s">
        <v>832</v>
      </c>
      <c r="K650" s="104" t="s">
        <v>1541</v>
      </c>
    </row>
    <row r="651" spans="1:11" hidden="1" x14ac:dyDescent="0.3">
      <c r="A651" s="100" t="s">
        <v>390</v>
      </c>
      <c r="B651" s="101" t="s">
        <v>50</v>
      </c>
      <c r="C651" s="101" t="s">
        <v>2139</v>
      </c>
      <c r="D651" s="101" t="s">
        <v>2140</v>
      </c>
      <c r="E651" s="102">
        <v>45861</v>
      </c>
      <c r="F651" s="101" t="s">
        <v>371</v>
      </c>
      <c r="G651" s="101" t="s">
        <v>864</v>
      </c>
      <c r="H651" s="103">
        <v>24548.080000000002</v>
      </c>
      <c r="I651" s="133">
        <v>0.183</v>
      </c>
      <c r="J651" s="104" t="s">
        <v>832</v>
      </c>
      <c r="K651" s="104" t="s">
        <v>1541</v>
      </c>
    </row>
    <row r="652" spans="1:11" hidden="1" x14ac:dyDescent="0.3">
      <c r="A652" s="100" t="s">
        <v>390</v>
      </c>
      <c r="B652" s="101" t="s">
        <v>50</v>
      </c>
      <c r="C652" s="101" t="s">
        <v>2141</v>
      </c>
      <c r="D652" s="101" t="s">
        <v>2142</v>
      </c>
      <c r="E652" s="102">
        <v>45861</v>
      </c>
      <c r="F652" s="101" t="s">
        <v>371</v>
      </c>
      <c r="G652" s="101" t="s">
        <v>864</v>
      </c>
      <c r="H652" s="103">
        <v>39445.770000000004</v>
      </c>
      <c r="I652" s="133">
        <v>0.16500000000000001</v>
      </c>
      <c r="J652" s="104" t="s">
        <v>832</v>
      </c>
      <c r="K652" s="104" t="s">
        <v>1541</v>
      </c>
    </row>
    <row r="653" spans="1:11" hidden="1" x14ac:dyDescent="0.3">
      <c r="A653" s="100" t="s">
        <v>390</v>
      </c>
      <c r="B653" s="101" t="s">
        <v>50</v>
      </c>
      <c r="C653" s="101" t="s">
        <v>2143</v>
      </c>
      <c r="D653" s="101" t="s">
        <v>2144</v>
      </c>
      <c r="E653" s="102">
        <v>45861</v>
      </c>
      <c r="F653" s="101" t="s">
        <v>371</v>
      </c>
      <c r="G653" s="101" t="s">
        <v>864</v>
      </c>
      <c r="H653" s="103">
        <v>26871.34</v>
      </c>
      <c r="I653" s="133">
        <v>0.18099999999999999</v>
      </c>
      <c r="J653" s="104" t="s">
        <v>832</v>
      </c>
      <c r="K653" s="104" t="s">
        <v>1541</v>
      </c>
    </row>
    <row r="654" spans="1:11" hidden="1" x14ac:dyDescent="0.3">
      <c r="A654" s="100" t="s">
        <v>390</v>
      </c>
      <c r="B654" s="101" t="s">
        <v>50</v>
      </c>
      <c r="C654" s="101" t="s">
        <v>2145</v>
      </c>
      <c r="D654" s="101" t="s">
        <v>2146</v>
      </c>
      <c r="E654" s="102">
        <v>45861</v>
      </c>
      <c r="F654" s="101" t="s">
        <v>371</v>
      </c>
      <c r="G654" s="101" t="s">
        <v>864</v>
      </c>
      <c r="H654" s="103">
        <v>36721.11</v>
      </c>
      <c r="I654" s="133">
        <v>0.219</v>
      </c>
      <c r="J654" s="104" t="s">
        <v>832</v>
      </c>
      <c r="K654" s="104" t="s">
        <v>1541</v>
      </c>
    </row>
    <row r="655" spans="1:11" hidden="1" x14ac:dyDescent="0.3">
      <c r="A655" s="100" t="s">
        <v>390</v>
      </c>
      <c r="B655" s="101" t="s">
        <v>50</v>
      </c>
      <c r="C655" s="101" t="s">
        <v>2147</v>
      </c>
      <c r="D655" s="101" t="s">
        <v>2148</v>
      </c>
      <c r="E655" s="102">
        <v>45861</v>
      </c>
      <c r="F655" s="101" t="s">
        <v>371</v>
      </c>
      <c r="G655" s="101" t="s">
        <v>864</v>
      </c>
      <c r="H655" s="103">
        <v>51369.54</v>
      </c>
      <c r="I655" s="133">
        <v>0.17899999999999999</v>
      </c>
      <c r="J655" s="104" t="s">
        <v>832</v>
      </c>
      <c r="K655" s="104" t="s">
        <v>1541</v>
      </c>
    </row>
    <row r="656" spans="1:11" hidden="1" x14ac:dyDescent="0.3">
      <c r="A656" s="100" t="s">
        <v>390</v>
      </c>
      <c r="B656" s="101" t="s">
        <v>50</v>
      </c>
      <c r="C656" s="101" t="s">
        <v>2149</v>
      </c>
      <c r="D656" s="101" t="s">
        <v>2150</v>
      </c>
      <c r="E656" s="102">
        <v>45861</v>
      </c>
      <c r="F656" s="101" t="s">
        <v>371</v>
      </c>
      <c r="G656" s="101" t="s">
        <v>864</v>
      </c>
      <c r="H656" s="103">
        <v>35655.1</v>
      </c>
      <c r="I656" s="133">
        <v>0.2</v>
      </c>
      <c r="J656" s="104" t="s">
        <v>832</v>
      </c>
      <c r="K656" s="104" t="s">
        <v>1541</v>
      </c>
    </row>
    <row r="657" spans="1:11" hidden="1" x14ac:dyDescent="0.3">
      <c r="A657" s="100" t="s">
        <v>390</v>
      </c>
      <c r="B657" s="101" t="s">
        <v>50</v>
      </c>
      <c r="C657" s="101" t="s">
        <v>2151</v>
      </c>
      <c r="D657" s="101" t="s">
        <v>2152</v>
      </c>
      <c r="E657" s="102">
        <v>45861</v>
      </c>
      <c r="F657" s="101" t="s">
        <v>370</v>
      </c>
      <c r="G657" s="101" t="s">
        <v>63</v>
      </c>
      <c r="H657" s="103">
        <v>17200</v>
      </c>
      <c r="I657" s="133">
        <v>0.52900000000000003</v>
      </c>
      <c r="J657" s="104" t="s">
        <v>1835</v>
      </c>
      <c r="K657" s="104" t="s">
        <v>1541</v>
      </c>
    </row>
    <row r="658" spans="1:11" hidden="1" x14ac:dyDescent="0.3">
      <c r="A658" s="100" t="s">
        <v>392</v>
      </c>
      <c r="B658" s="101" t="s">
        <v>50</v>
      </c>
      <c r="C658" s="101" t="s">
        <v>2153</v>
      </c>
      <c r="D658" s="101" t="s">
        <v>2154</v>
      </c>
      <c r="E658" s="102">
        <v>45861</v>
      </c>
      <c r="F658" s="101" t="s">
        <v>370</v>
      </c>
      <c r="G658" s="101" t="s">
        <v>63</v>
      </c>
      <c r="H658" s="103">
        <v>8500</v>
      </c>
      <c r="I658" s="133">
        <v>0.63500000000000001</v>
      </c>
      <c r="J658" s="104" t="s">
        <v>1835</v>
      </c>
      <c r="K658" s="104" t="s">
        <v>1540</v>
      </c>
    </row>
    <row r="659" spans="1:11" hidden="1" x14ac:dyDescent="0.3">
      <c r="A659" s="100" t="s">
        <v>392</v>
      </c>
      <c r="B659" s="101" t="s">
        <v>50</v>
      </c>
      <c r="C659" s="101" t="s">
        <v>2155</v>
      </c>
      <c r="D659" s="101" t="s">
        <v>2156</v>
      </c>
      <c r="E659" s="102">
        <v>45862</v>
      </c>
      <c r="F659" s="101" t="s">
        <v>370</v>
      </c>
      <c r="G659" s="101" t="s">
        <v>63</v>
      </c>
      <c r="H659" s="103">
        <v>13300</v>
      </c>
      <c r="I659" s="133">
        <v>0.72899999999999998</v>
      </c>
      <c r="J659" s="104" t="s">
        <v>1835</v>
      </c>
      <c r="K659" s="104" t="s">
        <v>1540</v>
      </c>
    </row>
    <row r="660" spans="1:11" hidden="1" x14ac:dyDescent="0.3">
      <c r="A660" s="100" t="s">
        <v>392</v>
      </c>
      <c r="B660" s="101" t="s">
        <v>50</v>
      </c>
      <c r="C660" s="101" t="s">
        <v>2157</v>
      </c>
      <c r="D660" s="101" t="s">
        <v>2158</v>
      </c>
      <c r="E660" s="102">
        <v>45862</v>
      </c>
      <c r="F660" s="101" t="s">
        <v>370</v>
      </c>
      <c r="G660" s="101" t="s">
        <v>63</v>
      </c>
      <c r="H660" s="103">
        <v>650</v>
      </c>
      <c r="I660" s="133">
        <v>0.375</v>
      </c>
      <c r="J660" s="104" t="s">
        <v>848</v>
      </c>
      <c r="K660" s="104" t="s">
        <v>1540</v>
      </c>
    </row>
    <row r="661" spans="1:11" hidden="1" x14ac:dyDescent="0.3">
      <c r="A661" s="100" t="s">
        <v>392</v>
      </c>
      <c r="B661" s="101" t="s">
        <v>50</v>
      </c>
      <c r="C661" s="101" t="s">
        <v>2159</v>
      </c>
      <c r="D661" s="101" t="s">
        <v>2160</v>
      </c>
      <c r="E661" s="102">
        <v>45862</v>
      </c>
      <c r="F661" s="101" t="s">
        <v>370</v>
      </c>
      <c r="G661" s="101" t="s">
        <v>63</v>
      </c>
      <c r="H661" s="103">
        <v>8150</v>
      </c>
      <c r="I661" s="133">
        <v>0.55800000000000005</v>
      </c>
      <c r="J661" s="104" t="s">
        <v>1835</v>
      </c>
      <c r="K661" s="104" t="s">
        <v>1540</v>
      </c>
    </row>
    <row r="662" spans="1:11" hidden="1" x14ac:dyDescent="0.3">
      <c r="A662" s="100" t="s">
        <v>390</v>
      </c>
      <c r="B662" s="101" t="s">
        <v>50</v>
      </c>
      <c r="C662" s="101" t="s">
        <v>2161</v>
      </c>
      <c r="D662" s="101" t="s">
        <v>2162</v>
      </c>
      <c r="E662" s="102">
        <v>45862</v>
      </c>
      <c r="F662" s="101" t="s">
        <v>372</v>
      </c>
      <c r="G662" s="101" t="s">
        <v>10</v>
      </c>
      <c r="H662" s="103">
        <v>75524.56</v>
      </c>
      <c r="I662" s="133">
        <v>0.23599999999999999</v>
      </c>
      <c r="J662" s="104" t="s">
        <v>833</v>
      </c>
      <c r="K662" s="104" t="s">
        <v>1542</v>
      </c>
    </row>
    <row r="663" spans="1:11" hidden="1" x14ac:dyDescent="0.3">
      <c r="A663" s="100" t="s">
        <v>392</v>
      </c>
      <c r="B663" s="101" t="s">
        <v>50</v>
      </c>
      <c r="C663" s="101" t="s">
        <v>2163</v>
      </c>
      <c r="D663" s="101" t="s">
        <v>2164</v>
      </c>
      <c r="E663" s="102">
        <v>45862</v>
      </c>
      <c r="F663" s="101" t="s">
        <v>372</v>
      </c>
      <c r="G663" s="101" t="s">
        <v>10</v>
      </c>
      <c r="H663" s="103">
        <v>42400</v>
      </c>
      <c r="I663" s="133">
        <v>0.39200000000000002</v>
      </c>
      <c r="J663" s="104" t="s">
        <v>848</v>
      </c>
      <c r="K663" s="104" t="s">
        <v>1540</v>
      </c>
    </row>
    <row r="664" spans="1:11" hidden="1" x14ac:dyDescent="0.3">
      <c r="A664" s="100" t="s">
        <v>392</v>
      </c>
      <c r="B664" s="101" t="s">
        <v>50</v>
      </c>
      <c r="C664" s="101" t="s">
        <v>2165</v>
      </c>
      <c r="D664" s="101" t="s">
        <v>2166</v>
      </c>
      <c r="E664" s="102">
        <v>45862</v>
      </c>
      <c r="F664" s="101" t="s">
        <v>372</v>
      </c>
      <c r="G664" s="101" t="s">
        <v>10</v>
      </c>
      <c r="H664" s="103">
        <v>4900</v>
      </c>
      <c r="I664" s="133">
        <v>0.67300000000000004</v>
      </c>
      <c r="J664" s="104" t="s">
        <v>848</v>
      </c>
      <c r="K664" s="104" t="s">
        <v>1540</v>
      </c>
    </row>
    <row r="665" spans="1:11" hidden="1" x14ac:dyDescent="0.3">
      <c r="A665" s="100" t="s">
        <v>390</v>
      </c>
      <c r="B665" s="101" t="s">
        <v>50</v>
      </c>
      <c r="C665" s="101" t="s">
        <v>2167</v>
      </c>
      <c r="D665" s="101" t="s">
        <v>2168</v>
      </c>
      <c r="E665" s="102">
        <v>45862</v>
      </c>
      <c r="F665" s="101" t="s">
        <v>371</v>
      </c>
      <c r="G665" s="101" t="s">
        <v>864</v>
      </c>
      <c r="H665" s="103">
        <v>32941.020000000004</v>
      </c>
      <c r="I665" s="133">
        <v>0.19400000000000001</v>
      </c>
      <c r="J665" s="104" t="s">
        <v>832</v>
      </c>
      <c r="K665" s="104" t="s">
        <v>1541</v>
      </c>
    </row>
    <row r="666" spans="1:11" hidden="1" x14ac:dyDescent="0.3">
      <c r="A666" s="100" t="s">
        <v>392</v>
      </c>
      <c r="B666" s="101" t="s">
        <v>50</v>
      </c>
      <c r="C666" s="101" t="s">
        <v>2169</v>
      </c>
      <c r="D666" s="101" t="s">
        <v>2170</v>
      </c>
      <c r="E666" s="102">
        <v>45861</v>
      </c>
      <c r="F666" s="101" t="s">
        <v>842</v>
      </c>
      <c r="G666" s="101" t="s">
        <v>843</v>
      </c>
      <c r="H666" s="103">
        <v>22000</v>
      </c>
      <c r="I666" s="133">
        <v>0.45</v>
      </c>
      <c r="J666" s="104" t="s">
        <v>1977</v>
      </c>
      <c r="K666" s="104" t="s">
        <v>1540</v>
      </c>
    </row>
    <row r="667" spans="1:11" hidden="1" x14ac:dyDescent="0.3">
      <c r="A667" s="100" t="s">
        <v>392</v>
      </c>
      <c r="B667" s="101" t="s">
        <v>50</v>
      </c>
      <c r="C667" s="101" t="s">
        <v>2171</v>
      </c>
      <c r="D667" s="101" t="s">
        <v>2172</v>
      </c>
      <c r="E667" s="102">
        <v>45863</v>
      </c>
      <c r="F667" s="101" t="s">
        <v>370</v>
      </c>
      <c r="G667" s="101" t="s">
        <v>63</v>
      </c>
      <c r="H667" s="103">
        <v>9300</v>
      </c>
      <c r="I667" s="133">
        <v>0.71</v>
      </c>
      <c r="J667" s="104" t="s">
        <v>1835</v>
      </c>
      <c r="K667" s="104" t="s">
        <v>1540</v>
      </c>
    </row>
    <row r="668" spans="1:11" hidden="1" x14ac:dyDescent="0.3">
      <c r="A668" s="100" t="s">
        <v>392</v>
      </c>
      <c r="B668" s="101" t="s">
        <v>50</v>
      </c>
      <c r="C668" s="101" t="s">
        <v>2173</v>
      </c>
      <c r="D668" s="101" t="s">
        <v>2174</v>
      </c>
      <c r="E668" s="102">
        <v>45863</v>
      </c>
      <c r="F668" s="101" t="s">
        <v>370</v>
      </c>
      <c r="G668" s="101" t="s">
        <v>63</v>
      </c>
      <c r="H668" s="103">
        <v>8300</v>
      </c>
      <c r="I668" s="133">
        <v>0.54200000000000004</v>
      </c>
      <c r="J668" s="104" t="s">
        <v>848</v>
      </c>
      <c r="K668" s="104" t="s">
        <v>1540</v>
      </c>
    </row>
    <row r="669" spans="1:11" hidden="1" x14ac:dyDescent="0.3">
      <c r="A669" s="100" t="s">
        <v>390</v>
      </c>
      <c r="B669" s="101" t="s">
        <v>50</v>
      </c>
      <c r="C669" s="101" t="s">
        <v>2175</v>
      </c>
      <c r="D669" s="101" t="s">
        <v>2176</v>
      </c>
      <c r="E669" s="102">
        <v>45863</v>
      </c>
      <c r="F669" s="101" t="s">
        <v>371</v>
      </c>
      <c r="G669" s="101" t="s">
        <v>864</v>
      </c>
      <c r="H669" s="103">
        <v>414700.39</v>
      </c>
      <c r="I669" s="133">
        <v>0.16400000000000001</v>
      </c>
      <c r="J669" s="104" t="s">
        <v>833</v>
      </c>
      <c r="K669" s="104" t="s">
        <v>1542</v>
      </c>
    </row>
    <row r="670" spans="1:11" hidden="1" x14ac:dyDescent="0.3">
      <c r="A670" s="100" t="s">
        <v>390</v>
      </c>
      <c r="B670" s="101" t="s">
        <v>50</v>
      </c>
      <c r="C670" s="101" t="s">
        <v>2177</v>
      </c>
      <c r="D670" s="101" t="s">
        <v>2178</v>
      </c>
      <c r="E670" s="102">
        <v>45863</v>
      </c>
      <c r="F670" s="101" t="s">
        <v>371</v>
      </c>
      <c r="G670" s="101" t="s">
        <v>864</v>
      </c>
      <c r="H670" s="103">
        <v>38196.33</v>
      </c>
      <c r="I670" s="133">
        <v>0.223</v>
      </c>
      <c r="J670" s="104" t="s">
        <v>832</v>
      </c>
      <c r="K670" s="104" t="s">
        <v>1541</v>
      </c>
    </row>
    <row r="671" spans="1:11" hidden="1" x14ac:dyDescent="0.3">
      <c r="A671" s="100" t="s">
        <v>390</v>
      </c>
      <c r="B671" s="101" t="s">
        <v>50</v>
      </c>
      <c r="C671" s="101" t="s">
        <v>2179</v>
      </c>
      <c r="D671" s="101" t="s">
        <v>2180</v>
      </c>
      <c r="E671" s="102">
        <v>45863</v>
      </c>
      <c r="F671" s="101" t="s">
        <v>371</v>
      </c>
      <c r="G671" s="101" t="s">
        <v>864</v>
      </c>
      <c r="H671" s="103">
        <v>38435.5</v>
      </c>
      <c r="I671" s="133">
        <v>0.222</v>
      </c>
      <c r="J671" s="104" t="s">
        <v>832</v>
      </c>
      <c r="K671" s="104" t="s">
        <v>1541</v>
      </c>
    </row>
    <row r="672" spans="1:11" hidden="1" x14ac:dyDescent="0.3">
      <c r="A672" s="100" t="s">
        <v>390</v>
      </c>
      <c r="B672" s="101" t="s">
        <v>50</v>
      </c>
      <c r="C672" s="101" t="s">
        <v>2181</v>
      </c>
      <c r="D672" s="101" t="s">
        <v>2182</v>
      </c>
      <c r="E672" s="102">
        <v>45863</v>
      </c>
      <c r="F672" s="101" t="s">
        <v>371</v>
      </c>
      <c r="G672" s="101" t="s">
        <v>864</v>
      </c>
      <c r="H672" s="103">
        <v>18027.77</v>
      </c>
      <c r="I672" s="133">
        <v>0.20200000000000001</v>
      </c>
      <c r="J672" s="104" t="s">
        <v>832</v>
      </c>
      <c r="K672" s="104" t="s">
        <v>1541</v>
      </c>
    </row>
    <row r="673" spans="1:11" hidden="1" x14ac:dyDescent="0.3">
      <c r="A673" s="100" t="s">
        <v>392</v>
      </c>
      <c r="B673" s="101" t="s">
        <v>50</v>
      </c>
      <c r="C673" s="101" t="s">
        <v>2183</v>
      </c>
      <c r="D673" s="101" t="s">
        <v>2184</v>
      </c>
      <c r="E673" s="102">
        <v>45863</v>
      </c>
      <c r="F673" s="101" t="s">
        <v>370</v>
      </c>
      <c r="G673" s="101" t="s">
        <v>63</v>
      </c>
      <c r="H673" s="103">
        <v>8500</v>
      </c>
      <c r="I673" s="133">
        <v>0.55300000000000005</v>
      </c>
      <c r="J673" s="104" t="s">
        <v>1835</v>
      </c>
      <c r="K673" s="104" t="s">
        <v>1540</v>
      </c>
    </row>
    <row r="674" spans="1:11" hidden="1" x14ac:dyDescent="0.3">
      <c r="A674" s="100" t="s">
        <v>390</v>
      </c>
      <c r="B674" s="101" t="s">
        <v>50</v>
      </c>
      <c r="C674" s="101" t="s">
        <v>2185</v>
      </c>
      <c r="D674" s="101" t="s">
        <v>2186</v>
      </c>
      <c r="E674" s="102">
        <v>45863</v>
      </c>
      <c r="F674" s="101" t="s">
        <v>371</v>
      </c>
      <c r="G674" s="101" t="s">
        <v>864</v>
      </c>
      <c r="H674" s="103">
        <v>103963.82</v>
      </c>
      <c r="I674" s="133">
        <v>0.16700000000000001</v>
      </c>
      <c r="J674" s="104" t="s">
        <v>833</v>
      </c>
      <c r="K674" s="104" t="s">
        <v>1542</v>
      </c>
    </row>
    <row r="675" spans="1:11" hidden="1" x14ac:dyDescent="0.3">
      <c r="A675" s="100" t="s">
        <v>392</v>
      </c>
      <c r="B675" s="101" t="s">
        <v>50</v>
      </c>
      <c r="C675" s="101" t="s">
        <v>2187</v>
      </c>
      <c r="D675" s="101" t="s">
        <v>2188</v>
      </c>
      <c r="E675" s="102">
        <v>45863</v>
      </c>
      <c r="F675" s="101" t="s">
        <v>370</v>
      </c>
      <c r="G675" s="101" t="s">
        <v>63</v>
      </c>
      <c r="H675" s="103">
        <v>7600</v>
      </c>
      <c r="I675" s="133">
        <v>0.76300000000000001</v>
      </c>
      <c r="J675" s="104" t="s">
        <v>848</v>
      </c>
      <c r="K675" s="104" t="s">
        <v>1540</v>
      </c>
    </row>
    <row r="676" spans="1:11" hidden="1" x14ac:dyDescent="0.3">
      <c r="A676" s="100" t="s">
        <v>390</v>
      </c>
      <c r="B676" s="101" t="s">
        <v>50</v>
      </c>
      <c r="C676" s="101" t="s">
        <v>2189</v>
      </c>
      <c r="D676" s="101" t="s">
        <v>2190</v>
      </c>
      <c r="E676" s="102">
        <v>45866</v>
      </c>
      <c r="F676" s="101" t="s">
        <v>372</v>
      </c>
      <c r="G676" s="101" t="s">
        <v>10</v>
      </c>
      <c r="H676" s="103">
        <v>80024.56</v>
      </c>
      <c r="I676" s="133">
        <v>0.27200000000000002</v>
      </c>
      <c r="J676" s="104" t="s">
        <v>833</v>
      </c>
      <c r="K676" s="104" t="s">
        <v>1542</v>
      </c>
    </row>
    <row r="677" spans="1:11" hidden="1" x14ac:dyDescent="0.3">
      <c r="A677" s="100" t="s">
        <v>392</v>
      </c>
      <c r="B677" s="101" t="s">
        <v>50</v>
      </c>
      <c r="C677" s="101" t="s">
        <v>2191</v>
      </c>
      <c r="D677" s="101" t="s">
        <v>2192</v>
      </c>
      <c r="E677" s="102">
        <v>45866</v>
      </c>
      <c r="F677" s="101" t="s">
        <v>372</v>
      </c>
      <c r="G677" s="101" t="s">
        <v>10</v>
      </c>
      <c r="H677" s="103">
        <v>45100</v>
      </c>
      <c r="I677" s="133">
        <v>0.39100000000000001</v>
      </c>
      <c r="J677" s="104" t="s">
        <v>848</v>
      </c>
      <c r="K677" s="104" t="s">
        <v>1540</v>
      </c>
    </row>
    <row r="678" spans="1:11" hidden="1" x14ac:dyDescent="0.3">
      <c r="A678" s="100" t="s">
        <v>392</v>
      </c>
      <c r="B678" s="101" t="s">
        <v>50</v>
      </c>
      <c r="C678" s="101" t="s">
        <v>2193</v>
      </c>
      <c r="D678" s="101" t="s">
        <v>2194</v>
      </c>
      <c r="E678" s="102">
        <v>45866</v>
      </c>
      <c r="F678" s="101" t="s">
        <v>370</v>
      </c>
      <c r="G678" s="101" t="s">
        <v>63</v>
      </c>
      <c r="H678" s="103">
        <v>6600</v>
      </c>
      <c r="I678" s="133">
        <v>0.72699999999999998</v>
      </c>
      <c r="J678" s="104" t="s">
        <v>1835</v>
      </c>
      <c r="K678" s="104" t="s">
        <v>1540</v>
      </c>
    </row>
    <row r="679" spans="1:11" hidden="1" x14ac:dyDescent="0.3">
      <c r="A679" s="100" t="s">
        <v>392</v>
      </c>
      <c r="B679" s="101" t="s">
        <v>50</v>
      </c>
      <c r="C679" s="101" t="s">
        <v>2195</v>
      </c>
      <c r="D679" s="101" t="s">
        <v>2196</v>
      </c>
      <c r="E679" s="102">
        <v>45866</v>
      </c>
      <c r="F679" s="101" t="s">
        <v>370</v>
      </c>
      <c r="G679" s="101" t="s">
        <v>63</v>
      </c>
      <c r="H679" s="103">
        <v>6600</v>
      </c>
      <c r="I679" s="133">
        <v>0.72699999999999998</v>
      </c>
      <c r="J679" s="104" t="s">
        <v>848</v>
      </c>
      <c r="K679" s="104" t="s">
        <v>1540</v>
      </c>
    </row>
    <row r="680" spans="1:11" hidden="1" x14ac:dyDescent="0.3">
      <c r="A680" s="100" t="s">
        <v>390</v>
      </c>
      <c r="B680" s="101" t="s">
        <v>50</v>
      </c>
      <c r="C680" s="101" t="s">
        <v>2197</v>
      </c>
      <c r="D680" s="101" t="s">
        <v>2198</v>
      </c>
      <c r="E680" s="102">
        <v>45866</v>
      </c>
      <c r="F680" s="101" t="s">
        <v>371</v>
      </c>
      <c r="G680" s="101" t="s">
        <v>864</v>
      </c>
      <c r="H680" s="103">
        <v>109574.62</v>
      </c>
      <c r="I680" s="133">
        <v>0.16</v>
      </c>
      <c r="J680" s="104" t="s">
        <v>833</v>
      </c>
      <c r="K680" s="104" t="s">
        <v>1542</v>
      </c>
    </row>
    <row r="681" spans="1:11" hidden="1" x14ac:dyDescent="0.3">
      <c r="A681" s="100" t="s">
        <v>390</v>
      </c>
      <c r="B681" s="101" t="s">
        <v>50</v>
      </c>
      <c r="C681" s="101" t="s">
        <v>2199</v>
      </c>
      <c r="D681" s="101" t="s">
        <v>2200</v>
      </c>
      <c r="E681" s="102">
        <v>45866</v>
      </c>
      <c r="F681" s="101" t="s">
        <v>371</v>
      </c>
      <c r="G681" s="101" t="s">
        <v>864</v>
      </c>
      <c r="H681" s="103">
        <v>13619.41</v>
      </c>
      <c r="I681" s="133">
        <v>0.47799999999999998</v>
      </c>
      <c r="J681" s="104" t="s">
        <v>832</v>
      </c>
      <c r="K681" s="104" t="s">
        <v>1541</v>
      </c>
    </row>
    <row r="682" spans="1:11" hidden="1" x14ac:dyDescent="0.3">
      <c r="A682" s="100" t="s">
        <v>390</v>
      </c>
      <c r="B682" s="101" t="s">
        <v>50</v>
      </c>
      <c r="C682" s="101" t="s">
        <v>2201</v>
      </c>
      <c r="D682" s="101" t="s">
        <v>2202</v>
      </c>
      <c r="E682" s="102">
        <v>45866</v>
      </c>
      <c r="F682" s="101" t="s">
        <v>371</v>
      </c>
      <c r="G682" s="101" t="s">
        <v>864</v>
      </c>
      <c r="H682" s="103">
        <v>15094.63</v>
      </c>
      <c r="I682" s="133">
        <v>0.39600000000000002</v>
      </c>
      <c r="J682" s="104" t="s">
        <v>832</v>
      </c>
      <c r="K682" s="104" t="s">
        <v>1541</v>
      </c>
    </row>
    <row r="683" spans="1:11" hidden="1" x14ac:dyDescent="0.3">
      <c r="A683" s="100" t="s">
        <v>392</v>
      </c>
      <c r="B683" s="101" t="s">
        <v>50</v>
      </c>
      <c r="C683" s="101" t="s">
        <v>2203</v>
      </c>
      <c r="D683" s="101" t="s">
        <v>2204</v>
      </c>
      <c r="E683" s="102">
        <v>45866</v>
      </c>
      <c r="F683" s="101" t="s">
        <v>370</v>
      </c>
      <c r="G683" s="101" t="s">
        <v>63</v>
      </c>
      <c r="H683" s="103">
        <v>7400</v>
      </c>
      <c r="I683" s="133">
        <v>0.75700000000000001</v>
      </c>
      <c r="J683" s="104" t="s">
        <v>1835</v>
      </c>
      <c r="K683" s="104" t="s">
        <v>1540</v>
      </c>
    </row>
    <row r="684" spans="1:11" hidden="1" x14ac:dyDescent="0.3">
      <c r="A684" s="100" t="s">
        <v>390</v>
      </c>
      <c r="B684" s="101" t="s">
        <v>50</v>
      </c>
      <c r="C684" s="101" t="s">
        <v>2205</v>
      </c>
      <c r="D684" s="101" t="s">
        <v>2206</v>
      </c>
      <c r="E684" s="102">
        <v>45866</v>
      </c>
      <c r="F684" s="101" t="s">
        <v>371</v>
      </c>
      <c r="G684" s="101" t="s">
        <v>864</v>
      </c>
      <c r="H684" s="103">
        <v>55790.76</v>
      </c>
      <c r="I684" s="133">
        <v>0.182</v>
      </c>
      <c r="J684" s="104" t="s">
        <v>833</v>
      </c>
      <c r="K684" s="104" t="s">
        <v>1542</v>
      </c>
    </row>
    <row r="685" spans="1:11" hidden="1" x14ac:dyDescent="0.3">
      <c r="A685" s="100" t="s">
        <v>392</v>
      </c>
      <c r="B685" s="101" t="s">
        <v>50</v>
      </c>
      <c r="C685" s="101" t="s">
        <v>2207</v>
      </c>
      <c r="D685" s="101" t="s">
        <v>2208</v>
      </c>
      <c r="E685" s="102">
        <v>45867</v>
      </c>
      <c r="F685" s="101" t="s">
        <v>372</v>
      </c>
      <c r="G685" s="101" t="s">
        <v>10</v>
      </c>
      <c r="H685" s="103">
        <v>43500</v>
      </c>
      <c r="I685" s="133">
        <v>0.38600000000000001</v>
      </c>
      <c r="J685" s="104" t="s">
        <v>848</v>
      </c>
      <c r="K685" s="104" t="s">
        <v>1540</v>
      </c>
    </row>
    <row r="686" spans="1:11" hidden="1" x14ac:dyDescent="0.3">
      <c r="A686" s="100" t="s">
        <v>390</v>
      </c>
      <c r="B686" s="101" t="s">
        <v>50</v>
      </c>
      <c r="C686" s="101" t="s">
        <v>2209</v>
      </c>
      <c r="D686" s="101" t="s">
        <v>2210</v>
      </c>
      <c r="E686" s="102">
        <v>45867</v>
      </c>
      <c r="F686" s="101" t="s">
        <v>371</v>
      </c>
      <c r="G686" s="101" t="s">
        <v>864</v>
      </c>
      <c r="H686" s="103">
        <v>210909.57</v>
      </c>
      <c r="I686" s="133">
        <v>0.16600000000000001</v>
      </c>
      <c r="J686" s="104" t="s">
        <v>833</v>
      </c>
      <c r="K686" s="104" t="s">
        <v>1542</v>
      </c>
    </row>
    <row r="687" spans="1:11" hidden="1" x14ac:dyDescent="0.3">
      <c r="A687" s="100" t="s">
        <v>392</v>
      </c>
      <c r="B687" s="101" t="s">
        <v>50</v>
      </c>
      <c r="C687" s="101" t="s">
        <v>2211</v>
      </c>
      <c r="D687" s="101" t="s">
        <v>2212</v>
      </c>
      <c r="E687" s="102">
        <v>45867</v>
      </c>
      <c r="F687" s="101" t="s">
        <v>370</v>
      </c>
      <c r="G687" s="101" t="s">
        <v>63</v>
      </c>
      <c r="H687" s="103">
        <v>10300</v>
      </c>
      <c r="I687" s="133">
        <v>0.57299999999999995</v>
      </c>
      <c r="J687" s="104" t="s">
        <v>848</v>
      </c>
      <c r="K687" s="104" t="s">
        <v>1540</v>
      </c>
    </row>
    <row r="688" spans="1:11" hidden="1" x14ac:dyDescent="0.3">
      <c r="A688" s="100" t="s">
        <v>392</v>
      </c>
      <c r="B688" s="101" t="s">
        <v>50</v>
      </c>
      <c r="C688" s="101" t="s">
        <v>2213</v>
      </c>
      <c r="D688" s="101" t="s">
        <v>2214</v>
      </c>
      <c r="E688" s="102">
        <v>45867</v>
      </c>
      <c r="F688" s="101" t="s">
        <v>370</v>
      </c>
      <c r="G688" s="101" t="s">
        <v>63</v>
      </c>
      <c r="H688" s="103">
        <v>8500</v>
      </c>
      <c r="I688" s="133">
        <v>0.57599999999999996</v>
      </c>
      <c r="J688" s="104" t="s">
        <v>848</v>
      </c>
      <c r="K688" s="104" t="s">
        <v>1540</v>
      </c>
    </row>
    <row r="689" spans="1:11" hidden="1" x14ac:dyDescent="0.3">
      <c r="A689" s="100" t="s">
        <v>390</v>
      </c>
      <c r="B689" s="101" t="s">
        <v>50</v>
      </c>
      <c r="C689" s="101" t="s">
        <v>2215</v>
      </c>
      <c r="D689" s="101" t="s">
        <v>2216</v>
      </c>
      <c r="E689" s="102">
        <v>45867</v>
      </c>
      <c r="F689" s="101" t="s">
        <v>371</v>
      </c>
      <c r="G689" s="101" t="s">
        <v>864</v>
      </c>
      <c r="H689" s="103">
        <v>155023.51999999999</v>
      </c>
      <c r="I689" s="133">
        <v>0.16300000000000001</v>
      </c>
      <c r="J689" s="104" t="s">
        <v>833</v>
      </c>
      <c r="K689" s="104" t="s">
        <v>1542</v>
      </c>
    </row>
    <row r="690" spans="1:11" hidden="1" x14ac:dyDescent="0.3">
      <c r="A690" s="100" t="s">
        <v>390</v>
      </c>
      <c r="B690" s="101" t="s">
        <v>50</v>
      </c>
      <c r="C690" s="101" t="s">
        <v>2217</v>
      </c>
      <c r="D690" s="101" t="s">
        <v>1016</v>
      </c>
      <c r="E690" s="102">
        <v>45867</v>
      </c>
      <c r="F690" s="101" t="s">
        <v>1595</v>
      </c>
      <c r="G690" s="101" t="s">
        <v>2218</v>
      </c>
      <c r="H690" s="103">
        <v>436050.55</v>
      </c>
      <c r="I690" s="133">
        <v>-2.7E-2</v>
      </c>
      <c r="J690" s="104" t="s">
        <v>1018</v>
      </c>
      <c r="K690" s="104" t="s">
        <v>1542</v>
      </c>
    </row>
    <row r="691" spans="1:11" hidden="1" x14ac:dyDescent="0.3">
      <c r="A691" s="100" t="s">
        <v>390</v>
      </c>
      <c r="B691" s="101" t="s">
        <v>50</v>
      </c>
      <c r="C691" s="101" t="s">
        <v>2219</v>
      </c>
      <c r="D691" s="101" t="s">
        <v>2220</v>
      </c>
      <c r="E691" s="102">
        <v>45867</v>
      </c>
      <c r="F691" s="101" t="s">
        <v>371</v>
      </c>
      <c r="G691" s="101" t="s">
        <v>864</v>
      </c>
      <c r="H691" s="103">
        <v>149822.59</v>
      </c>
      <c r="I691" s="133">
        <v>0.151</v>
      </c>
      <c r="J691" s="104" t="s">
        <v>832</v>
      </c>
      <c r="K691" s="104" t="s">
        <v>1541</v>
      </c>
    </row>
    <row r="692" spans="1:11" hidden="1" x14ac:dyDescent="0.3">
      <c r="A692" s="100" t="s">
        <v>390</v>
      </c>
      <c r="B692" s="101" t="s">
        <v>50</v>
      </c>
      <c r="C692" s="101" t="s">
        <v>2221</v>
      </c>
      <c r="D692" s="101" t="s">
        <v>2222</v>
      </c>
      <c r="E692" s="102">
        <v>45867</v>
      </c>
      <c r="F692" s="101" t="s">
        <v>370</v>
      </c>
      <c r="G692" s="101" t="s">
        <v>63</v>
      </c>
      <c r="H692" s="103">
        <v>30150</v>
      </c>
      <c r="I692" s="133">
        <v>0.39600000000000002</v>
      </c>
      <c r="J692" s="104" t="s">
        <v>1835</v>
      </c>
      <c r="K692" s="104" t="s">
        <v>1541</v>
      </c>
    </row>
    <row r="693" spans="1:11" hidden="1" x14ac:dyDescent="0.3">
      <c r="A693" s="100" t="s">
        <v>390</v>
      </c>
      <c r="B693" s="101" t="s">
        <v>50</v>
      </c>
      <c r="C693" s="101" t="s">
        <v>2223</v>
      </c>
      <c r="D693" s="101" t="s">
        <v>2224</v>
      </c>
      <c r="E693" s="102">
        <v>45868</v>
      </c>
      <c r="F693" s="101" t="s">
        <v>2225</v>
      </c>
      <c r="G693" s="101" t="s">
        <v>2226</v>
      </c>
      <c r="H693" s="103">
        <v>5066.33</v>
      </c>
      <c r="I693" s="133">
        <v>0.245</v>
      </c>
      <c r="J693" s="104" t="s">
        <v>831</v>
      </c>
      <c r="K693" s="104" t="s">
        <v>1540</v>
      </c>
    </row>
    <row r="694" spans="1:11" hidden="1" x14ac:dyDescent="0.3">
      <c r="A694" s="100" t="s">
        <v>392</v>
      </c>
      <c r="B694" s="101" t="s">
        <v>50</v>
      </c>
      <c r="C694" s="101" t="s">
        <v>2227</v>
      </c>
      <c r="D694" s="101" t="s">
        <v>2228</v>
      </c>
      <c r="E694" s="102">
        <v>45868</v>
      </c>
      <c r="F694" s="101" t="s">
        <v>370</v>
      </c>
      <c r="G694" s="101" t="s">
        <v>63</v>
      </c>
      <c r="H694" s="103">
        <v>11100</v>
      </c>
      <c r="I694" s="133">
        <v>0.68500000000000005</v>
      </c>
      <c r="J694" s="104" t="s">
        <v>1835</v>
      </c>
      <c r="K694" s="104" t="s">
        <v>1540</v>
      </c>
    </row>
    <row r="695" spans="1:11" hidden="1" x14ac:dyDescent="0.3">
      <c r="A695" s="100" t="s">
        <v>390</v>
      </c>
      <c r="B695" s="101" t="s">
        <v>50</v>
      </c>
      <c r="C695" s="101" t="s">
        <v>2229</v>
      </c>
      <c r="D695" s="101" t="s">
        <v>2230</v>
      </c>
      <c r="E695" s="102">
        <v>45868</v>
      </c>
      <c r="F695" s="101" t="s">
        <v>371</v>
      </c>
      <c r="G695" s="101" t="s">
        <v>864</v>
      </c>
      <c r="H695" s="103">
        <v>22609.72</v>
      </c>
      <c r="I695" s="133">
        <v>0.28399999999999997</v>
      </c>
      <c r="J695" s="104" t="s">
        <v>832</v>
      </c>
      <c r="K695" s="104" t="s">
        <v>1541</v>
      </c>
    </row>
    <row r="696" spans="1:11" hidden="1" x14ac:dyDescent="0.3">
      <c r="A696" s="100" t="s">
        <v>392</v>
      </c>
      <c r="B696" s="101" t="s">
        <v>50</v>
      </c>
      <c r="C696" s="101" t="s">
        <v>2231</v>
      </c>
      <c r="D696" s="101" t="s">
        <v>2232</v>
      </c>
      <c r="E696" s="102">
        <v>45868</v>
      </c>
      <c r="F696" s="101" t="s">
        <v>842</v>
      </c>
      <c r="G696" s="101" t="s">
        <v>843</v>
      </c>
      <c r="H696" s="103">
        <v>22000</v>
      </c>
      <c r="I696" s="133">
        <v>0.44700000000000001</v>
      </c>
      <c r="J696" s="104" t="s">
        <v>1977</v>
      </c>
      <c r="K696" s="104" t="s">
        <v>1540</v>
      </c>
    </row>
    <row r="697" spans="1:11" hidden="1" x14ac:dyDescent="0.3">
      <c r="A697" s="100" t="s">
        <v>390</v>
      </c>
      <c r="B697" s="101" t="s">
        <v>50</v>
      </c>
      <c r="C697" s="101" t="s">
        <v>2233</v>
      </c>
      <c r="D697" s="101" t="s">
        <v>2234</v>
      </c>
      <c r="E697" s="102">
        <v>45869</v>
      </c>
      <c r="F697" s="101" t="s">
        <v>371</v>
      </c>
      <c r="G697" s="101" t="s">
        <v>864</v>
      </c>
      <c r="H697" s="103">
        <v>205461.02</v>
      </c>
      <c r="I697" s="133">
        <v>0.16900000000000001</v>
      </c>
      <c r="J697" s="104" t="s">
        <v>833</v>
      </c>
      <c r="K697" s="104" t="s">
        <v>1542</v>
      </c>
    </row>
    <row r="698" spans="1:11" hidden="1" x14ac:dyDescent="0.3">
      <c r="A698" s="100" t="s">
        <v>390</v>
      </c>
      <c r="B698" s="101" t="s">
        <v>50</v>
      </c>
      <c r="C698" s="101" t="s">
        <v>2235</v>
      </c>
      <c r="D698" s="101" t="s">
        <v>2236</v>
      </c>
      <c r="E698" s="102">
        <v>45869</v>
      </c>
      <c r="F698" s="101" t="s">
        <v>371</v>
      </c>
      <c r="G698" s="101" t="s">
        <v>864</v>
      </c>
      <c r="H698" s="103">
        <v>15901.39</v>
      </c>
      <c r="I698" s="133">
        <v>0.67200000000000004</v>
      </c>
      <c r="J698" s="104" t="s">
        <v>832</v>
      </c>
      <c r="K698" s="104" t="s">
        <v>1541</v>
      </c>
    </row>
    <row r="699" spans="1:11" hidden="1" x14ac:dyDescent="0.3">
      <c r="A699" s="100" t="s">
        <v>390</v>
      </c>
      <c r="B699" s="101" t="s">
        <v>50</v>
      </c>
      <c r="C699" s="101" t="s">
        <v>2237</v>
      </c>
      <c r="D699" s="101" t="s">
        <v>2238</v>
      </c>
      <c r="E699" s="102">
        <v>45869</v>
      </c>
      <c r="F699" s="101" t="s">
        <v>371</v>
      </c>
      <c r="G699" s="101" t="s">
        <v>864</v>
      </c>
      <c r="H699" s="103">
        <v>14112.36</v>
      </c>
      <c r="I699" s="133">
        <v>0.46700000000000003</v>
      </c>
      <c r="J699" s="104" t="s">
        <v>832</v>
      </c>
      <c r="K699" s="104" t="s">
        <v>1541</v>
      </c>
    </row>
    <row r="700" spans="1:11" hidden="1" x14ac:dyDescent="0.3">
      <c r="A700" s="100" t="s">
        <v>390</v>
      </c>
      <c r="B700" s="101" t="s">
        <v>50</v>
      </c>
      <c r="C700" s="101" t="s">
        <v>2239</v>
      </c>
      <c r="D700" s="101" t="s">
        <v>2240</v>
      </c>
      <c r="E700" s="102">
        <v>45869</v>
      </c>
      <c r="F700" s="101" t="s">
        <v>371</v>
      </c>
      <c r="G700" s="101" t="s">
        <v>864</v>
      </c>
      <c r="H700" s="103">
        <v>24622.94</v>
      </c>
      <c r="I700" s="133">
        <v>0.51</v>
      </c>
      <c r="J700" s="104" t="s">
        <v>831</v>
      </c>
      <c r="K700" s="104" t="s">
        <v>1542</v>
      </c>
    </row>
    <row r="701" spans="1:11" hidden="1" x14ac:dyDescent="0.3">
      <c r="A701" s="100" t="s">
        <v>392</v>
      </c>
      <c r="B701" s="101" t="s">
        <v>50</v>
      </c>
      <c r="C701" s="101" t="s">
        <v>2241</v>
      </c>
      <c r="D701" s="101" t="s">
        <v>2242</v>
      </c>
      <c r="E701" s="102">
        <v>45869</v>
      </c>
      <c r="F701" s="101" t="s">
        <v>371</v>
      </c>
      <c r="G701" s="101" t="s">
        <v>864</v>
      </c>
      <c r="H701" s="103">
        <v>7400</v>
      </c>
      <c r="I701" s="133">
        <v>0.86299999999999999</v>
      </c>
      <c r="J701" s="104" t="s">
        <v>1977</v>
      </c>
      <c r="K701" s="104" t="s">
        <v>1540</v>
      </c>
    </row>
    <row r="702" spans="1:11" hidden="1" x14ac:dyDescent="0.3">
      <c r="A702" s="100" t="s">
        <v>392</v>
      </c>
      <c r="B702" s="101" t="s">
        <v>50</v>
      </c>
      <c r="C702" s="101" t="s">
        <v>2243</v>
      </c>
      <c r="D702" s="101" t="s">
        <v>2244</v>
      </c>
      <c r="E702" s="102">
        <v>45869</v>
      </c>
      <c r="F702" s="101" t="s">
        <v>371</v>
      </c>
      <c r="G702" s="101" t="s">
        <v>864</v>
      </c>
      <c r="H702" s="103">
        <v>7400</v>
      </c>
      <c r="I702" s="133">
        <v>0.86299999999999999</v>
      </c>
      <c r="J702" s="104" t="s">
        <v>1977</v>
      </c>
      <c r="K702" s="104" t="s">
        <v>1540</v>
      </c>
    </row>
    <row r="703" spans="1:11" hidden="1" x14ac:dyDescent="0.3">
      <c r="A703" s="100" t="s">
        <v>390</v>
      </c>
      <c r="B703" s="101" t="s">
        <v>50</v>
      </c>
      <c r="C703" s="101" t="s">
        <v>2245</v>
      </c>
      <c r="D703" s="101" t="s">
        <v>2246</v>
      </c>
      <c r="E703" s="102">
        <v>45869</v>
      </c>
      <c r="F703" s="101" t="s">
        <v>371</v>
      </c>
      <c r="G703" s="101" t="s">
        <v>864</v>
      </c>
      <c r="H703" s="103">
        <v>79859.789999999994</v>
      </c>
      <c r="I703" s="133">
        <v>0.23100000000000001</v>
      </c>
      <c r="J703" s="104" t="s">
        <v>833</v>
      </c>
      <c r="K703" s="104" t="s">
        <v>1542</v>
      </c>
    </row>
    <row r="704" spans="1:11" hidden="1" x14ac:dyDescent="0.3">
      <c r="A704" s="100" t="s">
        <v>390</v>
      </c>
      <c r="B704" s="101" t="s">
        <v>50</v>
      </c>
      <c r="C704" s="101" t="s">
        <v>2247</v>
      </c>
      <c r="D704" s="101" t="s">
        <v>2248</v>
      </c>
      <c r="E704" s="102">
        <v>45869</v>
      </c>
      <c r="F704" s="101" t="s">
        <v>371</v>
      </c>
      <c r="G704" s="101" t="s">
        <v>864</v>
      </c>
      <c r="H704" s="103">
        <v>111566.63</v>
      </c>
      <c r="I704" s="133">
        <v>0.16200000000000001</v>
      </c>
      <c r="J704" s="104" t="s">
        <v>832</v>
      </c>
      <c r="K704" s="104" t="s">
        <v>1541</v>
      </c>
    </row>
    <row r="705" spans="1:11" hidden="1" x14ac:dyDescent="0.3">
      <c r="A705" s="100" t="s">
        <v>390</v>
      </c>
      <c r="B705" s="101" t="s">
        <v>50</v>
      </c>
      <c r="C705" s="101" t="s">
        <v>2249</v>
      </c>
      <c r="D705" s="101" t="s">
        <v>1830</v>
      </c>
      <c r="E705" s="102">
        <v>45869</v>
      </c>
      <c r="F705" s="101" t="s">
        <v>1007</v>
      </c>
      <c r="G705" s="101" t="s">
        <v>2250</v>
      </c>
      <c r="H705" s="103">
        <v>28784.92</v>
      </c>
      <c r="I705" s="133">
        <v>0.311</v>
      </c>
      <c r="J705" s="104" t="s">
        <v>831</v>
      </c>
      <c r="K705" s="104" t="s">
        <v>1542</v>
      </c>
    </row>
    <row r="706" spans="1:11" hidden="1" x14ac:dyDescent="0.3">
      <c r="A706" s="100" t="s">
        <v>390</v>
      </c>
      <c r="B706" s="101" t="s">
        <v>50</v>
      </c>
      <c r="C706" s="101" t="s">
        <v>2251</v>
      </c>
      <c r="D706" s="101" t="s">
        <v>1830</v>
      </c>
      <c r="E706" s="102">
        <v>45869</v>
      </c>
      <c r="F706" s="101" t="s">
        <v>1007</v>
      </c>
      <c r="G706" s="101" t="s">
        <v>2250</v>
      </c>
      <c r="H706" s="103">
        <v>1258.5999999999999</v>
      </c>
      <c r="I706" s="133">
        <v>0.311</v>
      </c>
      <c r="J706" s="104" t="s">
        <v>831</v>
      </c>
      <c r="K706" s="104" t="s">
        <v>1542</v>
      </c>
    </row>
    <row r="707" spans="1:11" hidden="1" x14ac:dyDescent="0.3">
      <c r="A707" s="100" t="s">
        <v>392</v>
      </c>
      <c r="B707" s="101" t="s">
        <v>50</v>
      </c>
      <c r="C707" s="101" t="s">
        <v>2252</v>
      </c>
      <c r="D707" s="101" t="s">
        <v>2253</v>
      </c>
      <c r="E707" s="102">
        <v>45869</v>
      </c>
      <c r="F707" s="101" t="s">
        <v>842</v>
      </c>
      <c r="G707" s="101" t="s">
        <v>843</v>
      </c>
      <c r="H707" s="103">
        <v>22000</v>
      </c>
      <c r="I707" s="133">
        <v>0.45100000000000001</v>
      </c>
      <c r="J707" s="104" t="s">
        <v>1977</v>
      </c>
      <c r="K707" s="104" t="s">
        <v>1540</v>
      </c>
    </row>
    <row r="708" spans="1:11" hidden="1" x14ac:dyDescent="0.3">
      <c r="A708" s="100" t="s">
        <v>392</v>
      </c>
      <c r="B708" s="101" t="s">
        <v>50</v>
      </c>
      <c r="C708" s="101" t="s">
        <v>2254</v>
      </c>
      <c r="D708" s="101" t="s">
        <v>2255</v>
      </c>
      <c r="E708" s="102">
        <v>45869</v>
      </c>
      <c r="F708" s="101" t="s">
        <v>842</v>
      </c>
      <c r="G708" s="101" t="s">
        <v>843</v>
      </c>
      <c r="H708" s="103">
        <v>22000</v>
      </c>
      <c r="I708" s="133">
        <v>0.44700000000000001</v>
      </c>
      <c r="J708" s="104" t="s">
        <v>1977</v>
      </c>
      <c r="K708" s="104" t="s">
        <v>1540</v>
      </c>
    </row>
    <row r="709" spans="1:11" hidden="1" x14ac:dyDescent="0.3">
      <c r="A709" s="100" t="s">
        <v>392</v>
      </c>
      <c r="B709" s="101" t="s">
        <v>50</v>
      </c>
      <c r="C709" s="101" t="s">
        <v>2256</v>
      </c>
      <c r="D709" s="101" t="s">
        <v>2257</v>
      </c>
      <c r="E709" s="102">
        <v>45869</v>
      </c>
      <c r="F709" s="101" t="s">
        <v>842</v>
      </c>
      <c r="G709" s="101" t="s">
        <v>843</v>
      </c>
      <c r="H709" s="103">
        <v>22000</v>
      </c>
      <c r="I709" s="133">
        <v>0.44700000000000001</v>
      </c>
      <c r="J709" s="104" t="s">
        <v>1977</v>
      </c>
      <c r="K709" s="104" t="s">
        <v>1540</v>
      </c>
    </row>
    <row r="710" spans="1:11" hidden="1" x14ac:dyDescent="0.3">
      <c r="A710" s="100" t="s">
        <v>390</v>
      </c>
      <c r="B710" s="101" t="s">
        <v>50</v>
      </c>
      <c r="C710" s="101" t="s">
        <v>2258</v>
      </c>
      <c r="D710" s="101" t="s">
        <v>2259</v>
      </c>
      <c r="E710" s="102">
        <v>45869</v>
      </c>
      <c r="F710" s="101" t="s">
        <v>375</v>
      </c>
      <c r="G710" s="101" t="s">
        <v>62</v>
      </c>
      <c r="H710" s="103">
        <v>38892.74</v>
      </c>
      <c r="I710" s="133">
        <v>0.191</v>
      </c>
      <c r="J710" s="104" t="s">
        <v>831</v>
      </c>
      <c r="K710" s="104" t="s">
        <v>1542</v>
      </c>
    </row>
    <row r="711" spans="1:11" hidden="1" x14ac:dyDescent="0.3">
      <c r="A711" s="100" t="s">
        <v>390</v>
      </c>
      <c r="B711" s="101" t="s">
        <v>50</v>
      </c>
      <c r="C711" s="101" t="s">
        <v>2260</v>
      </c>
      <c r="D711" s="101" t="s">
        <v>2104</v>
      </c>
      <c r="E711" s="102">
        <v>45869</v>
      </c>
      <c r="F711" s="101" t="s">
        <v>371</v>
      </c>
      <c r="G711" s="101" t="s">
        <v>864</v>
      </c>
      <c r="H711" s="103">
        <v>10120</v>
      </c>
      <c r="I711" s="133">
        <v>0.17100000000000001</v>
      </c>
      <c r="J711" s="104" t="s">
        <v>833</v>
      </c>
      <c r="K711" s="104" t="s">
        <v>1542</v>
      </c>
    </row>
    <row r="712" spans="1:11" hidden="1" x14ac:dyDescent="0.3">
      <c r="A712" s="100" t="s">
        <v>390</v>
      </c>
      <c r="B712" s="101" t="s">
        <v>50</v>
      </c>
      <c r="C712" s="101" t="s">
        <v>2261</v>
      </c>
      <c r="D712" s="101" t="s">
        <v>2246</v>
      </c>
      <c r="E712" s="102">
        <v>45869</v>
      </c>
      <c r="F712" s="101" t="s">
        <v>371</v>
      </c>
      <c r="G712" s="101" t="s">
        <v>864</v>
      </c>
      <c r="H712" s="103">
        <v>5250</v>
      </c>
      <c r="I712" s="133">
        <v>0.23100000000000001</v>
      </c>
      <c r="J712" s="104" t="s">
        <v>833</v>
      </c>
      <c r="K712" s="104" t="s">
        <v>1542</v>
      </c>
    </row>
    <row r="713" spans="1:11" hidden="1" x14ac:dyDescent="0.3">
      <c r="A713" s="100" t="s">
        <v>390</v>
      </c>
      <c r="B713" s="101" t="s">
        <v>50</v>
      </c>
      <c r="C713" s="101" t="s">
        <v>2262</v>
      </c>
      <c r="D713" s="101" t="s">
        <v>2263</v>
      </c>
      <c r="E713" s="102">
        <v>45869</v>
      </c>
      <c r="F713" s="101" t="s">
        <v>371</v>
      </c>
      <c r="G713" s="101" t="s">
        <v>864</v>
      </c>
      <c r="H713" s="103">
        <v>41496.899999999994</v>
      </c>
      <c r="I713" s="133">
        <v>0.20399999999999999</v>
      </c>
      <c r="J713" s="104" t="s">
        <v>832</v>
      </c>
      <c r="K713" s="104" t="s">
        <v>1541</v>
      </c>
    </row>
    <row r="714" spans="1:11" hidden="1" x14ac:dyDescent="0.3">
      <c r="A714" s="100" t="s">
        <v>392</v>
      </c>
      <c r="B714" s="101" t="s">
        <v>50</v>
      </c>
      <c r="C714" s="101" t="s">
        <v>2264</v>
      </c>
      <c r="D714" s="101" t="s">
        <v>2265</v>
      </c>
      <c r="E714" s="102">
        <v>45869</v>
      </c>
      <c r="F714" s="101" t="s">
        <v>371</v>
      </c>
      <c r="G714" s="101" t="s">
        <v>864</v>
      </c>
      <c r="H714" s="103">
        <v>14800</v>
      </c>
      <c r="I714" s="133">
        <v>0.52400000000000002</v>
      </c>
      <c r="J714" s="104" t="s">
        <v>1977</v>
      </c>
      <c r="K714" s="104" t="s">
        <v>1540</v>
      </c>
    </row>
    <row r="715" spans="1:11" hidden="1" x14ac:dyDescent="0.3">
      <c r="A715" s="100" t="s">
        <v>392</v>
      </c>
      <c r="B715" s="101" t="s">
        <v>50</v>
      </c>
      <c r="C715" s="101" t="s">
        <v>2266</v>
      </c>
      <c r="D715" s="101" t="s">
        <v>2267</v>
      </c>
      <c r="E715" s="102">
        <v>45869</v>
      </c>
      <c r="F715" s="101" t="s">
        <v>371</v>
      </c>
      <c r="G715" s="101" t="s">
        <v>864</v>
      </c>
      <c r="H715" s="103">
        <v>14800</v>
      </c>
      <c r="I715" s="133">
        <v>0.52400000000000002</v>
      </c>
      <c r="J715" s="104" t="s">
        <v>848</v>
      </c>
      <c r="K715" s="104" t="s">
        <v>1540</v>
      </c>
    </row>
    <row r="716" spans="1:11" hidden="1" x14ac:dyDescent="0.3">
      <c r="A716" s="100" t="s">
        <v>392</v>
      </c>
      <c r="B716" s="101" t="s">
        <v>50</v>
      </c>
      <c r="C716" s="101" t="s">
        <v>2268</v>
      </c>
      <c r="D716" s="101" t="s">
        <v>2269</v>
      </c>
      <c r="E716" s="102">
        <v>45869</v>
      </c>
      <c r="F716" s="101" t="s">
        <v>371</v>
      </c>
      <c r="G716" s="101" t="s">
        <v>864</v>
      </c>
      <c r="H716" s="103">
        <v>14800</v>
      </c>
      <c r="I716" s="133">
        <v>0.52400000000000002</v>
      </c>
      <c r="J716" s="104" t="s">
        <v>1977</v>
      </c>
      <c r="K716" s="104" t="s">
        <v>1540</v>
      </c>
    </row>
    <row r="717" spans="1:11" hidden="1" x14ac:dyDescent="0.3">
      <c r="A717" s="100" t="s">
        <v>390</v>
      </c>
      <c r="B717" s="101" t="s">
        <v>50</v>
      </c>
      <c r="C717" s="101" t="s">
        <v>2270</v>
      </c>
      <c r="D717" s="101" t="s">
        <v>2271</v>
      </c>
      <c r="E717" s="102">
        <v>45869</v>
      </c>
      <c r="F717" s="101" t="s">
        <v>371</v>
      </c>
      <c r="G717" s="101" t="s">
        <v>864</v>
      </c>
      <c r="H717" s="103">
        <v>158523.54999999999</v>
      </c>
      <c r="I717" s="133">
        <v>0.156</v>
      </c>
      <c r="J717" s="104" t="s">
        <v>833</v>
      </c>
      <c r="K717" s="104" t="s">
        <v>1542</v>
      </c>
    </row>
    <row r="718" spans="1:11" hidden="1" x14ac:dyDescent="0.3">
      <c r="A718" s="100" t="s">
        <v>390</v>
      </c>
      <c r="B718" s="101" t="s">
        <v>50</v>
      </c>
      <c r="C718" s="101" t="s">
        <v>2272</v>
      </c>
      <c r="D718" s="101" t="s">
        <v>2273</v>
      </c>
      <c r="E718" s="102">
        <v>45869</v>
      </c>
      <c r="F718" s="101" t="s">
        <v>2274</v>
      </c>
      <c r="G718" s="101" t="s">
        <v>2275</v>
      </c>
      <c r="H718" s="103">
        <v>5088</v>
      </c>
      <c r="I718" s="133">
        <v>0.32600000000000001</v>
      </c>
      <c r="J718" s="104" t="s">
        <v>831</v>
      </c>
      <c r="K718" s="104" t="s">
        <v>1542</v>
      </c>
    </row>
    <row r="719" spans="1:11" hidden="1" x14ac:dyDescent="0.3">
      <c r="A719" s="100" t="s">
        <v>392</v>
      </c>
      <c r="B719" s="101" t="s">
        <v>50</v>
      </c>
      <c r="C719" s="101" t="s">
        <v>2276</v>
      </c>
      <c r="D719" s="101" t="s">
        <v>2277</v>
      </c>
      <c r="E719" s="102">
        <v>45848</v>
      </c>
      <c r="F719" s="101" t="s">
        <v>2278</v>
      </c>
      <c r="G719" s="101" t="s">
        <v>846</v>
      </c>
      <c r="H719" s="103">
        <v>111439.8</v>
      </c>
      <c r="I719" s="133">
        <v>0.17899999999999999</v>
      </c>
      <c r="J719" s="104" t="s">
        <v>1977</v>
      </c>
      <c r="K719" s="104" t="s">
        <v>1540</v>
      </c>
    </row>
    <row r="720" spans="1:11" hidden="1" x14ac:dyDescent="0.3">
      <c r="A720" s="100" t="s">
        <v>390</v>
      </c>
      <c r="B720" s="101" t="s">
        <v>50</v>
      </c>
      <c r="C720" s="101" t="s">
        <v>2279</v>
      </c>
      <c r="D720" s="101" t="s">
        <v>2280</v>
      </c>
      <c r="E720" s="102">
        <v>45854</v>
      </c>
      <c r="F720" s="101" t="s">
        <v>2281</v>
      </c>
      <c r="G720" s="101" t="s">
        <v>2282</v>
      </c>
      <c r="H720" s="103">
        <v>3956.337</v>
      </c>
      <c r="I720" s="133">
        <v>1</v>
      </c>
      <c r="J720" s="104" t="s">
        <v>831</v>
      </c>
      <c r="K720" s="104" t="s">
        <v>1542</v>
      </c>
    </row>
    <row r="721" spans="1:11" hidden="1" x14ac:dyDescent="0.3">
      <c r="A721" s="100" t="s">
        <v>390</v>
      </c>
      <c r="B721" s="101" t="s">
        <v>50</v>
      </c>
      <c r="C721" s="101" t="s">
        <v>2283</v>
      </c>
      <c r="D721" s="101" t="s">
        <v>2284</v>
      </c>
      <c r="E721" s="102">
        <v>45855</v>
      </c>
      <c r="F721" s="101" t="s">
        <v>2281</v>
      </c>
      <c r="G721" s="101" t="s">
        <v>2282</v>
      </c>
      <c r="H721" s="103">
        <v>3930.7380000000003</v>
      </c>
      <c r="I721" s="133">
        <v>1</v>
      </c>
      <c r="J721" s="104" t="s">
        <v>831</v>
      </c>
      <c r="K721" s="104" t="s">
        <v>1542</v>
      </c>
    </row>
    <row r="722" spans="1:11" hidden="1" x14ac:dyDescent="0.3">
      <c r="A722" s="100" t="s">
        <v>390</v>
      </c>
      <c r="B722" s="101" t="s">
        <v>50</v>
      </c>
      <c r="C722" s="101" t="s">
        <v>2285</v>
      </c>
      <c r="D722" s="101" t="s">
        <v>2286</v>
      </c>
      <c r="E722" s="102">
        <v>45855</v>
      </c>
      <c r="F722" s="101" t="s">
        <v>2281</v>
      </c>
      <c r="G722" s="101" t="s">
        <v>2282</v>
      </c>
      <c r="H722" s="103">
        <v>3930.7380000000003</v>
      </c>
      <c r="I722" s="133">
        <v>1</v>
      </c>
      <c r="J722" s="104" t="s">
        <v>831</v>
      </c>
      <c r="K722" s="104" t="s">
        <v>1542</v>
      </c>
    </row>
    <row r="723" spans="1:11" hidden="1" x14ac:dyDescent="0.3">
      <c r="A723" s="100" t="s">
        <v>390</v>
      </c>
      <c r="B723" s="101" t="s">
        <v>50</v>
      </c>
      <c r="C723" s="101" t="s">
        <v>2287</v>
      </c>
      <c r="D723" s="101" t="s">
        <v>2273</v>
      </c>
      <c r="E723" s="102">
        <v>45859</v>
      </c>
      <c r="F723" s="101" t="s">
        <v>2274</v>
      </c>
      <c r="G723" s="101" t="s">
        <v>2275</v>
      </c>
      <c r="H723" s="103">
        <v>128269.43999999999</v>
      </c>
      <c r="I723" s="133">
        <v>0.32600000000000001</v>
      </c>
      <c r="J723" s="104" t="s">
        <v>831</v>
      </c>
      <c r="K723" s="104" t="s">
        <v>1542</v>
      </c>
    </row>
    <row r="724" spans="1:11" hidden="1" x14ac:dyDescent="0.3">
      <c r="A724" s="100" t="s">
        <v>390</v>
      </c>
      <c r="B724" s="101" t="s">
        <v>50</v>
      </c>
      <c r="C724" s="101" t="s">
        <v>2288</v>
      </c>
      <c r="D724" s="101" t="s">
        <v>2273</v>
      </c>
      <c r="E724" s="102">
        <v>45859</v>
      </c>
      <c r="F724" s="101" t="s">
        <v>2274</v>
      </c>
      <c r="G724" s="101" t="s">
        <v>2275</v>
      </c>
      <c r="H724" s="103">
        <v>6552</v>
      </c>
      <c r="I724" s="133">
        <v>0.32600000000000001</v>
      </c>
      <c r="J724" s="104" t="s">
        <v>831</v>
      </c>
      <c r="K724" s="104" t="s">
        <v>1542</v>
      </c>
    </row>
    <row r="725" spans="1:11" hidden="1" x14ac:dyDescent="0.3">
      <c r="A725" s="100" t="s">
        <v>390</v>
      </c>
      <c r="B725" s="101" t="s">
        <v>50</v>
      </c>
      <c r="C725" s="101" t="s">
        <v>2289</v>
      </c>
      <c r="D725" s="101" t="s">
        <v>2290</v>
      </c>
      <c r="E725" s="102">
        <v>45861</v>
      </c>
      <c r="F725" s="101" t="s">
        <v>372</v>
      </c>
      <c r="G725" s="101" t="s">
        <v>10</v>
      </c>
      <c r="H725" s="103">
        <v>80797.386800000007</v>
      </c>
      <c r="I725" s="133">
        <v>0.26700000000000002</v>
      </c>
      <c r="J725" s="104" t="s">
        <v>831</v>
      </c>
      <c r="K725" s="104" t="s">
        <v>1542</v>
      </c>
    </row>
    <row r="726" spans="1:11" hidden="1" x14ac:dyDescent="0.3">
      <c r="A726" s="100" t="s">
        <v>390</v>
      </c>
      <c r="B726" s="101" t="s">
        <v>50</v>
      </c>
      <c r="C726" s="101" t="s">
        <v>2291</v>
      </c>
      <c r="D726" s="101" t="s">
        <v>2224</v>
      </c>
      <c r="E726" s="102">
        <v>45862</v>
      </c>
      <c r="F726" s="101" t="s">
        <v>2292</v>
      </c>
      <c r="G726" s="101" t="s">
        <v>2293</v>
      </c>
      <c r="H726" s="103">
        <v>71322.239999999991</v>
      </c>
      <c r="I726" s="133">
        <v>0.245</v>
      </c>
      <c r="J726" s="104" t="s">
        <v>831</v>
      </c>
      <c r="K726" s="104" t="s">
        <v>1542</v>
      </c>
    </row>
    <row r="727" spans="1:11" hidden="1" x14ac:dyDescent="0.3">
      <c r="A727" s="100" t="s">
        <v>390</v>
      </c>
      <c r="B727" s="101" t="s">
        <v>50</v>
      </c>
      <c r="C727" s="101" t="s">
        <v>2294</v>
      </c>
      <c r="D727" s="101" t="s">
        <v>2295</v>
      </c>
      <c r="E727" s="102">
        <v>45866</v>
      </c>
      <c r="F727" s="101" t="s">
        <v>372</v>
      </c>
      <c r="G727" s="101" t="s">
        <v>10</v>
      </c>
      <c r="H727" s="103">
        <v>80537.37999999999</v>
      </c>
      <c r="I727" s="133">
        <v>0.29399999999999998</v>
      </c>
      <c r="J727" s="104" t="s">
        <v>831</v>
      </c>
      <c r="K727" s="104" t="s">
        <v>1542</v>
      </c>
    </row>
    <row r="728" spans="1:11" hidden="1" x14ac:dyDescent="0.3">
      <c r="A728" s="100" t="s">
        <v>390</v>
      </c>
      <c r="B728" s="101" t="s">
        <v>50</v>
      </c>
      <c r="C728" s="101" t="s">
        <v>2296</v>
      </c>
      <c r="D728" s="101" t="s">
        <v>2297</v>
      </c>
      <c r="E728" s="102">
        <v>45866</v>
      </c>
      <c r="F728" s="101" t="s">
        <v>2281</v>
      </c>
      <c r="G728" s="101" t="s">
        <v>2282</v>
      </c>
      <c r="H728" s="103">
        <v>3896.97</v>
      </c>
      <c r="I728" s="133">
        <v>1</v>
      </c>
      <c r="J728" s="104" t="s">
        <v>831</v>
      </c>
      <c r="K728" s="104" t="s">
        <v>1542</v>
      </c>
    </row>
    <row r="729" spans="1:11" hidden="1" x14ac:dyDescent="0.3">
      <c r="A729" s="100" t="s">
        <v>390</v>
      </c>
      <c r="B729" s="101" t="s">
        <v>50</v>
      </c>
      <c r="C729" s="101" t="s">
        <v>2298</v>
      </c>
      <c r="D729" s="101" t="s">
        <v>2299</v>
      </c>
      <c r="E729" s="102">
        <v>45867</v>
      </c>
      <c r="F729" s="101" t="s">
        <v>2281</v>
      </c>
      <c r="G729" s="101" t="s">
        <v>2282</v>
      </c>
      <c r="H729" s="103">
        <v>3932.6070000000004</v>
      </c>
      <c r="I729" s="133">
        <v>1</v>
      </c>
      <c r="J729" s="104" t="s">
        <v>831</v>
      </c>
      <c r="K729" s="104" t="s">
        <v>1542</v>
      </c>
    </row>
    <row r="730" spans="1:11" hidden="1" x14ac:dyDescent="0.3">
      <c r="A730" s="100" t="s">
        <v>390</v>
      </c>
      <c r="B730" s="101" t="s">
        <v>50</v>
      </c>
      <c r="C730" s="101" t="s">
        <v>2300</v>
      </c>
      <c r="D730" s="101" t="s">
        <v>2301</v>
      </c>
      <c r="E730" s="102">
        <v>45869</v>
      </c>
      <c r="F730" s="101" t="s">
        <v>854</v>
      </c>
      <c r="G730" s="101" t="s">
        <v>2302</v>
      </c>
      <c r="H730" s="103">
        <v>169164</v>
      </c>
      <c r="I730" s="133">
        <v>0.24299999999999999</v>
      </c>
      <c r="J730" s="104" t="s">
        <v>831</v>
      </c>
      <c r="K730" s="104" t="s">
        <v>1542</v>
      </c>
    </row>
    <row r="731" spans="1:11" hidden="1" x14ac:dyDescent="0.3">
      <c r="A731" s="100" t="s">
        <v>390</v>
      </c>
      <c r="B731" s="101" t="s">
        <v>54</v>
      </c>
      <c r="C731" s="101" t="s">
        <v>2307</v>
      </c>
      <c r="D731" s="101" t="s">
        <v>2308</v>
      </c>
      <c r="E731" s="102">
        <v>45874</v>
      </c>
      <c r="F731" s="101" t="s">
        <v>372</v>
      </c>
      <c r="G731" s="101" t="s">
        <v>10</v>
      </c>
      <c r="H731" s="103">
        <v>73380.55</v>
      </c>
      <c r="I731" s="133">
        <v>0.23300000000000001</v>
      </c>
      <c r="J731" s="104" t="s">
        <v>831</v>
      </c>
      <c r="K731" s="104" t="s">
        <v>1542</v>
      </c>
    </row>
    <row r="732" spans="1:11" hidden="1" x14ac:dyDescent="0.3">
      <c r="A732" s="100" t="s">
        <v>392</v>
      </c>
      <c r="B732" s="101" t="s">
        <v>54</v>
      </c>
      <c r="C732" s="101" t="s">
        <v>2309</v>
      </c>
      <c r="D732" s="101" t="s">
        <v>2310</v>
      </c>
      <c r="E732" s="102">
        <v>45874</v>
      </c>
      <c r="F732" s="101" t="s">
        <v>842</v>
      </c>
      <c r="G732" s="101" t="s">
        <v>843</v>
      </c>
      <c r="H732" s="103">
        <v>22000</v>
      </c>
      <c r="I732" s="133">
        <v>0.44500000000000001</v>
      </c>
      <c r="J732" s="104" t="s">
        <v>1977</v>
      </c>
      <c r="K732" s="104" t="s">
        <v>1540</v>
      </c>
    </row>
    <row r="733" spans="1:11" hidden="1" x14ac:dyDescent="0.3">
      <c r="A733" s="100" t="s">
        <v>390</v>
      </c>
      <c r="B733" s="101" t="s">
        <v>54</v>
      </c>
      <c r="C733" s="101" t="s">
        <v>2311</v>
      </c>
      <c r="D733" s="101" t="s">
        <v>2312</v>
      </c>
      <c r="E733" s="102">
        <v>45874</v>
      </c>
      <c r="F733" s="101" t="s">
        <v>371</v>
      </c>
      <c r="G733" s="101" t="s">
        <v>864</v>
      </c>
      <c r="H733" s="103">
        <v>13774.05</v>
      </c>
      <c r="I733" s="133">
        <v>0.47399999999999998</v>
      </c>
      <c r="J733" s="104" t="s">
        <v>832</v>
      </c>
      <c r="K733" s="104" t="s">
        <v>1541</v>
      </c>
    </row>
    <row r="734" spans="1:11" hidden="1" x14ac:dyDescent="0.3">
      <c r="A734" s="100" t="s">
        <v>390</v>
      </c>
      <c r="B734" s="101" t="s">
        <v>54</v>
      </c>
      <c r="C734" s="101" t="s">
        <v>2313</v>
      </c>
      <c r="D734" s="101" t="s">
        <v>2314</v>
      </c>
      <c r="E734" s="102">
        <v>45874</v>
      </c>
      <c r="F734" s="101" t="s">
        <v>370</v>
      </c>
      <c r="G734" s="101" t="s">
        <v>63</v>
      </c>
      <c r="H734" s="103">
        <v>8850</v>
      </c>
      <c r="I734" s="133">
        <v>0.52100000000000002</v>
      </c>
      <c r="J734" s="104" t="s">
        <v>1835</v>
      </c>
      <c r="K734" s="104" t="s">
        <v>1541</v>
      </c>
    </row>
    <row r="735" spans="1:11" hidden="1" x14ac:dyDescent="0.3">
      <c r="A735" s="100" t="s">
        <v>392</v>
      </c>
      <c r="B735" s="101" t="s">
        <v>54</v>
      </c>
      <c r="C735" s="101" t="s">
        <v>2315</v>
      </c>
      <c r="D735" s="101" t="s">
        <v>2316</v>
      </c>
      <c r="E735" s="102">
        <v>45874</v>
      </c>
      <c r="F735" s="101" t="s">
        <v>370</v>
      </c>
      <c r="G735" s="101" t="s">
        <v>63</v>
      </c>
      <c r="H735" s="103">
        <v>5200</v>
      </c>
      <c r="I735" s="133">
        <v>0.65400000000000003</v>
      </c>
      <c r="J735" s="104" t="s">
        <v>848</v>
      </c>
      <c r="K735" s="104" t="s">
        <v>1540</v>
      </c>
    </row>
    <row r="736" spans="1:11" hidden="1" x14ac:dyDescent="0.3">
      <c r="A736" s="100" t="s">
        <v>390</v>
      </c>
      <c r="B736" s="101" t="s">
        <v>54</v>
      </c>
      <c r="C736" s="101" t="s">
        <v>2317</v>
      </c>
      <c r="D736" s="101" t="s">
        <v>2318</v>
      </c>
      <c r="E736" s="102">
        <v>45874</v>
      </c>
      <c r="F736" s="101" t="s">
        <v>371</v>
      </c>
      <c r="G736" s="101" t="s">
        <v>864</v>
      </c>
      <c r="H736" s="103">
        <v>92748.73</v>
      </c>
      <c r="I736" s="133">
        <v>0.219</v>
      </c>
      <c r="J736" s="104" t="s">
        <v>833</v>
      </c>
      <c r="K736" s="104" t="s">
        <v>1542</v>
      </c>
    </row>
    <row r="737" spans="1:11" hidden="1" x14ac:dyDescent="0.3">
      <c r="A737" s="100" t="s">
        <v>392</v>
      </c>
      <c r="B737" s="101" t="s">
        <v>54</v>
      </c>
      <c r="C737" s="101" t="s">
        <v>2319</v>
      </c>
      <c r="D737" s="101" t="s">
        <v>2320</v>
      </c>
      <c r="E737" s="102">
        <v>45874</v>
      </c>
      <c r="F737" s="101" t="s">
        <v>370</v>
      </c>
      <c r="G737" s="101" t="s">
        <v>63</v>
      </c>
      <c r="H737" s="103">
        <v>10800</v>
      </c>
      <c r="I737" s="133">
        <v>0.59</v>
      </c>
      <c r="J737" s="104" t="s">
        <v>848</v>
      </c>
      <c r="K737" s="104" t="s">
        <v>1540</v>
      </c>
    </row>
    <row r="738" spans="1:11" hidden="1" x14ac:dyDescent="0.3">
      <c r="A738" s="100" t="s">
        <v>392</v>
      </c>
      <c r="B738" s="101" t="s">
        <v>54</v>
      </c>
      <c r="C738" s="101" t="s">
        <v>2321</v>
      </c>
      <c r="D738" s="101" t="s">
        <v>2322</v>
      </c>
      <c r="E738" s="102">
        <v>45874</v>
      </c>
      <c r="F738" s="101" t="s">
        <v>370</v>
      </c>
      <c r="G738" s="101" t="s">
        <v>63</v>
      </c>
      <c r="H738" s="103">
        <v>7200</v>
      </c>
      <c r="I738" s="133">
        <v>0.75</v>
      </c>
      <c r="J738" s="104" t="s">
        <v>848</v>
      </c>
      <c r="K738" s="104" t="s">
        <v>1540</v>
      </c>
    </row>
    <row r="739" spans="1:11" hidden="1" x14ac:dyDescent="0.3">
      <c r="A739" s="100" t="s">
        <v>392</v>
      </c>
      <c r="B739" s="101" t="s">
        <v>54</v>
      </c>
      <c r="C739" s="101" t="s">
        <v>2323</v>
      </c>
      <c r="D739" s="101" t="s">
        <v>2324</v>
      </c>
      <c r="E739" s="102">
        <v>45874</v>
      </c>
      <c r="F739" s="101" t="s">
        <v>370</v>
      </c>
      <c r="G739" s="101" t="s">
        <v>63</v>
      </c>
      <c r="H739" s="103">
        <v>4800</v>
      </c>
      <c r="I739" s="133">
        <v>0.625</v>
      </c>
      <c r="J739" s="104" t="s">
        <v>848</v>
      </c>
      <c r="K739" s="104" t="s">
        <v>1540</v>
      </c>
    </row>
    <row r="740" spans="1:11" hidden="1" x14ac:dyDescent="0.3">
      <c r="A740" s="100" t="s">
        <v>392</v>
      </c>
      <c r="B740" s="101" t="s">
        <v>54</v>
      </c>
      <c r="C740" s="101" t="s">
        <v>2325</v>
      </c>
      <c r="D740" s="101" t="s">
        <v>2326</v>
      </c>
      <c r="E740" s="102">
        <v>45874</v>
      </c>
      <c r="F740" s="101" t="s">
        <v>370</v>
      </c>
      <c r="G740" s="101" t="s">
        <v>63</v>
      </c>
      <c r="H740" s="103">
        <v>17900</v>
      </c>
      <c r="I740" s="133">
        <v>0.64800000000000002</v>
      </c>
      <c r="J740" s="104" t="s">
        <v>848</v>
      </c>
      <c r="K740" s="104" t="s">
        <v>1540</v>
      </c>
    </row>
    <row r="741" spans="1:11" hidden="1" x14ac:dyDescent="0.3">
      <c r="A741" s="100" t="s">
        <v>392</v>
      </c>
      <c r="B741" s="101" t="s">
        <v>54</v>
      </c>
      <c r="C741" s="101" t="s">
        <v>2327</v>
      </c>
      <c r="D741" s="101" t="s">
        <v>2328</v>
      </c>
      <c r="E741" s="102">
        <v>45875</v>
      </c>
      <c r="F741" s="101" t="s">
        <v>371</v>
      </c>
      <c r="G741" s="101" t="s">
        <v>864</v>
      </c>
      <c r="H741" s="103">
        <v>14800</v>
      </c>
      <c r="I741" s="133">
        <v>0.58199999999999996</v>
      </c>
      <c r="J741" s="104" t="s">
        <v>1977</v>
      </c>
      <c r="K741" s="104" t="s">
        <v>1540</v>
      </c>
    </row>
    <row r="742" spans="1:11" hidden="1" x14ac:dyDescent="0.3">
      <c r="A742" s="100" t="s">
        <v>392</v>
      </c>
      <c r="B742" s="101" t="s">
        <v>54</v>
      </c>
      <c r="C742" s="101" t="s">
        <v>2329</v>
      </c>
      <c r="D742" s="101" t="s">
        <v>2330</v>
      </c>
      <c r="E742" s="102">
        <v>45875</v>
      </c>
      <c r="F742" s="101" t="s">
        <v>371</v>
      </c>
      <c r="G742" s="101" t="s">
        <v>864</v>
      </c>
      <c r="H742" s="103">
        <v>22200</v>
      </c>
      <c r="I742" s="133">
        <v>0.52600000000000002</v>
      </c>
      <c r="J742" s="104" t="s">
        <v>1977</v>
      </c>
      <c r="K742" s="104" t="s">
        <v>1540</v>
      </c>
    </row>
    <row r="743" spans="1:11" hidden="1" x14ac:dyDescent="0.3">
      <c r="A743" s="100" t="s">
        <v>392</v>
      </c>
      <c r="B743" s="101" t="s">
        <v>54</v>
      </c>
      <c r="C743" s="101" t="s">
        <v>2331</v>
      </c>
      <c r="D743" s="101" t="s">
        <v>2332</v>
      </c>
      <c r="E743" s="102">
        <v>45875</v>
      </c>
      <c r="F743" s="101" t="s">
        <v>371</v>
      </c>
      <c r="G743" s="101" t="s">
        <v>864</v>
      </c>
      <c r="H743" s="103">
        <v>29600</v>
      </c>
      <c r="I743" s="133">
        <v>0.58199999999999996</v>
      </c>
      <c r="J743" s="104" t="s">
        <v>1977</v>
      </c>
      <c r="K743" s="104" t="s">
        <v>1540</v>
      </c>
    </row>
    <row r="744" spans="1:11" hidden="1" x14ac:dyDescent="0.3">
      <c r="A744" s="100" t="s">
        <v>392</v>
      </c>
      <c r="B744" s="101" t="s">
        <v>54</v>
      </c>
      <c r="C744" s="101" t="s">
        <v>2333</v>
      </c>
      <c r="D744" s="101" t="s">
        <v>2334</v>
      </c>
      <c r="E744" s="102">
        <v>45875</v>
      </c>
      <c r="F744" s="101" t="s">
        <v>371</v>
      </c>
      <c r="G744" s="101" t="s">
        <v>864</v>
      </c>
      <c r="H744" s="103">
        <v>14800</v>
      </c>
      <c r="I744" s="133">
        <v>0.86499999999999999</v>
      </c>
      <c r="J744" s="104" t="s">
        <v>1977</v>
      </c>
      <c r="K744" s="104" t="s">
        <v>1540</v>
      </c>
    </row>
    <row r="745" spans="1:11" hidden="1" x14ac:dyDescent="0.3">
      <c r="A745" s="100" t="s">
        <v>390</v>
      </c>
      <c r="B745" s="101" t="s">
        <v>54</v>
      </c>
      <c r="C745" s="101" t="s">
        <v>2335</v>
      </c>
      <c r="D745" s="101" t="s">
        <v>2336</v>
      </c>
      <c r="E745" s="102">
        <v>45875</v>
      </c>
      <c r="F745" s="101" t="s">
        <v>371</v>
      </c>
      <c r="G745" s="101" t="s">
        <v>864</v>
      </c>
      <c r="H745" s="103">
        <v>17086.91</v>
      </c>
      <c r="I745" s="133">
        <v>0.436</v>
      </c>
      <c r="J745" s="104" t="s">
        <v>832</v>
      </c>
      <c r="K745" s="104" t="s">
        <v>1541</v>
      </c>
    </row>
    <row r="746" spans="1:11" hidden="1" x14ac:dyDescent="0.3">
      <c r="A746" s="100" t="s">
        <v>390</v>
      </c>
      <c r="B746" s="101" t="s">
        <v>54</v>
      </c>
      <c r="C746" s="101" t="s">
        <v>2337</v>
      </c>
      <c r="D746" s="101" t="s">
        <v>2338</v>
      </c>
      <c r="E746" s="102">
        <v>45875</v>
      </c>
      <c r="F746" s="101" t="s">
        <v>371</v>
      </c>
      <c r="G746" s="101" t="s">
        <v>864</v>
      </c>
      <c r="H746" s="103">
        <v>13312.09</v>
      </c>
      <c r="I746" s="133">
        <v>0.48699999999999999</v>
      </c>
      <c r="J746" s="104" t="s">
        <v>832</v>
      </c>
      <c r="K746" s="104" t="s">
        <v>1541</v>
      </c>
    </row>
    <row r="747" spans="1:11" hidden="1" x14ac:dyDescent="0.3">
      <c r="A747" s="100" t="s">
        <v>392</v>
      </c>
      <c r="B747" s="101" t="s">
        <v>54</v>
      </c>
      <c r="C747" s="101" t="s">
        <v>2339</v>
      </c>
      <c r="D747" s="101" t="s">
        <v>2340</v>
      </c>
      <c r="E747" s="102">
        <v>45877</v>
      </c>
      <c r="F747" s="101" t="s">
        <v>370</v>
      </c>
      <c r="G747" s="101" t="s">
        <v>63</v>
      </c>
      <c r="H747" s="103">
        <v>6200</v>
      </c>
      <c r="I747" s="133">
        <v>0.52</v>
      </c>
      <c r="J747" s="104" t="s">
        <v>848</v>
      </c>
      <c r="K747" s="104" t="s">
        <v>1540</v>
      </c>
    </row>
    <row r="748" spans="1:11" hidden="1" x14ac:dyDescent="0.3">
      <c r="A748" s="100" t="s">
        <v>392</v>
      </c>
      <c r="B748" s="101" t="s">
        <v>54</v>
      </c>
      <c r="C748" s="101" t="s">
        <v>2341</v>
      </c>
      <c r="D748" s="101" t="s">
        <v>2342</v>
      </c>
      <c r="E748" s="102">
        <v>45877</v>
      </c>
      <c r="F748" s="101" t="s">
        <v>370</v>
      </c>
      <c r="G748" s="101" t="s">
        <v>63</v>
      </c>
      <c r="H748" s="103">
        <v>11100</v>
      </c>
      <c r="I748" s="133">
        <v>0.60399999999999998</v>
      </c>
      <c r="J748" s="104" t="s">
        <v>848</v>
      </c>
      <c r="K748" s="104" t="s">
        <v>1540</v>
      </c>
    </row>
    <row r="749" spans="1:11" hidden="1" x14ac:dyDescent="0.3">
      <c r="A749" s="100" t="s">
        <v>392</v>
      </c>
      <c r="B749" s="101" t="s">
        <v>54</v>
      </c>
      <c r="C749" s="101" t="s">
        <v>2343</v>
      </c>
      <c r="D749" s="101" t="s">
        <v>2344</v>
      </c>
      <c r="E749" s="102">
        <v>45877</v>
      </c>
      <c r="F749" s="101" t="s">
        <v>374</v>
      </c>
      <c r="G749" s="101" t="s">
        <v>17</v>
      </c>
      <c r="H749" s="103">
        <v>5775</v>
      </c>
      <c r="I749" s="133">
        <v>0.60199999999999998</v>
      </c>
      <c r="J749" s="104" t="s">
        <v>848</v>
      </c>
      <c r="K749" s="104" t="s">
        <v>1540</v>
      </c>
    </row>
    <row r="750" spans="1:11" hidden="1" x14ac:dyDescent="0.3">
      <c r="A750" s="100" t="s">
        <v>390</v>
      </c>
      <c r="B750" s="101" t="s">
        <v>54</v>
      </c>
      <c r="C750" s="101" t="s">
        <v>2345</v>
      </c>
      <c r="D750" s="101" t="s">
        <v>2346</v>
      </c>
      <c r="E750" s="102">
        <v>45877</v>
      </c>
      <c r="F750" s="101" t="s">
        <v>619</v>
      </c>
      <c r="G750" s="101" t="s">
        <v>16</v>
      </c>
      <c r="H750" s="103">
        <v>19500</v>
      </c>
      <c r="I750" s="133">
        <v>0.45900000000000002</v>
      </c>
      <c r="J750" s="104" t="s">
        <v>833</v>
      </c>
      <c r="K750" s="104" t="s">
        <v>1541</v>
      </c>
    </row>
    <row r="751" spans="1:11" hidden="1" x14ac:dyDescent="0.3">
      <c r="A751" s="100" t="s">
        <v>392</v>
      </c>
      <c r="B751" s="101" t="s">
        <v>54</v>
      </c>
      <c r="C751" s="101" t="s">
        <v>2347</v>
      </c>
      <c r="D751" s="101" t="s">
        <v>2348</v>
      </c>
      <c r="E751" s="102">
        <v>45877</v>
      </c>
      <c r="F751" s="101" t="s">
        <v>372</v>
      </c>
      <c r="G751" s="101" t="s">
        <v>10</v>
      </c>
      <c r="H751" s="103">
        <v>41900</v>
      </c>
      <c r="I751" s="133">
        <v>0.432</v>
      </c>
      <c r="J751" s="104" t="s">
        <v>848</v>
      </c>
      <c r="K751" s="104" t="s">
        <v>1540</v>
      </c>
    </row>
    <row r="752" spans="1:11" hidden="1" x14ac:dyDescent="0.3">
      <c r="A752" s="100" t="s">
        <v>392</v>
      </c>
      <c r="B752" s="101" t="s">
        <v>54</v>
      </c>
      <c r="C752" s="101" t="s">
        <v>2349</v>
      </c>
      <c r="D752" s="101" t="s">
        <v>2350</v>
      </c>
      <c r="E752" s="102">
        <v>45877</v>
      </c>
      <c r="F752" s="101" t="s">
        <v>370</v>
      </c>
      <c r="G752" s="101" t="s">
        <v>63</v>
      </c>
      <c r="H752" s="103">
        <v>9700</v>
      </c>
      <c r="I752" s="133">
        <v>0.75800000000000001</v>
      </c>
      <c r="J752" s="104" t="s">
        <v>848</v>
      </c>
      <c r="K752" s="104" t="s">
        <v>1540</v>
      </c>
    </row>
    <row r="753" spans="1:11" hidden="1" x14ac:dyDescent="0.3">
      <c r="A753" s="100" t="s">
        <v>392</v>
      </c>
      <c r="B753" s="101" t="s">
        <v>54</v>
      </c>
      <c r="C753" s="101" t="s">
        <v>2351</v>
      </c>
      <c r="D753" s="101" t="s">
        <v>2352</v>
      </c>
      <c r="E753" s="102">
        <v>45877</v>
      </c>
      <c r="F753" s="101" t="s">
        <v>370</v>
      </c>
      <c r="G753" s="101" t="s">
        <v>63</v>
      </c>
      <c r="H753" s="103">
        <v>7200</v>
      </c>
      <c r="I753" s="133">
        <v>0.70799999999999996</v>
      </c>
      <c r="J753" s="104" t="s">
        <v>848</v>
      </c>
      <c r="K753" s="104" t="s">
        <v>1540</v>
      </c>
    </row>
    <row r="754" spans="1:11" hidden="1" x14ac:dyDescent="0.3">
      <c r="A754" s="100" t="s">
        <v>392</v>
      </c>
      <c r="B754" s="101" t="s">
        <v>54</v>
      </c>
      <c r="C754" s="101" t="s">
        <v>2353</v>
      </c>
      <c r="D754" s="101" t="s">
        <v>2354</v>
      </c>
      <c r="E754" s="102">
        <v>45877</v>
      </c>
      <c r="F754" s="101" t="s">
        <v>371</v>
      </c>
      <c r="G754" s="101" t="s">
        <v>864</v>
      </c>
      <c r="H754" s="103">
        <v>14800</v>
      </c>
      <c r="I754" s="133">
        <v>0.51800000000000002</v>
      </c>
      <c r="J754" s="104" t="s">
        <v>1977</v>
      </c>
      <c r="K754" s="104" t="s">
        <v>1540</v>
      </c>
    </row>
    <row r="755" spans="1:11" hidden="1" x14ac:dyDescent="0.3">
      <c r="A755" s="100" t="s">
        <v>392</v>
      </c>
      <c r="B755" s="101" t="s">
        <v>54</v>
      </c>
      <c r="C755" s="101" t="s">
        <v>2355</v>
      </c>
      <c r="D755" s="101" t="s">
        <v>2356</v>
      </c>
      <c r="E755" s="102">
        <v>45877</v>
      </c>
      <c r="F755" s="101" t="s">
        <v>371</v>
      </c>
      <c r="G755" s="101" t="s">
        <v>864</v>
      </c>
      <c r="H755" s="103">
        <v>7400</v>
      </c>
      <c r="I755" s="133">
        <v>0.51800000000000002</v>
      </c>
      <c r="J755" s="104" t="s">
        <v>1977</v>
      </c>
      <c r="K755" s="104" t="s">
        <v>1540</v>
      </c>
    </row>
    <row r="756" spans="1:11" hidden="1" x14ac:dyDescent="0.3">
      <c r="A756" s="100" t="s">
        <v>390</v>
      </c>
      <c r="B756" s="101" t="s">
        <v>54</v>
      </c>
      <c r="C756" s="101" t="s">
        <v>2357</v>
      </c>
      <c r="D756" s="101" t="s">
        <v>2358</v>
      </c>
      <c r="E756" s="102">
        <v>45877</v>
      </c>
      <c r="F756" s="101" t="s">
        <v>371</v>
      </c>
      <c r="G756" s="101" t="s">
        <v>864</v>
      </c>
      <c r="H756" s="103">
        <v>13276.75</v>
      </c>
      <c r="I756" s="133">
        <v>0.48499999999999999</v>
      </c>
      <c r="J756" s="104" t="s">
        <v>832</v>
      </c>
      <c r="K756" s="104" t="s">
        <v>1541</v>
      </c>
    </row>
    <row r="757" spans="1:11" hidden="1" x14ac:dyDescent="0.3">
      <c r="A757" s="100" t="s">
        <v>390</v>
      </c>
      <c r="B757" s="101" t="s">
        <v>54</v>
      </c>
      <c r="C757" s="101" t="s">
        <v>2359</v>
      </c>
      <c r="D757" s="101" t="s">
        <v>2360</v>
      </c>
      <c r="E757" s="102">
        <v>45880</v>
      </c>
      <c r="F757" s="101" t="s">
        <v>371</v>
      </c>
      <c r="G757" s="101" t="s">
        <v>864</v>
      </c>
      <c r="H757" s="103">
        <v>15859.62</v>
      </c>
      <c r="I757" s="133">
        <v>0.42699999999999999</v>
      </c>
      <c r="J757" s="104" t="s">
        <v>832</v>
      </c>
      <c r="K757" s="104" t="s">
        <v>1541</v>
      </c>
    </row>
    <row r="758" spans="1:11" hidden="1" x14ac:dyDescent="0.3">
      <c r="A758" s="100" t="s">
        <v>392</v>
      </c>
      <c r="B758" s="101" t="s">
        <v>54</v>
      </c>
      <c r="C758" s="101" t="s">
        <v>2361</v>
      </c>
      <c r="D758" s="101" t="s">
        <v>2362</v>
      </c>
      <c r="E758" s="102">
        <v>45880</v>
      </c>
      <c r="F758" s="101" t="s">
        <v>842</v>
      </c>
      <c r="G758" s="101" t="s">
        <v>843</v>
      </c>
      <c r="H758" s="103">
        <v>22000</v>
      </c>
      <c r="I758" s="133">
        <v>0.44700000000000001</v>
      </c>
      <c r="J758" s="104" t="s">
        <v>1977</v>
      </c>
      <c r="K758" s="104" t="s">
        <v>1540</v>
      </c>
    </row>
    <row r="759" spans="1:11" hidden="1" x14ac:dyDescent="0.3">
      <c r="A759" s="100" t="s">
        <v>392</v>
      </c>
      <c r="B759" s="101" t="s">
        <v>54</v>
      </c>
      <c r="C759" s="101" t="s">
        <v>2363</v>
      </c>
      <c r="D759" s="101" t="s">
        <v>2364</v>
      </c>
      <c r="E759" s="102">
        <v>45880</v>
      </c>
      <c r="F759" s="101" t="s">
        <v>370</v>
      </c>
      <c r="G759" s="101" t="s">
        <v>63</v>
      </c>
      <c r="H759" s="103">
        <v>8600</v>
      </c>
      <c r="I759" s="133">
        <v>0.56100000000000005</v>
      </c>
      <c r="J759" s="104" t="s">
        <v>848</v>
      </c>
      <c r="K759" s="104" t="s">
        <v>1540</v>
      </c>
    </row>
    <row r="760" spans="1:11" hidden="1" x14ac:dyDescent="0.3">
      <c r="A760" s="100" t="s">
        <v>392</v>
      </c>
      <c r="B760" s="101" t="s">
        <v>54</v>
      </c>
      <c r="C760" s="101" t="s">
        <v>2365</v>
      </c>
      <c r="D760" s="101" t="s">
        <v>2366</v>
      </c>
      <c r="E760" s="102">
        <v>45881</v>
      </c>
      <c r="F760" s="101" t="s">
        <v>370</v>
      </c>
      <c r="G760" s="101" t="s">
        <v>63</v>
      </c>
      <c r="H760" s="103">
        <v>7300</v>
      </c>
      <c r="I760" s="133">
        <v>0.64400000000000002</v>
      </c>
      <c r="J760" s="104" t="s">
        <v>848</v>
      </c>
      <c r="K760" s="104" t="s">
        <v>1540</v>
      </c>
    </row>
    <row r="761" spans="1:11" hidden="1" x14ac:dyDescent="0.3">
      <c r="A761" s="100" t="s">
        <v>392</v>
      </c>
      <c r="B761" s="101" t="s">
        <v>54</v>
      </c>
      <c r="C761" s="101" t="s">
        <v>2367</v>
      </c>
      <c r="D761" s="101" t="s">
        <v>2368</v>
      </c>
      <c r="E761" s="102">
        <v>45881</v>
      </c>
      <c r="F761" s="101" t="s">
        <v>370</v>
      </c>
      <c r="G761" s="101" t="s">
        <v>63</v>
      </c>
      <c r="H761" s="103">
        <v>12400</v>
      </c>
      <c r="I761" s="133">
        <v>0.629</v>
      </c>
      <c r="J761" s="104" t="s">
        <v>848</v>
      </c>
      <c r="K761" s="104" t="s">
        <v>1540</v>
      </c>
    </row>
    <row r="762" spans="1:11" hidden="1" x14ac:dyDescent="0.3">
      <c r="A762" s="100" t="s">
        <v>392</v>
      </c>
      <c r="B762" s="101" t="s">
        <v>54</v>
      </c>
      <c r="C762" s="101" t="s">
        <v>2369</v>
      </c>
      <c r="D762" s="101" t="s">
        <v>2370</v>
      </c>
      <c r="E762" s="102">
        <v>45881</v>
      </c>
      <c r="F762" s="101" t="s">
        <v>842</v>
      </c>
      <c r="G762" s="101" t="s">
        <v>843</v>
      </c>
      <c r="H762" s="103">
        <v>22000</v>
      </c>
      <c r="I762" s="133">
        <v>0.45200000000000001</v>
      </c>
      <c r="J762" s="104" t="s">
        <v>1977</v>
      </c>
      <c r="K762" s="104" t="s">
        <v>1540</v>
      </c>
    </row>
    <row r="763" spans="1:11" hidden="1" x14ac:dyDescent="0.3">
      <c r="A763" s="100" t="s">
        <v>392</v>
      </c>
      <c r="B763" s="101" t="s">
        <v>54</v>
      </c>
      <c r="C763" s="101" t="s">
        <v>2371</v>
      </c>
      <c r="D763" s="101" t="s">
        <v>2372</v>
      </c>
      <c r="E763" s="102">
        <v>45881</v>
      </c>
      <c r="F763" s="101" t="s">
        <v>372</v>
      </c>
      <c r="G763" s="101" t="s">
        <v>10</v>
      </c>
      <c r="H763" s="103">
        <v>10000</v>
      </c>
      <c r="I763" s="133">
        <v>0.56799999999999995</v>
      </c>
      <c r="J763" s="104" t="s">
        <v>848</v>
      </c>
      <c r="K763" s="104" t="s">
        <v>1540</v>
      </c>
    </row>
    <row r="764" spans="1:11" hidden="1" x14ac:dyDescent="0.3">
      <c r="A764" s="100" t="s">
        <v>390</v>
      </c>
      <c r="B764" s="101" t="s">
        <v>54</v>
      </c>
      <c r="C764" s="101" t="s">
        <v>2373</v>
      </c>
      <c r="D764" s="101" t="s">
        <v>2374</v>
      </c>
      <c r="E764" s="102">
        <v>45881</v>
      </c>
      <c r="F764" s="101" t="s">
        <v>372</v>
      </c>
      <c r="G764" s="101" t="s">
        <v>10</v>
      </c>
      <c r="H764" s="103">
        <v>10361.34</v>
      </c>
      <c r="I764" s="133">
        <v>0.20899999999999999</v>
      </c>
      <c r="J764" s="104" t="s">
        <v>831</v>
      </c>
      <c r="K764" s="104" t="s">
        <v>1541</v>
      </c>
    </row>
    <row r="765" spans="1:11" hidden="1" x14ac:dyDescent="0.3">
      <c r="A765" s="100" t="s">
        <v>390</v>
      </c>
      <c r="B765" s="101" t="s">
        <v>54</v>
      </c>
      <c r="C765" s="101" t="s">
        <v>2375</v>
      </c>
      <c r="D765" s="101" t="s">
        <v>2376</v>
      </c>
      <c r="E765" s="102">
        <v>45881</v>
      </c>
      <c r="F765" s="101" t="s">
        <v>372</v>
      </c>
      <c r="G765" s="101" t="s">
        <v>10</v>
      </c>
      <c r="H765" s="103">
        <v>8822.67</v>
      </c>
      <c r="I765" s="133">
        <v>0.224</v>
      </c>
      <c r="J765" s="104" t="s">
        <v>831</v>
      </c>
      <c r="K765" s="104" t="s">
        <v>1541</v>
      </c>
    </row>
    <row r="766" spans="1:11" hidden="1" x14ac:dyDescent="0.3">
      <c r="A766" s="100" t="s">
        <v>392</v>
      </c>
      <c r="B766" s="101" t="s">
        <v>54</v>
      </c>
      <c r="C766" s="101" t="s">
        <v>2377</v>
      </c>
      <c r="D766" s="101" t="s">
        <v>2378</v>
      </c>
      <c r="E766" s="102">
        <v>45881</v>
      </c>
      <c r="F766" s="101" t="s">
        <v>844</v>
      </c>
      <c r="G766" s="101" t="s">
        <v>863</v>
      </c>
      <c r="H766" s="103">
        <v>10456</v>
      </c>
      <c r="I766" s="133">
        <v>0.22800000000000001</v>
      </c>
      <c r="J766" s="104" t="s">
        <v>1977</v>
      </c>
      <c r="K766" s="104" t="s">
        <v>1540</v>
      </c>
    </row>
    <row r="767" spans="1:11" hidden="1" x14ac:dyDescent="0.3">
      <c r="A767" s="100" t="s">
        <v>392</v>
      </c>
      <c r="B767" s="101" t="s">
        <v>54</v>
      </c>
      <c r="C767" s="101" t="s">
        <v>2379</v>
      </c>
      <c r="D767" s="101" t="s">
        <v>2380</v>
      </c>
      <c r="E767" s="102">
        <v>45881</v>
      </c>
      <c r="F767" s="101" t="s">
        <v>842</v>
      </c>
      <c r="G767" s="101" t="s">
        <v>843</v>
      </c>
      <c r="H767" s="103">
        <v>22000</v>
      </c>
      <c r="I767" s="133">
        <v>0.44800000000000001</v>
      </c>
      <c r="J767" s="104" t="s">
        <v>1977</v>
      </c>
      <c r="K767" s="104" t="s">
        <v>1540</v>
      </c>
    </row>
    <row r="768" spans="1:11" hidden="1" x14ac:dyDescent="0.3">
      <c r="A768" s="100" t="s">
        <v>392</v>
      </c>
      <c r="B768" s="101" t="s">
        <v>54</v>
      </c>
      <c r="C768" s="101" t="s">
        <v>2381</v>
      </c>
      <c r="D768" s="101" t="s">
        <v>2382</v>
      </c>
      <c r="E768" s="102">
        <v>45882</v>
      </c>
      <c r="F768" s="101" t="s">
        <v>844</v>
      </c>
      <c r="G768" s="101" t="s">
        <v>863</v>
      </c>
      <c r="H768" s="103">
        <v>12368</v>
      </c>
      <c r="I768" s="133">
        <v>0.23100000000000001</v>
      </c>
      <c r="J768" s="104" t="s">
        <v>1977</v>
      </c>
      <c r="K768" s="104" t="s">
        <v>1540</v>
      </c>
    </row>
    <row r="769" spans="1:11" hidden="1" x14ac:dyDescent="0.3">
      <c r="A769" s="100" t="s">
        <v>392</v>
      </c>
      <c r="B769" s="101" t="s">
        <v>54</v>
      </c>
      <c r="C769" s="101" t="s">
        <v>2383</v>
      </c>
      <c r="D769" s="101" t="s">
        <v>2384</v>
      </c>
      <c r="E769" s="102">
        <v>45883</v>
      </c>
      <c r="F769" s="101" t="s">
        <v>842</v>
      </c>
      <c r="G769" s="101" t="s">
        <v>843</v>
      </c>
      <c r="H769" s="103">
        <v>22000</v>
      </c>
      <c r="I769" s="133">
        <v>0.45200000000000001</v>
      </c>
      <c r="J769" s="104" t="s">
        <v>1977</v>
      </c>
      <c r="K769" s="104" t="s">
        <v>1540</v>
      </c>
    </row>
    <row r="770" spans="1:11" hidden="1" x14ac:dyDescent="0.3">
      <c r="A770" s="100" t="s">
        <v>390</v>
      </c>
      <c r="B770" s="101" t="s">
        <v>54</v>
      </c>
      <c r="C770" s="101" t="s">
        <v>2385</v>
      </c>
      <c r="D770" s="101" t="s">
        <v>2386</v>
      </c>
      <c r="E770" s="102">
        <v>45880</v>
      </c>
      <c r="F770" s="101" t="s">
        <v>371</v>
      </c>
      <c r="G770" s="101" t="s">
        <v>864</v>
      </c>
      <c r="H770" s="103">
        <v>241029.14</v>
      </c>
      <c r="I770" s="133">
        <v>0.161</v>
      </c>
      <c r="J770" s="104" t="s">
        <v>833</v>
      </c>
      <c r="K770" s="104" t="s">
        <v>1542</v>
      </c>
    </row>
    <row r="771" spans="1:11" hidden="1" x14ac:dyDescent="0.3">
      <c r="A771" s="100" t="s">
        <v>392</v>
      </c>
      <c r="B771" s="101" t="s">
        <v>54</v>
      </c>
      <c r="C771" s="101" t="s">
        <v>2387</v>
      </c>
      <c r="D771" s="101" t="s">
        <v>2388</v>
      </c>
      <c r="E771" s="102">
        <v>45884</v>
      </c>
      <c r="F771" s="101" t="s">
        <v>370</v>
      </c>
      <c r="G771" s="101" t="s">
        <v>63</v>
      </c>
      <c r="H771" s="103">
        <v>9300</v>
      </c>
      <c r="I771" s="133">
        <v>0.71</v>
      </c>
      <c r="J771" s="104" t="s">
        <v>848</v>
      </c>
      <c r="K771" s="104" t="s">
        <v>1540</v>
      </c>
    </row>
    <row r="772" spans="1:11" hidden="1" x14ac:dyDescent="0.3">
      <c r="A772" s="100" t="s">
        <v>390</v>
      </c>
      <c r="B772" s="101" t="s">
        <v>54</v>
      </c>
      <c r="C772" s="101" t="s">
        <v>2389</v>
      </c>
      <c r="D772" s="101" t="s">
        <v>2390</v>
      </c>
      <c r="E772" s="102">
        <v>45884</v>
      </c>
      <c r="F772" s="101" t="s">
        <v>371</v>
      </c>
      <c r="G772" s="101" t="s">
        <v>864</v>
      </c>
      <c r="H772" s="103">
        <v>23117.499999999996</v>
      </c>
      <c r="I772" s="133">
        <v>0.24199999999999999</v>
      </c>
      <c r="J772" s="104" t="s">
        <v>832</v>
      </c>
      <c r="K772" s="104" t="s">
        <v>1541</v>
      </c>
    </row>
    <row r="773" spans="1:11" hidden="1" x14ac:dyDescent="0.3">
      <c r="A773" s="100" t="s">
        <v>392</v>
      </c>
      <c r="B773" s="101" t="s">
        <v>54</v>
      </c>
      <c r="C773" s="101" t="s">
        <v>2391</v>
      </c>
      <c r="D773" s="101" t="s">
        <v>2392</v>
      </c>
      <c r="E773" s="102">
        <v>45884</v>
      </c>
      <c r="F773" s="101" t="s">
        <v>842</v>
      </c>
      <c r="G773" s="101" t="s">
        <v>843</v>
      </c>
      <c r="H773" s="103">
        <v>22000</v>
      </c>
      <c r="I773" s="133">
        <v>0.44800000000000001</v>
      </c>
      <c r="J773" s="104" t="s">
        <v>1977</v>
      </c>
      <c r="K773" s="104" t="s">
        <v>1540</v>
      </c>
    </row>
    <row r="774" spans="1:11" hidden="1" x14ac:dyDescent="0.3">
      <c r="A774" s="100" t="s">
        <v>392</v>
      </c>
      <c r="B774" s="101" t="s">
        <v>54</v>
      </c>
      <c r="C774" s="101" t="s">
        <v>2393</v>
      </c>
      <c r="D774" s="101" t="s">
        <v>2394</v>
      </c>
      <c r="E774" s="102">
        <v>45884</v>
      </c>
      <c r="F774" s="101" t="s">
        <v>370</v>
      </c>
      <c r="G774" s="101" t="s">
        <v>63</v>
      </c>
      <c r="H774" s="103">
        <v>15400</v>
      </c>
      <c r="I774" s="133">
        <v>0.64900000000000002</v>
      </c>
      <c r="J774" s="104" t="s">
        <v>848</v>
      </c>
      <c r="K774" s="104" t="s">
        <v>1540</v>
      </c>
    </row>
    <row r="775" spans="1:11" hidden="1" x14ac:dyDescent="0.3">
      <c r="A775" s="100" t="s">
        <v>390</v>
      </c>
      <c r="B775" s="101" t="s">
        <v>54</v>
      </c>
      <c r="C775" s="101" t="s">
        <v>2395</v>
      </c>
      <c r="D775" s="101" t="s">
        <v>2396</v>
      </c>
      <c r="E775" s="102">
        <v>45887</v>
      </c>
      <c r="F775" s="101" t="s">
        <v>371</v>
      </c>
      <c r="G775" s="101" t="s">
        <v>864</v>
      </c>
      <c r="H775" s="103">
        <v>52767.49</v>
      </c>
      <c r="I775" s="133">
        <v>0.151</v>
      </c>
      <c r="J775" s="104" t="s">
        <v>833</v>
      </c>
      <c r="K775" s="104" t="s">
        <v>1542</v>
      </c>
    </row>
    <row r="776" spans="1:11" hidden="1" x14ac:dyDescent="0.3">
      <c r="A776" s="100" t="s">
        <v>392</v>
      </c>
      <c r="B776" s="101" t="s">
        <v>54</v>
      </c>
      <c r="C776" s="101" t="s">
        <v>2397</v>
      </c>
      <c r="D776" s="101" t="s">
        <v>2398</v>
      </c>
      <c r="E776" s="102">
        <v>45887</v>
      </c>
      <c r="F776" s="101" t="s">
        <v>370</v>
      </c>
      <c r="G776" s="101" t="s">
        <v>63</v>
      </c>
      <c r="H776" s="103">
        <v>9300</v>
      </c>
      <c r="I776" s="133">
        <v>0.71</v>
      </c>
      <c r="J776" s="104" t="s">
        <v>848</v>
      </c>
      <c r="K776" s="104" t="s">
        <v>1540</v>
      </c>
    </row>
    <row r="777" spans="1:11" hidden="1" x14ac:dyDescent="0.3">
      <c r="A777" s="100" t="s">
        <v>390</v>
      </c>
      <c r="B777" s="101" t="s">
        <v>54</v>
      </c>
      <c r="C777" s="101" t="s">
        <v>2399</v>
      </c>
      <c r="D777" s="101" t="s">
        <v>2400</v>
      </c>
      <c r="E777" s="102">
        <v>45887</v>
      </c>
      <c r="F777" s="101" t="s">
        <v>370</v>
      </c>
      <c r="G777" s="101" t="s">
        <v>63</v>
      </c>
      <c r="H777" s="103">
        <v>19400</v>
      </c>
      <c r="I777" s="133">
        <v>0.65800000000000003</v>
      </c>
      <c r="J777" s="104" t="s">
        <v>1835</v>
      </c>
      <c r="K777" s="104" t="s">
        <v>1541</v>
      </c>
    </row>
    <row r="778" spans="1:11" hidden="1" x14ac:dyDescent="0.3">
      <c r="A778" s="100" t="s">
        <v>390</v>
      </c>
      <c r="B778" s="101" t="s">
        <v>54</v>
      </c>
      <c r="C778" s="101" t="s">
        <v>2401</v>
      </c>
      <c r="D778" s="101" t="s">
        <v>2402</v>
      </c>
      <c r="E778" s="102">
        <v>45887</v>
      </c>
      <c r="F778" s="101" t="s">
        <v>372</v>
      </c>
      <c r="G778" s="101" t="s">
        <v>10</v>
      </c>
      <c r="H778" s="103">
        <v>73316.14</v>
      </c>
      <c r="I778" s="133">
        <v>0.21199999999999999</v>
      </c>
      <c r="J778" s="104" t="s">
        <v>831</v>
      </c>
      <c r="K778" s="104" t="s">
        <v>1542</v>
      </c>
    </row>
    <row r="779" spans="1:11" hidden="1" x14ac:dyDescent="0.3">
      <c r="A779" s="100" t="s">
        <v>390</v>
      </c>
      <c r="B779" s="101" t="s">
        <v>54</v>
      </c>
      <c r="C779" s="101" t="s">
        <v>2403</v>
      </c>
      <c r="D779" s="101" t="s">
        <v>2271</v>
      </c>
      <c r="E779" s="102">
        <v>45888</v>
      </c>
      <c r="F779" s="101" t="s">
        <v>2404</v>
      </c>
      <c r="G779" s="101" t="s">
        <v>2306</v>
      </c>
      <c r="H779" s="103">
        <v>6233.25</v>
      </c>
      <c r="I779" s="133">
        <v>0.17399999999999999</v>
      </c>
      <c r="J779" s="104" t="s">
        <v>833</v>
      </c>
      <c r="K779" s="104" t="s">
        <v>1542</v>
      </c>
    </row>
    <row r="780" spans="1:11" hidden="1" x14ac:dyDescent="0.3">
      <c r="A780" s="100" t="s">
        <v>390</v>
      </c>
      <c r="B780" s="101" t="s">
        <v>54</v>
      </c>
      <c r="C780" s="101" t="s">
        <v>2405</v>
      </c>
      <c r="D780" s="101" t="s">
        <v>2406</v>
      </c>
      <c r="E780" s="102">
        <v>45889</v>
      </c>
      <c r="F780" s="101" t="s">
        <v>371</v>
      </c>
      <c r="G780" s="101" t="s">
        <v>864</v>
      </c>
      <c r="H780" s="103">
        <v>18340.23</v>
      </c>
      <c r="I780" s="133">
        <v>0.32300000000000001</v>
      </c>
      <c r="J780" s="104" t="s">
        <v>833</v>
      </c>
      <c r="K780" s="104" t="s">
        <v>1541</v>
      </c>
    </row>
    <row r="781" spans="1:11" hidden="1" x14ac:dyDescent="0.3">
      <c r="A781" s="100" t="s">
        <v>390</v>
      </c>
      <c r="B781" s="101" t="s">
        <v>54</v>
      </c>
      <c r="C781" s="101" t="s">
        <v>2407</v>
      </c>
      <c r="D781" s="101" t="s">
        <v>2408</v>
      </c>
      <c r="E781" s="102">
        <v>45889</v>
      </c>
      <c r="F781" s="101" t="s">
        <v>371</v>
      </c>
      <c r="G781" s="101" t="s">
        <v>864</v>
      </c>
      <c r="H781" s="103">
        <v>23638.5</v>
      </c>
      <c r="I781" s="133">
        <v>0.28000000000000003</v>
      </c>
      <c r="J781" s="104" t="s">
        <v>833</v>
      </c>
      <c r="K781" s="104" t="s">
        <v>1541</v>
      </c>
    </row>
    <row r="782" spans="1:11" hidden="1" x14ac:dyDescent="0.3">
      <c r="A782" s="100" t="s">
        <v>390</v>
      </c>
      <c r="B782" s="101" t="s">
        <v>54</v>
      </c>
      <c r="C782" s="101" t="s">
        <v>2409</v>
      </c>
      <c r="D782" s="101" t="s">
        <v>2410</v>
      </c>
      <c r="E782" s="102">
        <v>45889</v>
      </c>
      <c r="F782" s="101" t="s">
        <v>371</v>
      </c>
      <c r="G782" s="101" t="s">
        <v>864</v>
      </c>
      <c r="H782" s="103">
        <v>18340.23</v>
      </c>
      <c r="I782" s="133">
        <v>0.32300000000000001</v>
      </c>
      <c r="J782" s="104" t="s">
        <v>833</v>
      </c>
      <c r="K782" s="104" t="s">
        <v>1541</v>
      </c>
    </row>
    <row r="783" spans="1:11" hidden="1" x14ac:dyDescent="0.3">
      <c r="A783" s="100" t="s">
        <v>390</v>
      </c>
      <c r="B783" s="101" t="s">
        <v>54</v>
      </c>
      <c r="C783" s="101" t="s">
        <v>2411</v>
      </c>
      <c r="D783" s="101" t="s">
        <v>2412</v>
      </c>
      <c r="E783" s="102">
        <v>45889</v>
      </c>
      <c r="F783" s="101" t="s">
        <v>371</v>
      </c>
      <c r="G783" s="101" t="s">
        <v>864</v>
      </c>
      <c r="H783" s="103">
        <v>18340.23</v>
      </c>
      <c r="I783" s="133">
        <v>0.31900000000000001</v>
      </c>
      <c r="J783" s="104" t="s">
        <v>833</v>
      </c>
      <c r="K783" s="104" t="s">
        <v>1541</v>
      </c>
    </row>
    <row r="784" spans="1:11" hidden="1" x14ac:dyDescent="0.3">
      <c r="A784" s="100" t="s">
        <v>392</v>
      </c>
      <c r="B784" s="101" t="s">
        <v>54</v>
      </c>
      <c r="C784" s="101" t="s">
        <v>2413</v>
      </c>
      <c r="D784" s="101" t="s">
        <v>2414</v>
      </c>
      <c r="E784" s="102">
        <v>45889</v>
      </c>
      <c r="F784" s="101" t="s">
        <v>370</v>
      </c>
      <c r="G784" s="101" t="s">
        <v>63</v>
      </c>
      <c r="H784" s="103">
        <v>3710.36</v>
      </c>
      <c r="I784" s="133">
        <v>0.51500000000000001</v>
      </c>
      <c r="J784" s="104" t="s">
        <v>848</v>
      </c>
      <c r="K784" s="104" t="s">
        <v>1540</v>
      </c>
    </row>
    <row r="785" spans="1:11" hidden="1" x14ac:dyDescent="0.3">
      <c r="A785" s="100" t="s">
        <v>392</v>
      </c>
      <c r="B785" s="101" t="s">
        <v>54</v>
      </c>
      <c r="C785" s="101" t="s">
        <v>2415</v>
      </c>
      <c r="D785" s="101" t="s">
        <v>2416</v>
      </c>
      <c r="E785" s="102">
        <v>45889</v>
      </c>
      <c r="F785" s="101" t="s">
        <v>371</v>
      </c>
      <c r="G785" s="101" t="s">
        <v>864</v>
      </c>
      <c r="H785" s="103">
        <v>7400</v>
      </c>
      <c r="I785" s="133">
        <v>0.86399999999999999</v>
      </c>
      <c r="J785" s="104" t="s">
        <v>1977</v>
      </c>
      <c r="K785" s="104" t="s">
        <v>1540</v>
      </c>
    </row>
    <row r="786" spans="1:11" hidden="1" x14ac:dyDescent="0.3">
      <c r="A786" s="100" t="s">
        <v>392</v>
      </c>
      <c r="B786" s="101" t="s">
        <v>54</v>
      </c>
      <c r="C786" s="101" t="s">
        <v>2417</v>
      </c>
      <c r="D786" s="101" t="s">
        <v>2418</v>
      </c>
      <c r="E786" s="102">
        <v>45889</v>
      </c>
      <c r="F786" s="101" t="s">
        <v>371</v>
      </c>
      <c r="G786" s="101" t="s">
        <v>864</v>
      </c>
      <c r="H786" s="103">
        <v>7400</v>
      </c>
      <c r="I786" s="133">
        <v>0.86399999999999999</v>
      </c>
      <c r="J786" s="104" t="s">
        <v>1977</v>
      </c>
      <c r="K786" s="104" t="s">
        <v>1540</v>
      </c>
    </row>
    <row r="787" spans="1:11" hidden="1" x14ac:dyDescent="0.3">
      <c r="A787" s="100" t="s">
        <v>392</v>
      </c>
      <c r="B787" s="101" t="s">
        <v>54</v>
      </c>
      <c r="C787" s="101" t="s">
        <v>2419</v>
      </c>
      <c r="D787" s="101" t="s">
        <v>2420</v>
      </c>
      <c r="E787" s="102">
        <v>45889</v>
      </c>
      <c r="F787" s="101" t="s">
        <v>370</v>
      </c>
      <c r="G787" s="101" t="s">
        <v>63</v>
      </c>
      <c r="H787" s="103">
        <v>12200</v>
      </c>
      <c r="I787" s="133">
        <v>0.70499999999999996</v>
      </c>
      <c r="J787" s="104" t="s">
        <v>848</v>
      </c>
      <c r="K787" s="104" t="s">
        <v>1540</v>
      </c>
    </row>
    <row r="788" spans="1:11" hidden="1" x14ac:dyDescent="0.3">
      <c r="A788" s="100" t="s">
        <v>392</v>
      </c>
      <c r="B788" s="101" t="s">
        <v>54</v>
      </c>
      <c r="C788" s="101" t="s">
        <v>2421</v>
      </c>
      <c r="D788" s="101" t="s">
        <v>2422</v>
      </c>
      <c r="E788" s="102">
        <v>45889</v>
      </c>
      <c r="F788" s="101" t="s">
        <v>844</v>
      </c>
      <c r="G788" s="101" t="s">
        <v>863</v>
      </c>
      <c r="H788" s="103">
        <v>21000</v>
      </c>
      <c r="I788" s="133">
        <v>0.315</v>
      </c>
      <c r="J788" s="104" t="s">
        <v>1977</v>
      </c>
      <c r="K788" s="104" t="s">
        <v>1540</v>
      </c>
    </row>
    <row r="789" spans="1:11" hidden="1" x14ac:dyDescent="0.3">
      <c r="A789" s="100" t="s">
        <v>392</v>
      </c>
      <c r="B789" s="101" t="s">
        <v>54</v>
      </c>
      <c r="C789" s="101" t="s">
        <v>2423</v>
      </c>
      <c r="D789" s="101" t="s">
        <v>2424</v>
      </c>
      <c r="E789" s="102">
        <v>45889</v>
      </c>
      <c r="F789" s="101" t="s">
        <v>844</v>
      </c>
      <c r="G789" s="101" t="s">
        <v>863</v>
      </c>
      <c r="H789" s="103">
        <v>10075</v>
      </c>
      <c r="I789" s="133">
        <v>0.23100000000000001</v>
      </c>
      <c r="J789" s="104" t="s">
        <v>1977</v>
      </c>
      <c r="K789" s="104" t="s">
        <v>1540</v>
      </c>
    </row>
    <row r="790" spans="1:11" hidden="1" x14ac:dyDescent="0.3">
      <c r="A790" s="100" t="s">
        <v>392</v>
      </c>
      <c r="B790" s="101" t="s">
        <v>54</v>
      </c>
      <c r="C790" s="101" t="s">
        <v>2425</v>
      </c>
      <c r="D790" s="101" t="s">
        <v>2426</v>
      </c>
      <c r="E790" s="102">
        <v>45890</v>
      </c>
      <c r="F790" s="101" t="s">
        <v>372</v>
      </c>
      <c r="G790" s="101" t="s">
        <v>10</v>
      </c>
      <c r="H790" s="103">
        <v>12400</v>
      </c>
      <c r="I790" s="133">
        <v>0.63500000000000001</v>
      </c>
      <c r="J790" s="104" t="s">
        <v>848</v>
      </c>
      <c r="K790" s="104" t="s">
        <v>1540</v>
      </c>
    </row>
    <row r="791" spans="1:11" hidden="1" x14ac:dyDescent="0.3">
      <c r="A791" s="100" t="s">
        <v>392</v>
      </c>
      <c r="B791" s="101" t="s">
        <v>54</v>
      </c>
      <c r="C791" s="101" t="s">
        <v>2427</v>
      </c>
      <c r="D791" s="101" t="s">
        <v>2428</v>
      </c>
      <c r="E791" s="102">
        <v>45890</v>
      </c>
      <c r="F791" s="101" t="s">
        <v>371</v>
      </c>
      <c r="G791" s="101" t="s">
        <v>864</v>
      </c>
      <c r="H791" s="103">
        <v>7400</v>
      </c>
      <c r="I791" s="133">
        <v>0.86399999999999999</v>
      </c>
      <c r="J791" s="104" t="s">
        <v>1977</v>
      </c>
      <c r="K791" s="104" t="s">
        <v>1540</v>
      </c>
    </row>
    <row r="792" spans="1:11" hidden="1" x14ac:dyDescent="0.3">
      <c r="A792" s="100" t="s">
        <v>392</v>
      </c>
      <c r="B792" s="101" t="s">
        <v>54</v>
      </c>
      <c r="C792" s="101" t="s">
        <v>2429</v>
      </c>
      <c r="D792" s="101" t="s">
        <v>2430</v>
      </c>
      <c r="E792" s="102">
        <v>45890</v>
      </c>
      <c r="F792" s="101" t="s">
        <v>844</v>
      </c>
      <c r="G792" s="101" t="s">
        <v>863</v>
      </c>
      <c r="H792" s="103">
        <v>21000</v>
      </c>
      <c r="I792" s="133">
        <v>0.32600000000000001</v>
      </c>
      <c r="J792" s="104" t="s">
        <v>1977</v>
      </c>
      <c r="K792" s="104" t="s">
        <v>1540</v>
      </c>
    </row>
    <row r="793" spans="1:11" hidden="1" x14ac:dyDescent="0.3">
      <c r="A793" s="100" t="s">
        <v>390</v>
      </c>
      <c r="B793" s="101" t="s">
        <v>54</v>
      </c>
      <c r="C793" s="101" t="s">
        <v>2431</v>
      </c>
      <c r="D793" s="101" t="s">
        <v>2301</v>
      </c>
      <c r="E793" s="102">
        <v>45890</v>
      </c>
      <c r="F793" s="101" t="s">
        <v>854</v>
      </c>
      <c r="G793" s="101" t="s">
        <v>2302</v>
      </c>
      <c r="H793" s="103">
        <v>0.01</v>
      </c>
      <c r="I793" s="133">
        <v>0.33</v>
      </c>
      <c r="J793" s="104" t="s">
        <v>831</v>
      </c>
      <c r="K793" s="104" t="s">
        <v>1542</v>
      </c>
    </row>
    <row r="794" spans="1:11" hidden="1" x14ac:dyDescent="0.3">
      <c r="A794" s="100" t="s">
        <v>392</v>
      </c>
      <c r="B794" s="101" t="s">
        <v>54</v>
      </c>
      <c r="C794" s="101" t="s">
        <v>2432</v>
      </c>
      <c r="D794" s="101" t="s">
        <v>2433</v>
      </c>
      <c r="E794" s="102">
        <v>45891</v>
      </c>
      <c r="F794" s="101" t="s">
        <v>370</v>
      </c>
      <c r="G794" s="101" t="s">
        <v>63</v>
      </c>
      <c r="H794" s="103">
        <v>4600</v>
      </c>
      <c r="I794" s="133">
        <v>0.60899999999999999</v>
      </c>
      <c r="J794" s="104" t="s">
        <v>848</v>
      </c>
      <c r="K794" s="104" t="s">
        <v>1540</v>
      </c>
    </row>
    <row r="795" spans="1:11" hidden="1" x14ac:dyDescent="0.3">
      <c r="A795" s="100" t="s">
        <v>392</v>
      </c>
      <c r="B795" s="101" t="s">
        <v>54</v>
      </c>
      <c r="C795" s="101" t="s">
        <v>2434</v>
      </c>
      <c r="D795" s="101" t="s">
        <v>2435</v>
      </c>
      <c r="E795" s="102">
        <v>45891</v>
      </c>
      <c r="F795" s="101" t="s">
        <v>370</v>
      </c>
      <c r="G795" s="101" t="s">
        <v>63</v>
      </c>
      <c r="H795" s="103">
        <v>11000</v>
      </c>
      <c r="I795" s="133">
        <v>0.67300000000000004</v>
      </c>
      <c r="J795" s="104" t="s">
        <v>848</v>
      </c>
      <c r="K795" s="104" t="s">
        <v>1540</v>
      </c>
    </row>
    <row r="796" spans="1:11" hidden="1" x14ac:dyDescent="0.3">
      <c r="A796" s="100" t="s">
        <v>392</v>
      </c>
      <c r="B796" s="101" t="s">
        <v>54</v>
      </c>
      <c r="C796" s="101" t="s">
        <v>2436</v>
      </c>
      <c r="D796" s="101" t="s">
        <v>2437</v>
      </c>
      <c r="E796" s="102">
        <v>45894</v>
      </c>
      <c r="F796" s="101" t="s">
        <v>371</v>
      </c>
      <c r="G796" s="101" t="s">
        <v>864</v>
      </c>
      <c r="H796" s="103">
        <v>14800</v>
      </c>
      <c r="I796" s="133">
        <v>0.46300000000000002</v>
      </c>
      <c r="J796" s="104" t="s">
        <v>1977</v>
      </c>
      <c r="K796" s="104" t="s">
        <v>1540</v>
      </c>
    </row>
    <row r="797" spans="1:11" hidden="1" x14ac:dyDescent="0.3">
      <c r="A797" s="100" t="s">
        <v>392</v>
      </c>
      <c r="B797" s="101" t="s">
        <v>54</v>
      </c>
      <c r="C797" s="101" t="s">
        <v>2438</v>
      </c>
      <c r="D797" s="101" t="s">
        <v>2439</v>
      </c>
      <c r="E797" s="102">
        <v>45894</v>
      </c>
      <c r="F797" s="101" t="s">
        <v>371</v>
      </c>
      <c r="G797" s="101" t="s">
        <v>864</v>
      </c>
      <c r="H797" s="103">
        <v>14800</v>
      </c>
      <c r="I797" s="133">
        <v>0.57699999999999996</v>
      </c>
      <c r="J797" s="104" t="s">
        <v>1977</v>
      </c>
      <c r="K797" s="104" t="s">
        <v>1540</v>
      </c>
    </row>
    <row r="798" spans="1:11" hidden="1" x14ac:dyDescent="0.3">
      <c r="A798" s="100" t="s">
        <v>392</v>
      </c>
      <c r="B798" s="101" t="s">
        <v>54</v>
      </c>
      <c r="C798" s="101" t="s">
        <v>2440</v>
      </c>
      <c r="D798" s="101" t="s">
        <v>2441</v>
      </c>
      <c r="E798" s="102">
        <v>45894</v>
      </c>
      <c r="F798" s="101" t="s">
        <v>371</v>
      </c>
      <c r="G798" s="101" t="s">
        <v>864</v>
      </c>
      <c r="H798" s="103">
        <v>7400</v>
      </c>
      <c r="I798" s="133">
        <v>0.86299999999999999</v>
      </c>
      <c r="J798" s="104" t="s">
        <v>1977</v>
      </c>
      <c r="K798" s="104" t="s">
        <v>1540</v>
      </c>
    </row>
    <row r="799" spans="1:11" hidden="1" x14ac:dyDescent="0.3">
      <c r="A799" s="100" t="s">
        <v>392</v>
      </c>
      <c r="B799" s="101" t="s">
        <v>54</v>
      </c>
      <c r="C799" s="101" t="s">
        <v>2442</v>
      </c>
      <c r="D799" s="101" t="s">
        <v>2443</v>
      </c>
      <c r="E799" s="102">
        <v>45894</v>
      </c>
      <c r="F799" s="101" t="s">
        <v>371</v>
      </c>
      <c r="G799" s="101" t="s">
        <v>864</v>
      </c>
      <c r="H799" s="103">
        <v>31559.31</v>
      </c>
      <c r="I799" s="133">
        <v>0.501</v>
      </c>
      <c r="J799" s="104" t="s">
        <v>1977</v>
      </c>
      <c r="K799" s="104" t="s">
        <v>1540</v>
      </c>
    </row>
    <row r="800" spans="1:11" hidden="1" x14ac:dyDescent="0.3">
      <c r="A800" s="100" t="s">
        <v>392</v>
      </c>
      <c r="B800" s="101" t="s">
        <v>54</v>
      </c>
      <c r="C800" s="101" t="s">
        <v>2444</v>
      </c>
      <c r="D800" s="101" t="s">
        <v>2445</v>
      </c>
      <c r="E800" s="102">
        <v>45894</v>
      </c>
      <c r="F800" s="101" t="s">
        <v>371</v>
      </c>
      <c r="G800" s="101" t="s">
        <v>864</v>
      </c>
      <c r="H800" s="103">
        <v>7400</v>
      </c>
      <c r="I800" s="133">
        <v>0.86499999999999999</v>
      </c>
      <c r="J800" s="104" t="s">
        <v>1977</v>
      </c>
      <c r="K800" s="104" t="s">
        <v>1540</v>
      </c>
    </row>
    <row r="801" spans="1:11" hidden="1" x14ac:dyDescent="0.3">
      <c r="A801" s="100" t="s">
        <v>392</v>
      </c>
      <c r="B801" s="101" t="s">
        <v>54</v>
      </c>
      <c r="C801" s="101" t="s">
        <v>2446</v>
      </c>
      <c r="D801" s="101" t="s">
        <v>2447</v>
      </c>
      <c r="E801" s="102">
        <v>45894</v>
      </c>
      <c r="F801" s="101" t="s">
        <v>842</v>
      </c>
      <c r="G801" s="101" t="s">
        <v>843</v>
      </c>
      <c r="H801" s="103">
        <v>22000</v>
      </c>
      <c r="I801" s="133">
        <v>0.434</v>
      </c>
      <c r="J801" s="104" t="s">
        <v>1977</v>
      </c>
      <c r="K801" s="104" t="s">
        <v>1540</v>
      </c>
    </row>
    <row r="802" spans="1:11" hidden="1" x14ac:dyDescent="0.3">
      <c r="A802" s="100" t="s">
        <v>390</v>
      </c>
      <c r="B802" s="101" t="s">
        <v>54</v>
      </c>
      <c r="C802" s="101" t="s">
        <v>2448</v>
      </c>
      <c r="D802" s="101" t="s">
        <v>2240</v>
      </c>
      <c r="E802" s="102">
        <v>45894</v>
      </c>
      <c r="F802" s="101" t="s">
        <v>371</v>
      </c>
      <c r="G802" s="101" t="s">
        <v>864</v>
      </c>
      <c r="H802" s="103">
        <v>3000</v>
      </c>
      <c r="I802" s="133">
        <v>0.54500000000000004</v>
      </c>
      <c r="J802" s="104" t="s">
        <v>831</v>
      </c>
      <c r="K802" s="104" t="s">
        <v>1542</v>
      </c>
    </row>
    <row r="803" spans="1:11" hidden="1" x14ac:dyDescent="0.3">
      <c r="A803" s="100" t="s">
        <v>392</v>
      </c>
      <c r="B803" s="101" t="s">
        <v>54</v>
      </c>
      <c r="C803" s="101" t="s">
        <v>2449</v>
      </c>
      <c r="D803" s="101" t="s">
        <v>2450</v>
      </c>
      <c r="E803" s="102">
        <v>45894</v>
      </c>
      <c r="F803" s="101" t="s">
        <v>370</v>
      </c>
      <c r="G803" s="101" t="s">
        <v>63</v>
      </c>
      <c r="H803" s="103">
        <v>42900</v>
      </c>
      <c r="I803" s="133">
        <v>0.36499999999999999</v>
      </c>
      <c r="J803" s="104" t="s">
        <v>848</v>
      </c>
      <c r="K803" s="104" t="s">
        <v>1540</v>
      </c>
    </row>
    <row r="804" spans="1:11" hidden="1" x14ac:dyDescent="0.3">
      <c r="A804" s="100" t="s">
        <v>392</v>
      </c>
      <c r="B804" s="101" t="s">
        <v>54</v>
      </c>
      <c r="C804" s="101" t="s">
        <v>2451</v>
      </c>
      <c r="D804" s="101" t="s">
        <v>2452</v>
      </c>
      <c r="E804" s="102">
        <v>45894</v>
      </c>
      <c r="F804" s="101" t="s">
        <v>370</v>
      </c>
      <c r="G804" s="101" t="s">
        <v>63</v>
      </c>
      <c r="H804" s="103">
        <v>29700</v>
      </c>
      <c r="I804" s="133">
        <v>0.70399999999999996</v>
      </c>
      <c r="J804" s="104" t="s">
        <v>848</v>
      </c>
      <c r="K804" s="104" t="s">
        <v>1540</v>
      </c>
    </row>
    <row r="805" spans="1:11" hidden="1" x14ac:dyDescent="0.3">
      <c r="A805" s="100" t="s">
        <v>390</v>
      </c>
      <c r="B805" s="101" t="s">
        <v>54</v>
      </c>
      <c r="C805" s="101" t="s">
        <v>2453</v>
      </c>
      <c r="D805" s="101" t="s">
        <v>2454</v>
      </c>
      <c r="E805" s="102">
        <v>45894</v>
      </c>
      <c r="F805" s="101" t="s">
        <v>372</v>
      </c>
      <c r="G805" s="101" t="s">
        <v>10</v>
      </c>
      <c r="H805" s="103">
        <v>3540</v>
      </c>
      <c r="I805" s="133">
        <v>0.25900000000000001</v>
      </c>
      <c r="J805" s="104" t="s">
        <v>833</v>
      </c>
      <c r="K805" s="104" t="s">
        <v>1542</v>
      </c>
    </row>
    <row r="806" spans="1:11" hidden="1" x14ac:dyDescent="0.3">
      <c r="A806" s="100" t="s">
        <v>392</v>
      </c>
      <c r="B806" s="101" t="s">
        <v>54</v>
      </c>
      <c r="C806" s="101" t="s">
        <v>2455</v>
      </c>
      <c r="D806" s="101" t="s">
        <v>2456</v>
      </c>
      <c r="E806" s="102">
        <v>45894</v>
      </c>
      <c r="F806" s="101" t="s">
        <v>370</v>
      </c>
      <c r="G806" s="101" t="s">
        <v>63</v>
      </c>
      <c r="H806" s="103">
        <v>780</v>
      </c>
      <c r="I806" s="133">
        <v>0.47799999999999998</v>
      </c>
      <c r="J806" s="104" t="s">
        <v>848</v>
      </c>
      <c r="K806" s="104" t="s">
        <v>1540</v>
      </c>
    </row>
    <row r="807" spans="1:11" hidden="1" x14ac:dyDescent="0.3">
      <c r="A807" s="100" t="s">
        <v>392</v>
      </c>
      <c r="B807" s="101" t="s">
        <v>54</v>
      </c>
      <c r="C807" s="101" t="s">
        <v>2457</v>
      </c>
      <c r="D807" s="101" t="s">
        <v>2458</v>
      </c>
      <c r="E807" s="102">
        <v>45894</v>
      </c>
      <c r="F807" s="101" t="s">
        <v>370</v>
      </c>
      <c r="G807" s="101" t="s">
        <v>63</v>
      </c>
      <c r="H807" s="103">
        <v>4800</v>
      </c>
      <c r="I807" s="133">
        <v>0.625</v>
      </c>
      <c r="J807" s="104" t="s">
        <v>848</v>
      </c>
      <c r="K807" s="104" t="s">
        <v>1540</v>
      </c>
    </row>
    <row r="808" spans="1:11" hidden="1" x14ac:dyDescent="0.3">
      <c r="A808" s="100" t="s">
        <v>392</v>
      </c>
      <c r="B808" s="101" t="s">
        <v>54</v>
      </c>
      <c r="C808" s="101" t="s">
        <v>2459</v>
      </c>
      <c r="D808" s="101" t="s">
        <v>2460</v>
      </c>
      <c r="E808" s="102">
        <v>45894</v>
      </c>
      <c r="F808" s="101" t="s">
        <v>371</v>
      </c>
      <c r="G808" s="101" t="s">
        <v>864</v>
      </c>
      <c r="H808" s="103">
        <v>7400</v>
      </c>
      <c r="I808" s="133">
        <v>0.86299999999999999</v>
      </c>
      <c r="J808" s="104" t="s">
        <v>1977</v>
      </c>
      <c r="K808" s="104" t="s">
        <v>1540</v>
      </c>
    </row>
    <row r="809" spans="1:11" hidden="1" x14ac:dyDescent="0.3">
      <c r="A809" s="100" t="s">
        <v>392</v>
      </c>
      <c r="B809" s="101" t="s">
        <v>54</v>
      </c>
      <c r="C809" s="101" t="s">
        <v>2461</v>
      </c>
      <c r="D809" s="101" t="s">
        <v>2462</v>
      </c>
      <c r="E809" s="102">
        <v>45895</v>
      </c>
      <c r="F809" s="101" t="s">
        <v>370</v>
      </c>
      <c r="G809" s="101" t="s">
        <v>63</v>
      </c>
      <c r="H809" s="103">
        <v>4000</v>
      </c>
      <c r="I809" s="133">
        <v>0.55000000000000004</v>
      </c>
      <c r="J809" s="104" t="s">
        <v>848</v>
      </c>
      <c r="K809" s="104" t="s">
        <v>1540</v>
      </c>
    </row>
    <row r="810" spans="1:11" hidden="1" x14ac:dyDescent="0.3">
      <c r="A810" s="100" t="s">
        <v>392</v>
      </c>
      <c r="B810" s="101" t="s">
        <v>54</v>
      </c>
      <c r="C810" s="101" t="s">
        <v>2463</v>
      </c>
      <c r="D810" s="101" t="s">
        <v>2464</v>
      </c>
      <c r="E810" s="102">
        <v>45895</v>
      </c>
      <c r="F810" s="101" t="s">
        <v>370</v>
      </c>
      <c r="G810" s="101" t="s">
        <v>63</v>
      </c>
      <c r="H810" s="103">
        <v>4200</v>
      </c>
      <c r="I810" s="133">
        <v>0.57099999999999995</v>
      </c>
      <c r="J810" s="104" t="s">
        <v>848</v>
      </c>
      <c r="K810" s="104" t="s">
        <v>1540</v>
      </c>
    </row>
    <row r="811" spans="1:11" hidden="1" x14ac:dyDescent="0.3">
      <c r="A811" s="100" t="s">
        <v>392</v>
      </c>
      <c r="B811" s="101" t="s">
        <v>54</v>
      </c>
      <c r="C811" s="101" t="s">
        <v>2465</v>
      </c>
      <c r="D811" s="101" t="s">
        <v>2466</v>
      </c>
      <c r="E811" s="102">
        <v>45895</v>
      </c>
      <c r="F811" s="101" t="s">
        <v>842</v>
      </c>
      <c r="G811" s="101" t="s">
        <v>843</v>
      </c>
      <c r="H811" s="103">
        <v>22000</v>
      </c>
      <c r="I811" s="133">
        <v>0.45100000000000001</v>
      </c>
      <c r="J811" s="104" t="s">
        <v>1977</v>
      </c>
      <c r="K811" s="104" t="s">
        <v>1540</v>
      </c>
    </row>
    <row r="812" spans="1:11" hidden="1" x14ac:dyDescent="0.3">
      <c r="A812" s="100" t="s">
        <v>392</v>
      </c>
      <c r="B812" s="101" t="s">
        <v>54</v>
      </c>
      <c r="C812" s="101" t="s">
        <v>2467</v>
      </c>
      <c r="D812" s="101" t="s">
        <v>2468</v>
      </c>
      <c r="E812" s="102">
        <v>45895</v>
      </c>
      <c r="F812" s="101" t="s">
        <v>372</v>
      </c>
      <c r="G812" s="101" t="s">
        <v>10</v>
      </c>
      <c r="H812" s="103">
        <v>11700</v>
      </c>
      <c r="I812" s="133">
        <v>0.5</v>
      </c>
      <c r="J812" s="104" t="s">
        <v>848</v>
      </c>
      <c r="K812" s="104" t="s">
        <v>1540</v>
      </c>
    </row>
    <row r="813" spans="1:11" hidden="1" x14ac:dyDescent="0.3">
      <c r="A813" s="100" t="s">
        <v>390</v>
      </c>
      <c r="B813" s="101" t="s">
        <v>54</v>
      </c>
      <c r="C813" s="101" t="s">
        <v>2469</v>
      </c>
      <c r="D813" s="101" t="s">
        <v>2470</v>
      </c>
      <c r="E813" s="102">
        <v>45896</v>
      </c>
      <c r="F813" s="101" t="s">
        <v>372</v>
      </c>
      <c r="G813" s="101" t="s">
        <v>10</v>
      </c>
      <c r="H813" s="103">
        <v>3540</v>
      </c>
      <c r="I813" s="133">
        <v>0.25900000000000001</v>
      </c>
      <c r="J813" s="104" t="s">
        <v>831</v>
      </c>
      <c r="K813" s="104" t="s">
        <v>1542</v>
      </c>
    </row>
    <row r="814" spans="1:11" hidden="1" x14ac:dyDescent="0.3">
      <c r="A814" s="100" t="s">
        <v>390</v>
      </c>
      <c r="B814" s="101" t="s">
        <v>54</v>
      </c>
      <c r="C814" s="101" t="s">
        <v>2471</v>
      </c>
      <c r="D814" s="101" t="s">
        <v>2290</v>
      </c>
      <c r="E814" s="102">
        <v>45896</v>
      </c>
      <c r="F814" s="101" t="s">
        <v>372</v>
      </c>
      <c r="G814" s="101" t="s">
        <v>10</v>
      </c>
      <c r="H814" s="103">
        <v>101989.99</v>
      </c>
      <c r="I814" s="133">
        <v>0.29099999999999998</v>
      </c>
      <c r="J814" s="104" t="s">
        <v>831</v>
      </c>
      <c r="K814" s="104" t="s">
        <v>1542</v>
      </c>
    </row>
    <row r="815" spans="1:11" hidden="1" x14ac:dyDescent="0.3">
      <c r="A815" s="100" t="s">
        <v>390</v>
      </c>
      <c r="B815" s="101" t="s">
        <v>54</v>
      </c>
      <c r="C815" s="101" t="s">
        <v>2472</v>
      </c>
      <c r="D815" s="101" t="s">
        <v>2473</v>
      </c>
      <c r="E815" s="102">
        <v>45896</v>
      </c>
      <c r="F815" s="101" t="s">
        <v>372</v>
      </c>
      <c r="G815" s="101" t="s">
        <v>10</v>
      </c>
      <c r="H815" s="103">
        <v>20658.98</v>
      </c>
      <c r="I815" s="133">
        <v>0.34599999999999997</v>
      </c>
      <c r="J815" s="104" t="s">
        <v>831</v>
      </c>
      <c r="K815" s="104" t="s">
        <v>1541</v>
      </c>
    </row>
    <row r="816" spans="1:11" hidden="1" x14ac:dyDescent="0.3">
      <c r="A816" s="100" t="s">
        <v>390</v>
      </c>
      <c r="B816" s="101" t="s">
        <v>54</v>
      </c>
      <c r="C816" s="101" t="s">
        <v>2474</v>
      </c>
      <c r="D816" s="101" t="s">
        <v>2475</v>
      </c>
      <c r="E816" s="102">
        <v>45896</v>
      </c>
      <c r="F816" s="101" t="s">
        <v>372</v>
      </c>
      <c r="G816" s="101" t="s">
        <v>10</v>
      </c>
      <c r="H816" s="103">
        <v>101132.04</v>
      </c>
      <c r="I816" s="133">
        <v>0.33900000000000002</v>
      </c>
      <c r="J816" s="104" t="s">
        <v>831</v>
      </c>
      <c r="K816" s="104" t="s">
        <v>1542</v>
      </c>
    </row>
    <row r="817" spans="1:11" hidden="1" x14ac:dyDescent="0.3">
      <c r="A817" s="100" t="s">
        <v>390</v>
      </c>
      <c r="B817" s="101" t="s">
        <v>54</v>
      </c>
      <c r="C817" s="101" t="s">
        <v>2476</v>
      </c>
      <c r="D817" s="101" t="s">
        <v>2273</v>
      </c>
      <c r="E817" s="102">
        <v>45896</v>
      </c>
      <c r="F817" s="101" t="s">
        <v>2274</v>
      </c>
      <c r="G817" s="101" t="s">
        <v>2275</v>
      </c>
      <c r="H817" s="103">
        <v>186283.56999999995</v>
      </c>
      <c r="I817" s="133">
        <v>0.27400000000000002</v>
      </c>
      <c r="J817" s="104" t="s">
        <v>831</v>
      </c>
      <c r="K817" s="104" t="s">
        <v>1542</v>
      </c>
    </row>
    <row r="818" spans="1:11" hidden="1" x14ac:dyDescent="0.3">
      <c r="A818" s="100" t="s">
        <v>392</v>
      </c>
      <c r="B818" s="101" t="s">
        <v>54</v>
      </c>
      <c r="C818" s="101" t="s">
        <v>2477</v>
      </c>
      <c r="D818" s="101" t="s">
        <v>2478</v>
      </c>
      <c r="E818" s="102">
        <v>45896</v>
      </c>
      <c r="F818" s="101" t="s">
        <v>371</v>
      </c>
      <c r="G818" s="101" t="s">
        <v>864</v>
      </c>
      <c r="H818" s="103">
        <v>7400</v>
      </c>
      <c r="I818" s="133">
        <v>0.61199999999999999</v>
      </c>
      <c r="J818" s="104" t="s">
        <v>1977</v>
      </c>
      <c r="K818" s="104" t="s">
        <v>1540</v>
      </c>
    </row>
    <row r="819" spans="1:11" hidden="1" x14ac:dyDescent="0.3">
      <c r="A819" s="100" t="s">
        <v>390</v>
      </c>
      <c r="B819" s="101" t="s">
        <v>54</v>
      </c>
      <c r="C819" s="101" t="s">
        <v>2479</v>
      </c>
      <c r="D819" s="101" t="s">
        <v>2480</v>
      </c>
      <c r="E819" s="102">
        <v>45896</v>
      </c>
      <c r="F819" s="101" t="s">
        <v>619</v>
      </c>
      <c r="G819" s="101" t="s">
        <v>2086</v>
      </c>
      <c r="H819" s="103">
        <v>19500</v>
      </c>
      <c r="I819" s="133">
        <v>0.55600000000000005</v>
      </c>
      <c r="J819" s="104" t="s">
        <v>833</v>
      </c>
      <c r="K819" s="104" t="s">
        <v>1541</v>
      </c>
    </row>
    <row r="820" spans="1:11" hidden="1" x14ac:dyDescent="0.3">
      <c r="A820" s="100" t="s">
        <v>390</v>
      </c>
      <c r="B820" s="101" t="s">
        <v>54</v>
      </c>
      <c r="C820" s="101" t="s">
        <v>2481</v>
      </c>
      <c r="D820" s="101" t="s">
        <v>2482</v>
      </c>
      <c r="E820" s="102">
        <v>45896</v>
      </c>
      <c r="F820" s="101" t="s">
        <v>375</v>
      </c>
      <c r="G820" s="101" t="s">
        <v>2303</v>
      </c>
      <c r="H820" s="103">
        <v>10921.41</v>
      </c>
      <c r="I820" s="133">
        <v>0.33600000000000002</v>
      </c>
      <c r="J820" s="104" t="s">
        <v>831</v>
      </c>
      <c r="K820" s="104" t="s">
        <v>1541</v>
      </c>
    </row>
    <row r="821" spans="1:11" hidden="1" x14ac:dyDescent="0.3">
      <c r="A821" s="100" t="s">
        <v>390</v>
      </c>
      <c r="B821" s="101" t="s">
        <v>54</v>
      </c>
      <c r="C821" s="101" t="s">
        <v>2483</v>
      </c>
      <c r="D821" s="101" t="s">
        <v>2484</v>
      </c>
      <c r="E821" s="102">
        <v>45896</v>
      </c>
      <c r="F821" s="101" t="s">
        <v>2485</v>
      </c>
      <c r="G821" s="101" t="s">
        <v>2304</v>
      </c>
      <c r="H821" s="103">
        <v>21769.67</v>
      </c>
      <c r="I821" s="133">
        <v>0.40200000000000002</v>
      </c>
      <c r="J821" s="104" t="s">
        <v>1977</v>
      </c>
      <c r="K821" s="104" t="s">
        <v>1542</v>
      </c>
    </row>
    <row r="822" spans="1:11" hidden="1" x14ac:dyDescent="0.3">
      <c r="A822" s="100" t="s">
        <v>392</v>
      </c>
      <c r="B822" s="101" t="s">
        <v>54</v>
      </c>
      <c r="C822" s="101" t="s">
        <v>2486</v>
      </c>
      <c r="D822" s="101" t="s">
        <v>2487</v>
      </c>
      <c r="E822" s="102">
        <v>45896</v>
      </c>
      <c r="F822" s="101" t="s">
        <v>842</v>
      </c>
      <c r="G822" s="101" t="s">
        <v>843</v>
      </c>
      <c r="H822" s="103">
        <v>25000</v>
      </c>
      <c r="I822" s="133">
        <v>0.27700000000000002</v>
      </c>
      <c r="J822" s="104" t="s">
        <v>1977</v>
      </c>
      <c r="K822" s="104" t="s">
        <v>1540</v>
      </c>
    </row>
    <row r="823" spans="1:11" hidden="1" x14ac:dyDescent="0.3">
      <c r="A823" s="100" t="s">
        <v>390</v>
      </c>
      <c r="B823" s="101" t="s">
        <v>54</v>
      </c>
      <c r="C823" s="101" t="s">
        <v>2488</v>
      </c>
      <c r="D823" s="101" t="s">
        <v>2489</v>
      </c>
      <c r="E823" s="102">
        <v>45896</v>
      </c>
      <c r="F823" s="101" t="s">
        <v>371</v>
      </c>
      <c r="G823" s="101" t="s">
        <v>864</v>
      </c>
      <c r="H823" s="103">
        <v>13331.62</v>
      </c>
      <c r="I823" s="133">
        <v>0.48799999999999999</v>
      </c>
      <c r="J823" s="104" t="s">
        <v>832</v>
      </c>
      <c r="K823" s="104" t="s">
        <v>1541</v>
      </c>
    </row>
    <row r="824" spans="1:11" hidden="1" x14ac:dyDescent="0.3">
      <c r="A824" s="100" t="s">
        <v>392</v>
      </c>
      <c r="B824" s="101" t="s">
        <v>54</v>
      </c>
      <c r="C824" s="101" t="s">
        <v>2490</v>
      </c>
      <c r="D824" s="101" t="s">
        <v>2491</v>
      </c>
      <c r="E824" s="102">
        <v>45896</v>
      </c>
      <c r="F824" s="101" t="s">
        <v>371</v>
      </c>
      <c r="G824" s="101" t="s">
        <v>864</v>
      </c>
      <c r="H824" s="103">
        <v>7400</v>
      </c>
      <c r="I824" s="133">
        <v>0.86299999999999999</v>
      </c>
      <c r="J824" s="104" t="s">
        <v>1977</v>
      </c>
      <c r="K824" s="104" t="s">
        <v>1540</v>
      </c>
    </row>
    <row r="825" spans="1:11" hidden="1" x14ac:dyDescent="0.3">
      <c r="A825" s="100" t="s">
        <v>390</v>
      </c>
      <c r="B825" s="101" t="s">
        <v>54</v>
      </c>
      <c r="C825" s="101" t="s">
        <v>2492</v>
      </c>
      <c r="D825" s="101" t="s">
        <v>2493</v>
      </c>
      <c r="E825" s="102">
        <v>45896</v>
      </c>
      <c r="F825" s="101" t="s">
        <v>371</v>
      </c>
      <c r="G825" s="101" t="s">
        <v>864</v>
      </c>
      <c r="H825" s="103">
        <v>40762.800000000003</v>
      </c>
      <c r="I825" s="133">
        <v>0.16400000000000001</v>
      </c>
      <c r="J825" s="104" t="s">
        <v>832</v>
      </c>
      <c r="K825" s="104" t="s">
        <v>1541</v>
      </c>
    </row>
    <row r="826" spans="1:11" hidden="1" x14ac:dyDescent="0.3">
      <c r="A826" s="100" t="s">
        <v>390</v>
      </c>
      <c r="B826" s="101" t="s">
        <v>54</v>
      </c>
      <c r="C826" s="101" t="s">
        <v>2494</v>
      </c>
      <c r="D826" s="101" t="s">
        <v>2495</v>
      </c>
      <c r="E826" s="102">
        <v>45896</v>
      </c>
      <c r="F826" s="101" t="s">
        <v>372</v>
      </c>
      <c r="G826" s="101" t="s">
        <v>10</v>
      </c>
      <c r="H826" s="103">
        <v>73394.11</v>
      </c>
      <c r="I826" s="133">
        <v>0.13</v>
      </c>
      <c r="J826" s="104" t="s">
        <v>831</v>
      </c>
      <c r="K826" s="104" t="s">
        <v>1542</v>
      </c>
    </row>
    <row r="827" spans="1:11" hidden="1" x14ac:dyDescent="0.3">
      <c r="A827" s="100" t="s">
        <v>390</v>
      </c>
      <c r="B827" s="101" t="s">
        <v>54</v>
      </c>
      <c r="C827" s="101" t="s">
        <v>2496</v>
      </c>
      <c r="D827" s="101" t="s">
        <v>2497</v>
      </c>
      <c r="E827" s="102">
        <v>45896</v>
      </c>
      <c r="F827" s="101" t="s">
        <v>371</v>
      </c>
      <c r="G827" s="101" t="s">
        <v>864</v>
      </c>
      <c r="H827" s="103">
        <v>30828.14</v>
      </c>
      <c r="I827" s="133">
        <v>0.216</v>
      </c>
      <c r="J827" s="104" t="s">
        <v>832</v>
      </c>
      <c r="K827" s="104" t="s">
        <v>1541</v>
      </c>
    </row>
    <row r="828" spans="1:11" hidden="1" x14ac:dyDescent="0.3">
      <c r="A828" s="100" t="s">
        <v>390</v>
      </c>
      <c r="B828" s="101" t="s">
        <v>54</v>
      </c>
      <c r="C828" s="101" t="s">
        <v>2498</v>
      </c>
      <c r="D828" s="101" t="s">
        <v>2499</v>
      </c>
      <c r="E828" s="102">
        <v>45896</v>
      </c>
      <c r="F828" s="101" t="s">
        <v>371</v>
      </c>
      <c r="G828" s="101" t="s">
        <v>864</v>
      </c>
      <c r="H828" s="103">
        <v>24251.15</v>
      </c>
      <c r="I828" s="133">
        <v>0.187</v>
      </c>
      <c r="J828" s="104" t="s">
        <v>832</v>
      </c>
      <c r="K828" s="104" t="s">
        <v>1541</v>
      </c>
    </row>
    <row r="829" spans="1:11" hidden="1" x14ac:dyDescent="0.3">
      <c r="A829" s="100" t="s">
        <v>390</v>
      </c>
      <c r="B829" s="101" t="s">
        <v>54</v>
      </c>
      <c r="C829" s="101" t="s">
        <v>2500</v>
      </c>
      <c r="D829" s="101" t="s">
        <v>2501</v>
      </c>
      <c r="E829" s="102">
        <v>45896</v>
      </c>
      <c r="F829" s="101" t="s">
        <v>371</v>
      </c>
      <c r="G829" s="101" t="s">
        <v>864</v>
      </c>
      <c r="H829" s="103">
        <v>13540.23</v>
      </c>
      <c r="I829" s="133">
        <v>0.23100000000000001</v>
      </c>
      <c r="J829" s="104" t="s">
        <v>832</v>
      </c>
      <c r="K829" s="104" t="s">
        <v>1541</v>
      </c>
    </row>
    <row r="830" spans="1:11" hidden="1" x14ac:dyDescent="0.3">
      <c r="A830" s="100" t="s">
        <v>390</v>
      </c>
      <c r="B830" s="101" t="s">
        <v>54</v>
      </c>
      <c r="C830" s="101" t="s">
        <v>2502</v>
      </c>
      <c r="D830" s="101" t="s">
        <v>2503</v>
      </c>
      <c r="E830" s="102">
        <v>45896</v>
      </c>
      <c r="F830" s="101" t="s">
        <v>371</v>
      </c>
      <c r="G830" s="101" t="s">
        <v>864</v>
      </c>
      <c r="H830" s="103">
        <v>14277.57</v>
      </c>
      <c r="I830" s="133">
        <v>0.22600000000000001</v>
      </c>
      <c r="J830" s="104" t="s">
        <v>832</v>
      </c>
      <c r="K830" s="104" t="s">
        <v>1541</v>
      </c>
    </row>
    <row r="831" spans="1:11" hidden="1" x14ac:dyDescent="0.3">
      <c r="A831" s="100" t="s">
        <v>390</v>
      </c>
      <c r="B831" s="101" t="s">
        <v>54</v>
      </c>
      <c r="C831" s="101" t="s">
        <v>2504</v>
      </c>
      <c r="D831" s="101" t="s">
        <v>2505</v>
      </c>
      <c r="E831" s="102">
        <v>45896</v>
      </c>
      <c r="F831" s="101" t="s">
        <v>371</v>
      </c>
      <c r="G831" s="101" t="s">
        <v>864</v>
      </c>
      <c r="H831" s="103">
        <v>16040.23</v>
      </c>
      <c r="I831" s="133">
        <v>0.23899999999999999</v>
      </c>
      <c r="J831" s="104" t="s">
        <v>832</v>
      </c>
      <c r="K831" s="104" t="s">
        <v>1541</v>
      </c>
    </row>
    <row r="832" spans="1:11" hidden="1" x14ac:dyDescent="0.3">
      <c r="A832" s="100" t="s">
        <v>390</v>
      </c>
      <c r="B832" s="101" t="s">
        <v>54</v>
      </c>
      <c r="C832" s="101" t="s">
        <v>2506</v>
      </c>
      <c r="D832" s="101" t="s">
        <v>2507</v>
      </c>
      <c r="E832" s="102">
        <v>45896</v>
      </c>
      <c r="F832" s="101" t="s">
        <v>371</v>
      </c>
      <c r="G832" s="101" t="s">
        <v>864</v>
      </c>
      <c r="H832" s="103">
        <v>16938.759999999998</v>
      </c>
      <c r="I832" s="133">
        <v>0.23300000000000001</v>
      </c>
      <c r="J832" s="104" t="s">
        <v>832</v>
      </c>
      <c r="K832" s="104" t="s">
        <v>1541</v>
      </c>
    </row>
    <row r="833" spans="1:11" hidden="1" x14ac:dyDescent="0.3">
      <c r="A833" s="100" t="s">
        <v>390</v>
      </c>
      <c r="B833" s="101" t="s">
        <v>54</v>
      </c>
      <c r="C833" s="101" t="s">
        <v>2508</v>
      </c>
      <c r="D833" s="101" t="s">
        <v>2509</v>
      </c>
      <c r="E833" s="102">
        <v>45896</v>
      </c>
      <c r="F833" s="101" t="s">
        <v>371</v>
      </c>
      <c r="G833" s="101" t="s">
        <v>864</v>
      </c>
      <c r="H833" s="103">
        <v>16777.57</v>
      </c>
      <c r="I833" s="133">
        <v>0.23400000000000001</v>
      </c>
      <c r="J833" s="104" t="s">
        <v>832</v>
      </c>
      <c r="K833" s="104" t="s">
        <v>1541</v>
      </c>
    </row>
    <row r="834" spans="1:11" hidden="1" x14ac:dyDescent="0.3">
      <c r="A834" s="100" t="s">
        <v>392</v>
      </c>
      <c r="B834" s="101" t="s">
        <v>54</v>
      </c>
      <c r="C834" s="101" t="s">
        <v>2510</v>
      </c>
      <c r="D834" s="101" t="s">
        <v>2511</v>
      </c>
      <c r="E834" s="102">
        <v>45897</v>
      </c>
      <c r="F834" s="101" t="s">
        <v>842</v>
      </c>
      <c r="G834" s="101" t="s">
        <v>843</v>
      </c>
      <c r="H834" s="103">
        <v>22000</v>
      </c>
      <c r="I834" s="133">
        <v>0.44800000000000001</v>
      </c>
      <c r="J834" s="104" t="s">
        <v>1977</v>
      </c>
      <c r="K834" s="104" t="s">
        <v>1540</v>
      </c>
    </row>
    <row r="835" spans="1:11" hidden="1" x14ac:dyDescent="0.3">
      <c r="A835" s="100" t="s">
        <v>390</v>
      </c>
      <c r="B835" s="101" t="s">
        <v>54</v>
      </c>
      <c r="C835" s="101" t="s">
        <v>2512</v>
      </c>
      <c r="D835" s="101" t="s">
        <v>2513</v>
      </c>
      <c r="E835" s="102">
        <v>45897</v>
      </c>
      <c r="F835" s="101" t="s">
        <v>370</v>
      </c>
      <c r="G835" s="101" t="s">
        <v>63</v>
      </c>
      <c r="H835" s="103">
        <v>8862</v>
      </c>
      <c r="I835" s="133">
        <v>0.51700000000000002</v>
      </c>
      <c r="J835" s="104" t="s">
        <v>1835</v>
      </c>
      <c r="K835" s="104" t="s">
        <v>1541</v>
      </c>
    </row>
    <row r="836" spans="1:11" hidden="1" x14ac:dyDescent="0.3">
      <c r="A836" s="100" t="s">
        <v>392</v>
      </c>
      <c r="B836" s="101" t="s">
        <v>54</v>
      </c>
      <c r="C836" s="101" t="s">
        <v>2514</v>
      </c>
      <c r="D836" s="101" t="s">
        <v>2515</v>
      </c>
      <c r="E836" s="102">
        <v>45897</v>
      </c>
      <c r="F836" s="101" t="s">
        <v>370</v>
      </c>
      <c r="G836" s="101" t="s">
        <v>63</v>
      </c>
      <c r="H836" s="103">
        <v>8300</v>
      </c>
      <c r="I836" s="133">
        <v>0.56599999999999995</v>
      </c>
      <c r="J836" s="104" t="s">
        <v>848</v>
      </c>
      <c r="K836" s="104" t="s">
        <v>1540</v>
      </c>
    </row>
    <row r="837" spans="1:11" hidden="1" x14ac:dyDescent="0.3">
      <c r="A837" s="100" t="s">
        <v>392</v>
      </c>
      <c r="B837" s="101" t="s">
        <v>54</v>
      </c>
      <c r="C837" s="101" t="s">
        <v>2516</v>
      </c>
      <c r="D837" s="101" t="s">
        <v>2517</v>
      </c>
      <c r="E837" s="102">
        <v>45897</v>
      </c>
      <c r="F837" s="101" t="s">
        <v>370</v>
      </c>
      <c r="G837" s="101" t="s">
        <v>63</v>
      </c>
      <c r="H837" s="103">
        <v>4800</v>
      </c>
      <c r="I837" s="133">
        <v>0.625</v>
      </c>
      <c r="J837" s="104" t="s">
        <v>848</v>
      </c>
      <c r="K837" s="104" t="s">
        <v>1540</v>
      </c>
    </row>
    <row r="838" spans="1:11" hidden="1" x14ac:dyDescent="0.3">
      <c r="A838" s="100" t="s">
        <v>390</v>
      </c>
      <c r="B838" s="101" t="s">
        <v>54</v>
      </c>
      <c r="C838" s="101" t="s">
        <v>2518</v>
      </c>
      <c r="D838" s="101" t="s">
        <v>2519</v>
      </c>
      <c r="E838" s="102">
        <v>45897</v>
      </c>
      <c r="F838" s="101" t="s">
        <v>371</v>
      </c>
      <c r="G838" s="101" t="s">
        <v>864</v>
      </c>
      <c r="H838" s="103">
        <v>43103.54</v>
      </c>
      <c r="I838" s="133">
        <v>0.17799999999999999</v>
      </c>
      <c r="J838" s="104" t="s">
        <v>833</v>
      </c>
      <c r="K838" s="104" t="s">
        <v>1542</v>
      </c>
    </row>
    <row r="839" spans="1:11" hidden="1" x14ac:dyDescent="0.3">
      <c r="A839" s="100" t="s">
        <v>390</v>
      </c>
      <c r="B839" s="101" t="s">
        <v>54</v>
      </c>
      <c r="C839" s="101" t="s">
        <v>2520</v>
      </c>
      <c r="D839" s="101" t="s">
        <v>2521</v>
      </c>
      <c r="E839" s="102">
        <v>45897</v>
      </c>
      <c r="F839" s="101" t="s">
        <v>371</v>
      </c>
      <c r="G839" s="101" t="s">
        <v>864</v>
      </c>
      <c r="H839" s="103">
        <v>311528.71000000002</v>
      </c>
      <c r="I839" s="133">
        <v>0.19700000000000001</v>
      </c>
      <c r="J839" s="104" t="s">
        <v>833</v>
      </c>
      <c r="K839" s="104" t="s">
        <v>1542</v>
      </c>
    </row>
    <row r="840" spans="1:11" hidden="1" x14ac:dyDescent="0.3">
      <c r="A840" s="100" t="s">
        <v>392</v>
      </c>
      <c r="B840" s="101" t="s">
        <v>54</v>
      </c>
      <c r="C840" s="101" t="s">
        <v>2522</v>
      </c>
      <c r="D840" s="101" t="s">
        <v>2523</v>
      </c>
      <c r="E840" s="102">
        <v>45897</v>
      </c>
      <c r="F840" s="101" t="s">
        <v>842</v>
      </c>
      <c r="G840" s="101" t="s">
        <v>843</v>
      </c>
      <c r="H840" s="103">
        <v>22000</v>
      </c>
      <c r="I840" s="133">
        <v>0.44800000000000001</v>
      </c>
      <c r="J840" s="104" t="s">
        <v>1977</v>
      </c>
      <c r="K840" s="104" t="s">
        <v>1540</v>
      </c>
    </row>
    <row r="841" spans="1:11" hidden="1" x14ac:dyDescent="0.3">
      <c r="A841" s="100" t="s">
        <v>390</v>
      </c>
      <c r="B841" s="101" t="s">
        <v>54</v>
      </c>
      <c r="C841" s="101" t="s">
        <v>2524</v>
      </c>
      <c r="D841" s="101" t="s">
        <v>2525</v>
      </c>
      <c r="E841" s="102">
        <v>45897</v>
      </c>
      <c r="F841" s="101" t="s">
        <v>371</v>
      </c>
      <c r="G841" s="101" t="s">
        <v>864</v>
      </c>
      <c r="H841" s="103">
        <v>221060.26</v>
      </c>
      <c r="I841" s="133">
        <v>0.19400000000000001</v>
      </c>
      <c r="J841" s="104" t="s">
        <v>833</v>
      </c>
      <c r="K841" s="104" t="s">
        <v>1542</v>
      </c>
    </row>
    <row r="842" spans="1:11" hidden="1" x14ac:dyDescent="0.3">
      <c r="A842" s="100" t="s">
        <v>390</v>
      </c>
      <c r="B842" s="101" t="s">
        <v>54</v>
      </c>
      <c r="C842" s="101" t="s">
        <v>2526</v>
      </c>
      <c r="D842" s="101" t="s">
        <v>2527</v>
      </c>
      <c r="E842" s="102">
        <v>45898</v>
      </c>
      <c r="F842" s="101" t="s">
        <v>371</v>
      </c>
      <c r="G842" s="101" t="s">
        <v>864</v>
      </c>
      <c r="H842" s="103">
        <v>37383.15</v>
      </c>
      <c r="I842" s="133">
        <v>0.16500000000000001</v>
      </c>
      <c r="J842" s="104" t="s">
        <v>833</v>
      </c>
      <c r="K842" s="104" t="s">
        <v>1541</v>
      </c>
    </row>
    <row r="843" spans="1:11" hidden="1" x14ac:dyDescent="0.3">
      <c r="A843" s="100" t="s">
        <v>390</v>
      </c>
      <c r="B843" s="101" t="s">
        <v>54</v>
      </c>
      <c r="C843" s="101" t="s">
        <v>2528</v>
      </c>
      <c r="D843" s="101" t="s">
        <v>2529</v>
      </c>
      <c r="E843" s="102">
        <v>45898</v>
      </c>
      <c r="F843" s="101" t="s">
        <v>371</v>
      </c>
      <c r="G843" s="101" t="s">
        <v>864</v>
      </c>
      <c r="H843" s="103">
        <v>17973.509999999998</v>
      </c>
      <c r="I843" s="133">
        <v>0.29599999999999999</v>
      </c>
      <c r="J843" s="104" t="s">
        <v>833</v>
      </c>
      <c r="K843" s="104" t="s">
        <v>1541</v>
      </c>
    </row>
    <row r="844" spans="1:11" hidden="1" x14ac:dyDescent="0.3">
      <c r="A844" s="100" t="s">
        <v>390</v>
      </c>
      <c r="B844" s="101" t="s">
        <v>54</v>
      </c>
      <c r="C844" s="101" t="s">
        <v>2530</v>
      </c>
      <c r="D844" s="101" t="s">
        <v>2531</v>
      </c>
      <c r="E844" s="102">
        <v>45898</v>
      </c>
      <c r="F844" s="101" t="s">
        <v>371</v>
      </c>
      <c r="G844" s="101" t="s">
        <v>864</v>
      </c>
      <c r="H844" s="103">
        <v>194095.07</v>
      </c>
      <c r="I844" s="133">
        <v>0.191</v>
      </c>
      <c r="J844" s="104" t="s">
        <v>833</v>
      </c>
      <c r="K844" s="104" t="s">
        <v>1542</v>
      </c>
    </row>
    <row r="845" spans="1:11" hidden="1" x14ac:dyDescent="0.3">
      <c r="A845" s="100" t="s">
        <v>392</v>
      </c>
      <c r="B845" s="101" t="s">
        <v>54</v>
      </c>
      <c r="C845" s="101" t="s">
        <v>2532</v>
      </c>
      <c r="D845" s="101" t="s">
        <v>2533</v>
      </c>
      <c r="E845" s="102">
        <v>45898</v>
      </c>
      <c r="F845" s="101" t="s">
        <v>370</v>
      </c>
      <c r="G845" s="101" t="s">
        <v>63</v>
      </c>
      <c r="H845" s="103">
        <v>10400</v>
      </c>
      <c r="I845" s="133">
        <v>0.65400000000000003</v>
      </c>
      <c r="J845" s="104" t="s">
        <v>848</v>
      </c>
      <c r="K845" s="104" t="s">
        <v>1540</v>
      </c>
    </row>
    <row r="846" spans="1:11" hidden="1" x14ac:dyDescent="0.3">
      <c r="A846" s="100" t="s">
        <v>390</v>
      </c>
      <c r="B846" s="101" t="s">
        <v>54</v>
      </c>
      <c r="C846" s="101" t="s">
        <v>2534</v>
      </c>
      <c r="D846" s="101" t="s">
        <v>2535</v>
      </c>
      <c r="E846" s="102">
        <v>45898</v>
      </c>
      <c r="F846" s="101" t="s">
        <v>375</v>
      </c>
      <c r="G846" s="101" t="s">
        <v>2303</v>
      </c>
      <c r="H846" s="103">
        <v>12999.32</v>
      </c>
      <c r="I846" s="133">
        <v>0.39600000000000002</v>
      </c>
      <c r="J846" s="104" t="s">
        <v>831</v>
      </c>
      <c r="K846" s="104" t="s">
        <v>1541</v>
      </c>
    </row>
    <row r="847" spans="1:11" hidden="1" x14ac:dyDescent="0.3">
      <c r="A847" s="100" t="s">
        <v>390</v>
      </c>
      <c r="B847" s="101" t="s">
        <v>54</v>
      </c>
      <c r="C847" s="101" t="s">
        <v>2536</v>
      </c>
      <c r="D847" s="101" t="s">
        <v>2537</v>
      </c>
      <c r="E847" s="102">
        <v>45877</v>
      </c>
      <c r="F847" s="101" t="s">
        <v>2281</v>
      </c>
      <c r="G847" s="101" t="s">
        <v>2305</v>
      </c>
      <c r="H847" s="103">
        <v>3910.0319999999997</v>
      </c>
      <c r="I847" s="133">
        <v>1</v>
      </c>
      <c r="J847" s="104" t="s">
        <v>831</v>
      </c>
      <c r="K847" s="104" t="s">
        <v>1542</v>
      </c>
    </row>
    <row r="848" spans="1:11" hidden="1" x14ac:dyDescent="0.3">
      <c r="A848" s="100" t="s">
        <v>390</v>
      </c>
      <c r="B848" s="101" t="s">
        <v>54</v>
      </c>
      <c r="C848" s="101" t="s">
        <v>2538</v>
      </c>
      <c r="D848" s="101" t="s">
        <v>2539</v>
      </c>
      <c r="E848" s="102">
        <v>45877</v>
      </c>
      <c r="F848" s="101" t="s">
        <v>1007</v>
      </c>
      <c r="G848" s="101" t="s">
        <v>865</v>
      </c>
      <c r="H848" s="103">
        <v>6709.2425279999989</v>
      </c>
      <c r="I848" s="133">
        <v>0.48299999999999998</v>
      </c>
      <c r="J848" s="104" t="s">
        <v>831</v>
      </c>
      <c r="K848" s="104" t="s">
        <v>1542</v>
      </c>
    </row>
    <row r="849" spans="1:11" hidden="1" x14ac:dyDescent="0.3">
      <c r="A849" s="100" t="s">
        <v>390</v>
      </c>
      <c r="B849" s="101" t="s">
        <v>54</v>
      </c>
      <c r="C849" s="101" t="s">
        <v>2540</v>
      </c>
      <c r="D849" s="101" t="s">
        <v>2539</v>
      </c>
      <c r="E849" s="102">
        <v>45877</v>
      </c>
      <c r="F849" s="101" t="s">
        <v>1007</v>
      </c>
      <c r="G849" s="101" t="s">
        <v>865</v>
      </c>
      <c r="H849" s="103">
        <v>69822</v>
      </c>
      <c r="I849" s="133">
        <v>0.48299999999999998</v>
      </c>
      <c r="J849" s="104" t="s">
        <v>831</v>
      </c>
      <c r="K849" s="104" t="s">
        <v>1542</v>
      </c>
    </row>
    <row r="850" spans="1:11" hidden="1" x14ac:dyDescent="0.3">
      <c r="A850" s="100" t="s">
        <v>390</v>
      </c>
      <c r="B850" s="101" t="s">
        <v>54</v>
      </c>
      <c r="C850" s="101" t="s">
        <v>2541</v>
      </c>
      <c r="D850" s="101" t="s">
        <v>2301</v>
      </c>
      <c r="E850" s="102">
        <v>45890</v>
      </c>
      <c r="F850" s="101" t="s">
        <v>854</v>
      </c>
      <c r="G850" s="101" t="s">
        <v>855</v>
      </c>
      <c r="H850" s="103">
        <v>198076.03200000001</v>
      </c>
      <c r="I850" s="133">
        <v>0.33</v>
      </c>
      <c r="J850" s="104" t="s">
        <v>831</v>
      </c>
      <c r="K850" s="104" t="s">
        <v>1542</v>
      </c>
    </row>
    <row r="851" spans="1:11" hidden="1" x14ac:dyDescent="0.3">
      <c r="A851" s="100" t="s">
        <v>390</v>
      </c>
      <c r="B851" s="101" t="s">
        <v>54</v>
      </c>
      <c r="C851" s="101" t="s">
        <v>2542</v>
      </c>
      <c r="D851" s="101" t="s">
        <v>2273</v>
      </c>
      <c r="E851" s="102">
        <v>45890</v>
      </c>
      <c r="F851" s="101" t="s">
        <v>2274</v>
      </c>
      <c r="G851" s="101" t="s">
        <v>2275</v>
      </c>
      <c r="H851" s="103">
        <v>66981.961200000005</v>
      </c>
      <c r="I851" s="133">
        <v>0.27400000000000002</v>
      </c>
      <c r="J851" s="104" t="s">
        <v>831</v>
      </c>
      <c r="K851" s="104" t="s">
        <v>1542</v>
      </c>
    </row>
    <row r="852" spans="1:11" hidden="1" x14ac:dyDescent="0.3">
      <c r="A852" s="100" t="s">
        <v>392</v>
      </c>
      <c r="B852" s="101" t="s">
        <v>54</v>
      </c>
      <c r="C852" s="101" t="s">
        <v>2543</v>
      </c>
      <c r="D852" s="101" t="s">
        <v>2468</v>
      </c>
      <c r="E852" s="102">
        <v>45895</v>
      </c>
      <c r="F852" s="101" t="s">
        <v>372</v>
      </c>
      <c r="G852" s="101" t="s">
        <v>10</v>
      </c>
      <c r="H852" s="103">
        <v>4659.2</v>
      </c>
      <c r="I852" s="133">
        <v>0.5</v>
      </c>
      <c r="J852" s="104" t="s">
        <v>848</v>
      </c>
      <c r="K852" s="104" t="s">
        <v>1540</v>
      </c>
    </row>
    <row r="853" spans="1:11" hidden="1" x14ac:dyDescent="0.3">
      <c r="A853" s="100" t="s">
        <v>392</v>
      </c>
      <c r="B853" s="101" t="s">
        <v>54</v>
      </c>
      <c r="C853" s="101" t="s">
        <v>2544</v>
      </c>
      <c r="D853" s="101" t="s">
        <v>2545</v>
      </c>
      <c r="E853" s="102">
        <v>45897</v>
      </c>
      <c r="F853" s="101" t="s">
        <v>844</v>
      </c>
      <c r="G853" s="101" t="s">
        <v>863</v>
      </c>
      <c r="H853" s="103">
        <v>112147.2</v>
      </c>
      <c r="I853" s="133">
        <v>0.188</v>
      </c>
      <c r="J853" s="104" t="s">
        <v>1977</v>
      </c>
      <c r="K853" s="104" t="s">
        <v>1540</v>
      </c>
    </row>
    <row r="854" spans="1:11" hidden="1" x14ac:dyDescent="0.3">
      <c r="A854" s="100" t="s">
        <v>390</v>
      </c>
      <c r="B854" s="101" t="s">
        <v>54</v>
      </c>
      <c r="C854" s="101" t="s">
        <v>2546</v>
      </c>
      <c r="D854" s="101" t="s">
        <v>2547</v>
      </c>
      <c r="E854" s="102">
        <v>45897</v>
      </c>
      <c r="F854" s="101" t="s">
        <v>2281</v>
      </c>
      <c r="G854" s="101" t="s">
        <v>2305</v>
      </c>
      <c r="H854" s="103">
        <v>3925.1519999999996</v>
      </c>
      <c r="I854" s="133">
        <v>1</v>
      </c>
      <c r="J854" s="104" t="s">
        <v>831</v>
      </c>
      <c r="K854" s="104" t="s">
        <v>1542</v>
      </c>
    </row>
    <row r="855" spans="1:11" hidden="1" x14ac:dyDescent="0.3">
      <c r="A855" s="100" t="s">
        <v>390</v>
      </c>
      <c r="B855" s="101" t="s">
        <v>54</v>
      </c>
      <c r="C855" s="101" t="s">
        <v>2548</v>
      </c>
      <c r="D855" s="101" t="s">
        <v>2549</v>
      </c>
      <c r="E855" s="102">
        <v>45898</v>
      </c>
      <c r="F855" s="101" t="s">
        <v>1007</v>
      </c>
      <c r="G855" s="101" t="s">
        <v>865</v>
      </c>
      <c r="H855" s="103">
        <v>69945</v>
      </c>
      <c r="I855" s="133">
        <v>0.255</v>
      </c>
      <c r="J855" s="104" t="s">
        <v>831</v>
      </c>
      <c r="K855" s="104" t="s">
        <v>1542</v>
      </c>
    </row>
    <row r="856" spans="1:11" hidden="1" x14ac:dyDescent="0.3">
      <c r="A856" s="100" t="s">
        <v>390</v>
      </c>
      <c r="B856" s="101" t="s">
        <v>54</v>
      </c>
      <c r="C856" s="101" t="s">
        <v>2550</v>
      </c>
      <c r="D856" s="101" t="s">
        <v>2549</v>
      </c>
      <c r="E856" s="102">
        <v>45898</v>
      </c>
      <c r="F856" s="101" t="s">
        <v>1007</v>
      </c>
      <c r="G856" s="101" t="s">
        <v>865</v>
      </c>
      <c r="H856" s="103">
        <v>6714.72</v>
      </c>
      <c r="I856" s="133">
        <v>0.255</v>
      </c>
      <c r="J856" s="104" t="s">
        <v>831</v>
      </c>
      <c r="K856" s="104" t="s">
        <v>1542</v>
      </c>
    </row>
    <row r="857" spans="1:11" hidden="1" x14ac:dyDescent="0.3">
      <c r="A857" s="100" t="s">
        <v>390</v>
      </c>
      <c r="B857" s="101" t="s">
        <v>2551</v>
      </c>
      <c r="C857" s="101" t="s">
        <v>2552</v>
      </c>
      <c r="D857" s="101" t="s">
        <v>2638</v>
      </c>
      <c r="E857" s="102">
        <v>45902</v>
      </c>
      <c r="F857" s="101" t="s">
        <v>587</v>
      </c>
      <c r="G857" s="101" t="s">
        <v>11</v>
      </c>
      <c r="H857" s="103">
        <v>14106.23</v>
      </c>
      <c r="I857" s="133">
        <v>0.42299999999999999</v>
      </c>
      <c r="J857" s="104" t="s">
        <v>833</v>
      </c>
      <c r="K857" s="104" t="s">
        <v>1541</v>
      </c>
    </row>
    <row r="858" spans="1:11" hidden="1" x14ac:dyDescent="0.3">
      <c r="A858" s="100" t="s">
        <v>392</v>
      </c>
      <c r="B858" s="101" t="s">
        <v>2551</v>
      </c>
      <c r="C858" s="101" t="s">
        <v>2553</v>
      </c>
      <c r="D858" s="101" t="s">
        <v>2639</v>
      </c>
      <c r="E858" s="102">
        <v>45908</v>
      </c>
      <c r="F858" s="101" t="s">
        <v>372</v>
      </c>
      <c r="G858" s="101" t="s">
        <v>10</v>
      </c>
      <c r="H858" s="103">
        <v>43300</v>
      </c>
      <c r="I858" s="133">
        <v>0.39700000000000002</v>
      </c>
      <c r="J858" s="104" t="s">
        <v>848</v>
      </c>
      <c r="K858" s="104" t="s">
        <v>1540</v>
      </c>
    </row>
    <row r="859" spans="1:11" hidden="1" x14ac:dyDescent="0.3">
      <c r="A859" s="100" t="s">
        <v>390</v>
      </c>
      <c r="B859" s="101" t="s">
        <v>2551</v>
      </c>
      <c r="C859" s="101" t="s">
        <v>2554</v>
      </c>
      <c r="D859" s="101" t="s">
        <v>2640</v>
      </c>
      <c r="E859" s="102">
        <v>45908</v>
      </c>
      <c r="F859" s="101" t="s">
        <v>372</v>
      </c>
      <c r="G859" s="101" t="s">
        <v>10</v>
      </c>
      <c r="H859" s="103">
        <v>3540</v>
      </c>
      <c r="I859" s="133">
        <v>0.25900000000000001</v>
      </c>
      <c r="J859" s="104" t="s">
        <v>831</v>
      </c>
      <c r="K859" s="104" t="s">
        <v>1542</v>
      </c>
    </row>
    <row r="860" spans="1:11" hidden="1" x14ac:dyDescent="0.3">
      <c r="A860" s="100" t="s">
        <v>392</v>
      </c>
      <c r="B860" s="101" t="s">
        <v>2551</v>
      </c>
      <c r="C860" s="101" t="s">
        <v>2555</v>
      </c>
      <c r="D860" s="101" t="s">
        <v>2641</v>
      </c>
      <c r="E860" s="102">
        <v>45908</v>
      </c>
      <c r="F860" s="101" t="s">
        <v>370</v>
      </c>
      <c r="G860" s="101" t="s">
        <v>63</v>
      </c>
      <c r="H860" s="103">
        <v>7800</v>
      </c>
      <c r="I860" s="133">
        <v>0.45500000000000002</v>
      </c>
      <c r="J860" s="104" t="s">
        <v>1835</v>
      </c>
      <c r="K860" s="104" t="s">
        <v>1540</v>
      </c>
    </row>
    <row r="861" spans="1:11" hidden="1" x14ac:dyDescent="0.3">
      <c r="A861" s="100" t="s">
        <v>392</v>
      </c>
      <c r="B861" s="101" t="s">
        <v>2551</v>
      </c>
      <c r="C861" s="101" t="s">
        <v>2556</v>
      </c>
      <c r="D861" s="101" t="s">
        <v>2642</v>
      </c>
      <c r="E861" s="102">
        <v>45908</v>
      </c>
      <c r="F861" s="101" t="s">
        <v>370</v>
      </c>
      <c r="G861" s="101" t="s">
        <v>63</v>
      </c>
      <c r="H861" s="103">
        <v>9000</v>
      </c>
      <c r="I861" s="133">
        <v>0.52800000000000002</v>
      </c>
      <c r="J861" s="104" t="s">
        <v>1835</v>
      </c>
      <c r="K861" s="104" t="s">
        <v>1540</v>
      </c>
    </row>
    <row r="862" spans="1:11" hidden="1" x14ac:dyDescent="0.3">
      <c r="A862" s="100" t="s">
        <v>392</v>
      </c>
      <c r="B862" s="101" t="s">
        <v>2551</v>
      </c>
      <c r="C862" s="101" t="s">
        <v>2557</v>
      </c>
      <c r="D862" s="101" t="s">
        <v>2643</v>
      </c>
      <c r="E862" s="102">
        <v>45908</v>
      </c>
      <c r="F862" s="101" t="s">
        <v>370</v>
      </c>
      <c r="G862" s="101" t="s">
        <v>63</v>
      </c>
      <c r="H862" s="103">
        <v>4500</v>
      </c>
      <c r="I862" s="133">
        <v>0.6</v>
      </c>
      <c r="J862" s="104" t="s">
        <v>848</v>
      </c>
      <c r="K862" s="104" t="s">
        <v>1540</v>
      </c>
    </row>
    <row r="863" spans="1:11" hidden="1" x14ac:dyDescent="0.3">
      <c r="A863" s="100" t="s">
        <v>392</v>
      </c>
      <c r="B863" s="101" t="s">
        <v>2551</v>
      </c>
      <c r="C863" s="101" t="s">
        <v>2558</v>
      </c>
      <c r="D863" s="101" t="s">
        <v>2644</v>
      </c>
      <c r="E863" s="102">
        <v>45908</v>
      </c>
      <c r="F863" s="101" t="s">
        <v>370</v>
      </c>
      <c r="G863" s="101" t="s">
        <v>63</v>
      </c>
      <c r="H863" s="103">
        <v>4500</v>
      </c>
      <c r="I863" s="133">
        <v>0.6</v>
      </c>
      <c r="J863" s="104" t="s">
        <v>848</v>
      </c>
      <c r="K863" s="104" t="s">
        <v>1540</v>
      </c>
    </row>
    <row r="864" spans="1:11" hidden="1" x14ac:dyDescent="0.3">
      <c r="A864" s="100" t="s">
        <v>392</v>
      </c>
      <c r="B864" s="101" t="s">
        <v>2551</v>
      </c>
      <c r="C864" s="101" t="s">
        <v>2559</v>
      </c>
      <c r="D864" s="101" t="s">
        <v>2645</v>
      </c>
      <c r="E864" s="102">
        <v>45908</v>
      </c>
      <c r="F864" s="101" t="s">
        <v>370</v>
      </c>
      <c r="G864" s="101" t="s">
        <v>63</v>
      </c>
      <c r="H864" s="103">
        <v>4500</v>
      </c>
      <c r="I864" s="133">
        <v>0.6</v>
      </c>
      <c r="J864" s="104" t="s">
        <v>848</v>
      </c>
      <c r="K864" s="104" t="s">
        <v>1540</v>
      </c>
    </row>
    <row r="865" spans="1:11" hidden="1" x14ac:dyDescent="0.3">
      <c r="A865" s="100" t="s">
        <v>392</v>
      </c>
      <c r="B865" s="101" t="s">
        <v>2551</v>
      </c>
      <c r="C865" s="101" t="s">
        <v>2560</v>
      </c>
      <c r="D865" s="101" t="s">
        <v>2646</v>
      </c>
      <c r="E865" s="102">
        <v>45908</v>
      </c>
      <c r="F865" s="101" t="s">
        <v>370</v>
      </c>
      <c r="G865" s="101" t="s">
        <v>63</v>
      </c>
      <c r="H865" s="103">
        <v>4500</v>
      </c>
      <c r="I865" s="133">
        <v>0.6</v>
      </c>
      <c r="J865" s="104" t="s">
        <v>1835</v>
      </c>
      <c r="K865" s="104" t="s">
        <v>1540</v>
      </c>
    </row>
    <row r="866" spans="1:11" hidden="1" x14ac:dyDescent="0.3">
      <c r="A866" s="100" t="s">
        <v>390</v>
      </c>
      <c r="B866" s="101" t="s">
        <v>2551</v>
      </c>
      <c r="C866" s="101" t="s">
        <v>2561</v>
      </c>
      <c r="D866" s="101" t="s">
        <v>2295</v>
      </c>
      <c r="E866" s="102">
        <v>45909</v>
      </c>
      <c r="F866" s="101" t="s">
        <v>372</v>
      </c>
      <c r="G866" s="101" t="s">
        <v>10</v>
      </c>
      <c r="H866" s="103">
        <v>99753.1</v>
      </c>
      <c r="I866" s="133">
        <v>0.29199999999999998</v>
      </c>
      <c r="J866" s="104" t="s">
        <v>831</v>
      </c>
      <c r="K866" s="104" t="s">
        <v>1541</v>
      </c>
    </row>
    <row r="867" spans="1:11" hidden="1" x14ac:dyDescent="0.3">
      <c r="A867" s="100" t="s">
        <v>392</v>
      </c>
      <c r="B867" s="101" t="s">
        <v>2551</v>
      </c>
      <c r="C867" s="101" t="s">
        <v>2562</v>
      </c>
      <c r="D867" s="101" t="s">
        <v>2478</v>
      </c>
      <c r="E867" s="102">
        <v>45909</v>
      </c>
      <c r="F867" s="101" t="s">
        <v>371</v>
      </c>
      <c r="G867" s="101" t="s">
        <v>864</v>
      </c>
      <c r="H867" s="103">
        <v>7400</v>
      </c>
      <c r="I867" s="133">
        <v>0.80600000000000005</v>
      </c>
      <c r="J867" s="104" t="s">
        <v>1977</v>
      </c>
      <c r="K867" s="104" t="s">
        <v>1540</v>
      </c>
    </row>
    <row r="868" spans="1:11" hidden="1" x14ac:dyDescent="0.3">
      <c r="A868" s="100" t="s">
        <v>392</v>
      </c>
      <c r="B868" s="101" t="s">
        <v>2551</v>
      </c>
      <c r="C868" s="101" t="s">
        <v>2563</v>
      </c>
      <c r="D868" s="101" t="s">
        <v>2647</v>
      </c>
      <c r="E868" s="102">
        <v>45909</v>
      </c>
      <c r="F868" s="101" t="s">
        <v>370</v>
      </c>
      <c r="G868" s="101" t="s">
        <v>63</v>
      </c>
      <c r="H868" s="103">
        <v>10800</v>
      </c>
      <c r="I868" s="133">
        <v>0.63900000000000001</v>
      </c>
      <c r="J868" s="104" t="s">
        <v>1835</v>
      </c>
      <c r="K868" s="104" t="s">
        <v>1540</v>
      </c>
    </row>
    <row r="869" spans="1:11" hidden="1" x14ac:dyDescent="0.3">
      <c r="A869" s="100" t="s">
        <v>390</v>
      </c>
      <c r="B869" s="101" t="s">
        <v>2551</v>
      </c>
      <c r="C869" s="101" t="s">
        <v>2564</v>
      </c>
      <c r="D869" s="101" t="s">
        <v>2648</v>
      </c>
      <c r="E869" s="102">
        <v>45910</v>
      </c>
      <c r="F869" s="101" t="s">
        <v>371</v>
      </c>
      <c r="G869" s="101" t="s">
        <v>864</v>
      </c>
      <c r="H869" s="103">
        <v>23002.49</v>
      </c>
      <c r="I869" s="133">
        <v>0.25600000000000001</v>
      </c>
      <c r="J869" s="104" t="s">
        <v>832</v>
      </c>
      <c r="K869" s="104" t="s">
        <v>1541</v>
      </c>
    </row>
    <row r="870" spans="1:11" hidden="1" x14ac:dyDescent="0.3">
      <c r="A870" s="100" t="s">
        <v>390</v>
      </c>
      <c r="B870" s="101" t="s">
        <v>2551</v>
      </c>
      <c r="C870" s="101" t="s">
        <v>2565</v>
      </c>
      <c r="D870" s="101" t="s">
        <v>2649</v>
      </c>
      <c r="E870" s="102">
        <v>45910</v>
      </c>
      <c r="F870" s="101" t="s">
        <v>371</v>
      </c>
      <c r="G870" s="101" t="s">
        <v>864</v>
      </c>
      <c r="H870" s="103">
        <v>14122.65</v>
      </c>
      <c r="I870" s="133">
        <v>0.34100000000000003</v>
      </c>
      <c r="J870" s="104" t="s">
        <v>832</v>
      </c>
      <c r="K870" s="104" t="s">
        <v>1541</v>
      </c>
    </row>
    <row r="871" spans="1:11" hidden="1" x14ac:dyDescent="0.3">
      <c r="A871" s="100" t="s">
        <v>390</v>
      </c>
      <c r="B871" s="101" t="s">
        <v>2551</v>
      </c>
      <c r="C871" s="101" t="s">
        <v>2566</v>
      </c>
      <c r="D871" s="101" t="s">
        <v>2650</v>
      </c>
      <c r="E871" s="102">
        <v>45910</v>
      </c>
      <c r="F871" s="101" t="s">
        <v>371</v>
      </c>
      <c r="G871" s="101" t="s">
        <v>864</v>
      </c>
      <c r="H871" s="103">
        <v>63721.15</v>
      </c>
      <c r="I871" s="133">
        <v>0.152</v>
      </c>
      <c r="J871" s="104" t="s">
        <v>832</v>
      </c>
      <c r="K871" s="104" t="s">
        <v>1541</v>
      </c>
    </row>
    <row r="872" spans="1:11" hidden="1" x14ac:dyDescent="0.3">
      <c r="A872" s="100" t="s">
        <v>390</v>
      </c>
      <c r="B872" s="101" t="s">
        <v>2551</v>
      </c>
      <c r="C872" s="101" t="s">
        <v>2567</v>
      </c>
      <c r="D872" s="101" t="s">
        <v>2651</v>
      </c>
      <c r="E872" s="102">
        <v>45910</v>
      </c>
      <c r="F872" s="101" t="s">
        <v>371</v>
      </c>
      <c r="G872" s="101" t="s">
        <v>864</v>
      </c>
      <c r="H872" s="103">
        <v>35263.040000000001</v>
      </c>
      <c r="I872" s="133">
        <v>0.16900000000000001</v>
      </c>
      <c r="J872" s="104" t="s">
        <v>832</v>
      </c>
      <c r="K872" s="104" t="s">
        <v>1541</v>
      </c>
    </row>
    <row r="873" spans="1:11" hidden="1" x14ac:dyDescent="0.3">
      <c r="A873" s="100" t="s">
        <v>390</v>
      </c>
      <c r="B873" s="101" t="s">
        <v>2551</v>
      </c>
      <c r="C873" s="101" t="s">
        <v>2568</v>
      </c>
      <c r="D873" s="101" t="s">
        <v>2652</v>
      </c>
      <c r="E873" s="102">
        <v>45910</v>
      </c>
      <c r="F873" s="101" t="s">
        <v>371</v>
      </c>
      <c r="G873" s="101" t="s">
        <v>864</v>
      </c>
      <c r="H873" s="103">
        <v>33972.28</v>
      </c>
      <c r="I873" s="133">
        <v>0.17</v>
      </c>
      <c r="J873" s="104" t="s">
        <v>832</v>
      </c>
      <c r="K873" s="104" t="s">
        <v>1541</v>
      </c>
    </row>
    <row r="874" spans="1:11" hidden="1" x14ac:dyDescent="0.3">
      <c r="A874" s="100" t="s">
        <v>390</v>
      </c>
      <c r="B874" s="101" t="s">
        <v>2551</v>
      </c>
      <c r="C874" s="101" t="s">
        <v>2569</v>
      </c>
      <c r="D874" s="101" t="s">
        <v>2653</v>
      </c>
      <c r="E874" s="102">
        <v>45910</v>
      </c>
      <c r="F874" s="101" t="s">
        <v>371</v>
      </c>
      <c r="G874" s="101" t="s">
        <v>864</v>
      </c>
      <c r="H874" s="103">
        <v>21513.64</v>
      </c>
      <c r="I874" s="133">
        <v>0.19400000000000001</v>
      </c>
      <c r="J874" s="104" t="s">
        <v>832</v>
      </c>
      <c r="K874" s="104" t="s">
        <v>1541</v>
      </c>
    </row>
    <row r="875" spans="1:11" hidden="1" x14ac:dyDescent="0.3">
      <c r="A875" s="100" t="s">
        <v>392</v>
      </c>
      <c r="B875" s="101" t="s">
        <v>2551</v>
      </c>
      <c r="C875" s="101" t="s">
        <v>2570</v>
      </c>
      <c r="D875" s="101" t="s">
        <v>2654</v>
      </c>
      <c r="E875" s="102">
        <v>45910</v>
      </c>
      <c r="F875" s="101" t="s">
        <v>844</v>
      </c>
      <c r="G875" s="101" t="s">
        <v>863</v>
      </c>
      <c r="H875" s="103">
        <v>13777.33</v>
      </c>
      <c r="I875" s="133">
        <v>0.25</v>
      </c>
      <c r="J875" s="104" t="s">
        <v>1977</v>
      </c>
      <c r="K875" s="104" t="s">
        <v>1540</v>
      </c>
    </row>
    <row r="876" spans="1:11" hidden="1" x14ac:dyDescent="0.3">
      <c r="A876" s="100" t="s">
        <v>392</v>
      </c>
      <c r="B876" s="101" t="s">
        <v>2551</v>
      </c>
      <c r="C876" s="101" t="s">
        <v>2571</v>
      </c>
      <c r="D876" s="101" t="s">
        <v>2655</v>
      </c>
      <c r="E876" s="102">
        <v>45910</v>
      </c>
      <c r="F876" s="101" t="s">
        <v>370</v>
      </c>
      <c r="G876" s="101" t="s">
        <v>63</v>
      </c>
      <c r="H876" s="103">
        <v>4200</v>
      </c>
      <c r="I876" s="133">
        <v>0.61899999999999999</v>
      </c>
      <c r="J876" s="104" t="s">
        <v>1835</v>
      </c>
      <c r="K876" s="104" t="s">
        <v>1540</v>
      </c>
    </row>
    <row r="877" spans="1:11" hidden="1" x14ac:dyDescent="0.3">
      <c r="A877" s="100" t="s">
        <v>392</v>
      </c>
      <c r="B877" s="101" t="s">
        <v>2551</v>
      </c>
      <c r="C877" s="101" t="s">
        <v>2572</v>
      </c>
      <c r="D877" s="101" t="s">
        <v>2656</v>
      </c>
      <c r="E877" s="102">
        <v>45910</v>
      </c>
      <c r="F877" s="101" t="s">
        <v>370</v>
      </c>
      <c r="G877" s="101" t="s">
        <v>63</v>
      </c>
      <c r="H877" s="103">
        <v>4200</v>
      </c>
      <c r="I877" s="133">
        <v>0.61899999999999999</v>
      </c>
      <c r="J877" s="104" t="s">
        <v>848</v>
      </c>
      <c r="K877" s="104" t="s">
        <v>1540</v>
      </c>
    </row>
    <row r="878" spans="1:11" hidden="1" x14ac:dyDescent="0.3">
      <c r="A878" s="100" t="s">
        <v>392</v>
      </c>
      <c r="B878" s="101" t="s">
        <v>2551</v>
      </c>
      <c r="C878" s="101" t="s">
        <v>2573</v>
      </c>
      <c r="D878" s="101" t="s">
        <v>2657</v>
      </c>
      <c r="E878" s="102">
        <v>45910</v>
      </c>
      <c r="F878" s="101" t="s">
        <v>370</v>
      </c>
      <c r="G878" s="101" t="s">
        <v>63</v>
      </c>
      <c r="H878" s="103">
        <v>3000</v>
      </c>
      <c r="I878" s="133">
        <v>0.75</v>
      </c>
      <c r="J878" s="104" t="s">
        <v>1835</v>
      </c>
      <c r="K878" s="104" t="s">
        <v>1540</v>
      </c>
    </row>
    <row r="879" spans="1:11" hidden="1" x14ac:dyDescent="0.3">
      <c r="A879" s="100" t="s">
        <v>392</v>
      </c>
      <c r="B879" s="101" t="s">
        <v>2551</v>
      </c>
      <c r="C879" s="101" t="s">
        <v>2574</v>
      </c>
      <c r="D879" s="101" t="s">
        <v>2658</v>
      </c>
      <c r="E879" s="102">
        <v>45910</v>
      </c>
      <c r="F879" s="101" t="s">
        <v>370</v>
      </c>
      <c r="G879" s="101" t="s">
        <v>63</v>
      </c>
      <c r="H879" s="103">
        <v>4200</v>
      </c>
      <c r="I879" s="133">
        <v>0.61899999999999999</v>
      </c>
      <c r="J879" s="104" t="s">
        <v>1835</v>
      </c>
      <c r="K879" s="104" t="s">
        <v>1540</v>
      </c>
    </row>
    <row r="880" spans="1:11" hidden="1" x14ac:dyDescent="0.3">
      <c r="A880" s="100" t="s">
        <v>392</v>
      </c>
      <c r="B880" s="101" t="s">
        <v>2551</v>
      </c>
      <c r="C880" s="101" t="s">
        <v>2575</v>
      </c>
      <c r="D880" s="101" t="s">
        <v>2659</v>
      </c>
      <c r="E880" s="102">
        <v>45910</v>
      </c>
      <c r="F880" s="101" t="s">
        <v>370</v>
      </c>
      <c r="G880" s="101" t="s">
        <v>63</v>
      </c>
      <c r="H880" s="103">
        <v>4200</v>
      </c>
      <c r="I880" s="133">
        <v>0.61899999999999999</v>
      </c>
      <c r="J880" s="104" t="s">
        <v>1835</v>
      </c>
      <c r="K880" s="104" t="s">
        <v>1540</v>
      </c>
    </row>
    <row r="881" spans="1:11" hidden="1" x14ac:dyDescent="0.3">
      <c r="A881" s="100" t="s">
        <v>390</v>
      </c>
      <c r="B881" s="101" t="s">
        <v>2551</v>
      </c>
      <c r="C881" s="101" t="s">
        <v>2576</v>
      </c>
      <c r="D881" s="101" t="s">
        <v>2660</v>
      </c>
      <c r="E881" s="102">
        <v>45910</v>
      </c>
      <c r="F881" s="101" t="s">
        <v>2131</v>
      </c>
      <c r="G881" s="101" t="s">
        <v>2132</v>
      </c>
      <c r="H881" s="103">
        <v>14712.56</v>
      </c>
      <c r="I881" s="133">
        <v>0.66700000000000004</v>
      </c>
      <c r="J881" s="104" t="s">
        <v>1018</v>
      </c>
      <c r="K881" s="104" t="s">
        <v>1541</v>
      </c>
    </row>
    <row r="882" spans="1:11" hidden="1" x14ac:dyDescent="0.3">
      <c r="A882" s="100" t="s">
        <v>392</v>
      </c>
      <c r="B882" s="101" t="s">
        <v>2551</v>
      </c>
      <c r="C882" s="101" t="s">
        <v>2577</v>
      </c>
      <c r="D882" s="101" t="s">
        <v>2661</v>
      </c>
      <c r="E882" s="102">
        <v>45911</v>
      </c>
      <c r="F882" s="101" t="s">
        <v>372</v>
      </c>
      <c r="G882" s="101" t="s">
        <v>10</v>
      </c>
      <c r="H882" s="103">
        <v>9655</v>
      </c>
      <c r="I882" s="133">
        <v>0.61599999999999999</v>
      </c>
      <c r="J882" s="104" t="s">
        <v>848</v>
      </c>
      <c r="K882" s="104" t="s">
        <v>1540</v>
      </c>
    </row>
    <row r="883" spans="1:11" hidden="1" x14ac:dyDescent="0.3">
      <c r="A883" s="100" t="s">
        <v>390</v>
      </c>
      <c r="B883" s="101" t="s">
        <v>2551</v>
      </c>
      <c r="C883" s="101" t="s">
        <v>2578</v>
      </c>
      <c r="D883" s="101" t="s">
        <v>2662</v>
      </c>
      <c r="E883" s="102">
        <v>45911</v>
      </c>
      <c r="F883" s="101" t="s">
        <v>372</v>
      </c>
      <c r="G883" s="101" t="s">
        <v>10</v>
      </c>
      <c r="H883" s="103">
        <v>73382.11</v>
      </c>
      <c r="I883" s="133">
        <v>0.22600000000000001</v>
      </c>
      <c r="J883" s="104" t="s">
        <v>831</v>
      </c>
      <c r="K883" s="104" t="s">
        <v>1542</v>
      </c>
    </row>
    <row r="884" spans="1:11" hidden="1" x14ac:dyDescent="0.3">
      <c r="A884" s="100" t="s">
        <v>392</v>
      </c>
      <c r="B884" s="101" t="s">
        <v>2551</v>
      </c>
      <c r="C884" s="101" t="s">
        <v>2579</v>
      </c>
      <c r="D884" s="101" t="s">
        <v>2663</v>
      </c>
      <c r="E884" s="102">
        <v>45911</v>
      </c>
      <c r="F884" s="101" t="s">
        <v>842</v>
      </c>
      <c r="G884" s="101" t="s">
        <v>843</v>
      </c>
      <c r="H884" s="103">
        <v>22000</v>
      </c>
      <c r="I884" s="133">
        <v>0.44900000000000001</v>
      </c>
      <c r="J884" s="104" t="s">
        <v>1977</v>
      </c>
      <c r="K884" s="104" t="s">
        <v>1540</v>
      </c>
    </row>
    <row r="885" spans="1:11" hidden="1" x14ac:dyDescent="0.3">
      <c r="A885" s="100" t="s">
        <v>392</v>
      </c>
      <c r="B885" s="101" t="s">
        <v>2551</v>
      </c>
      <c r="C885" s="101" t="s">
        <v>2580</v>
      </c>
      <c r="D885" s="101" t="s">
        <v>2664</v>
      </c>
      <c r="E885" s="102">
        <v>45911</v>
      </c>
      <c r="F885" s="101" t="s">
        <v>370</v>
      </c>
      <c r="G885" s="101" t="s">
        <v>63</v>
      </c>
      <c r="H885" s="103">
        <v>19500</v>
      </c>
      <c r="I885" s="133">
        <v>0.65100000000000002</v>
      </c>
      <c r="J885" s="104" t="s">
        <v>848</v>
      </c>
      <c r="K885" s="104" t="s">
        <v>1540</v>
      </c>
    </row>
    <row r="886" spans="1:11" hidden="1" x14ac:dyDescent="0.3">
      <c r="A886" s="100" t="s">
        <v>392</v>
      </c>
      <c r="B886" s="101" t="s">
        <v>2551</v>
      </c>
      <c r="C886" s="101" t="s">
        <v>2581</v>
      </c>
      <c r="D886" s="101" t="s">
        <v>2665</v>
      </c>
      <c r="E886" s="102">
        <v>45912</v>
      </c>
      <c r="F886" s="101" t="s">
        <v>372</v>
      </c>
      <c r="G886" s="101" t="s">
        <v>10</v>
      </c>
      <c r="H886" s="103">
        <v>24450</v>
      </c>
      <c r="I886" s="133">
        <v>0.36599999999999999</v>
      </c>
      <c r="J886" s="104" t="s">
        <v>848</v>
      </c>
      <c r="K886" s="104" t="s">
        <v>1540</v>
      </c>
    </row>
    <row r="887" spans="1:11" hidden="1" x14ac:dyDescent="0.3">
      <c r="A887" s="100" t="s">
        <v>390</v>
      </c>
      <c r="B887" s="101" t="s">
        <v>2551</v>
      </c>
      <c r="C887" s="101" t="s">
        <v>2582</v>
      </c>
      <c r="D887" s="101" t="s">
        <v>2666</v>
      </c>
      <c r="E887" s="102">
        <v>45912</v>
      </c>
      <c r="F887" s="101" t="s">
        <v>371</v>
      </c>
      <c r="G887" s="101" t="s">
        <v>864</v>
      </c>
      <c r="H887" s="103">
        <v>11251.45</v>
      </c>
      <c r="I887" s="133">
        <v>0.54300000000000004</v>
      </c>
      <c r="J887" s="104" t="s">
        <v>832</v>
      </c>
      <c r="K887" s="104" t="s">
        <v>1541</v>
      </c>
    </row>
    <row r="888" spans="1:11" hidden="1" x14ac:dyDescent="0.3">
      <c r="A888" s="100" t="s">
        <v>390</v>
      </c>
      <c r="B888" s="101" t="s">
        <v>2551</v>
      </c>
      <c r="C888" s="101" t="s">
        <v>2583</v>
      </c>
      <c r="D888" s="101" t="s">
        <v>2667</v>
      </c>
      <c r="E888" s="102">
        <v>45912</v>
      </c>
      <c r="F888" s="101" t="s">
        <v>371</v>
      </c>
      <c r="G888" s="101" t="s">
        <v>864</v>
      </c>
      <c r="H888" s="103">
        <v>13333.07</v>
      </c>
      <c r="I888" s="133">
        <v>0.47699999999999998</v>
      </c>
      <c r="J888" s="104" t="s">
        <v>832</v>
      </c>
      <c r="K888" s="104" t="s">
        <v>1541</v>
      </c>
    </row>
    <row r="889" spans="1:11" hidden="1" x14ac:dyDescent="0.3">
      <c r="A889" s="100" t="s">
        <v>392</v>
      </c>
      <c r="B889" s="101" t="s">
        <v>2551</v>
      </c>
      <c r="C889" s="101" t="s">
        <v>2584</v>
      </c>
      <c r="D889" s="101" t="s">
        <v>2668</v>
      </c>
      <c r="E889" s="102">
        <v>45915</v>
      </c>
      <c r="F889" s="101" t="s">
        <v>372</v>
      </c>
      <c r="G889" s="101" t="s">
        <v>10</v>
      </c>
      <c r="H889" s="103">
        <v>24150</v>
      </c>
      <c r="I889" s="133">
        <v>0.35799999999999998</v>
      </c>
      <c r="J889" s="104" t="s">
        <v>848</v>
      </c>
      <c r="K889" s="104" t="s">
        <v>1540</v>
      </c>
    </row>
    <row r="890" spans="1:11" hidden="1" x14ac:dyDescent="0.3">
      <c r="A890" s="100" t="s">
        <v>390</v>
      </c>
      <c r="B890" s="101" t="s">
        <v>2551</v>
      </c>
      <c r="C890" s="101" t="s">
        <v>2585</v>
      </c>
      <c r="D890" s="101" t="s">
        <v>2669</v>
      </c>
      <c r="E890" s="102">
        <v>45915</v>
      </c>
      <c r="F890" s="101" t="s">
        <v>376</v>
      </c>
      <c r="G890" s="101" t="s">
        <v>2715</v>
      </c>
      <c r="H890" s="103">
        <v>12650</v>
      </c>
      <c r="I890" s="133">
        <v>0.36299999999999999</v>
      </c>
      <c r="J890" s="104" t="s">
        <v>832</v>
      </c>
      <c r="K890" s="104" t="s">
        <v>1541</v>
      </c>
    </row>
    <row r="891" spans="1:11" hidden="1" x14ac:dyDescent="0.3">
      <c r="A891" s="100" t="s">
        <v>390</v>
      </c>
      <c r="B891" s="101" t="s">
        <v>2551</v>
      </c>
      <c r="C891" s="101" t="s">
        <v>2586</v>
      </c>
      <c r="D891" s="101" t="s">
        <v>2670</v>
      </c>
      <c r="E891" s="102">
        <v>45915</v>
      </c>
      <c r="F891" s="101" t="s">
        <v>371</v>
      </c>
      <c r="G891" s="101" t="s">
        <v>864</v>
      </c>
      <c r="H891" s="103">
        <v>18171.669999999998</v>
      </c>
      <c r="I891" s="133">
        <v>0.28999999999999998</v>
      </c>
      <c r="J891" s="104" t="s">
        <v>832</v>
      </c>
      <c r="K891" s="104" t="s">
        <v>1541</v>
      </c>
    </row>
    <row r="892" spans="1:11" hidden="1" x14ac:dyDescent="0.3">
      <c r="A892" s="100" t="s">
        <v>392</v>
      </c>
      <c r="B892" s="101" t="s">
        <v>2551</v>
      </c>
      <c r="C892" s="101" t="s">
        <v>2587</v>
      </c>
      <c r="D892" s="101" t="s">
        <v>2671</v>
      </c>
      <c r="E892" s="102">
        <v>45915</v>
      </c>
      <c r="F892" s="101" t="s">
        <v>370</v>
      </c>
      <c r="G892" s="101" t="s">
        <v>63</v>
      </c>
      <c r="H892" s="103">
        <v>12000</v>
      </c>
      <c r="I892" s="133">
        <v>0.65</v>
      </c>
      <c r="J892" s="104" t="s">
        <v>1835</v>
      </c>
      <c r="K892" s="104" t="s">
        <v>1540</v>
      </c>
    </row>
    <row r="893" spans="1:11" hidden="1" x14ac:dyDescent="0.3">
      <c r="A893" s="100" t="s">
        <v>390</v>
      </c>
      <c r="B893" s="101" t="s">
        <v>2551</v>
      </c>
      <c r="C893" s="101" t="s">
        <v>2588</v>
      </c>
      <c r="D893" s="101" t="s">
        <v>2672</v>
      </c>
      <c r="E893" s="102">
        <v>45917</v>
      </c>
      <c r="F893" s="101" t="s">
        <v>371</v>
      </c>
      <c r="G893" s="101" t="s">
        <v>864</v>
      </c>
      <c r="H893" s="103">
        <v>14481.18</v>
      </c>
      <c r="I893" s="133">
        <v>0.44900000000000001</v>
      </c>
      <c r="J893" s="104" t="s">
        <v>832</v>
      </c>
      <c r="K893" s="104" t="s">
        <v>1541</v>
      </c>
    </row>
    <row r="894" spans="1:11" hidden="1" x14ac:dyDescent="0.3">
      <c r="A894" s="100" t="s">
        <v>392</v>
      </c>
      <c r="B894" s="101" t="s">
        <v>2551</v>
      </c>
      <c r="C894" s="101" t="s">
        <v>2589</v>
      </c>
      <c r="D894" s="101" t="s">
        <v>2673</v>
      </c>
      <c r="E894" s="102">
        <v>45917</v>
      </c>
      <c r="F894" s="101" t="s">
        <v>370</v>
      </c>
      <c r="G894" s="101" t="s">
        <v>63</v>
      </c>
      <c r="H894" s="103">
        <v>4200</v>
      </c>
      <c r="I894" s="133">
        <v>0.61899999999999999</v>
      </c>
      <c r="J894" s="104" t="s">
        <v>1835</v>
      </c>
      <c r="K894" s="104" t="s">
        <v>1540</v>
      </c>
    </row>
    <row r="895" spans="1:11" hidden="1" x14ac:dyDescent="0.3">
      <c r="A895" s="100" t="s">
        <v>390</v>
      </c>
      <c r="B895" s="101" t="s">
        <v>2551</v>
      </c>
      <c r="C895" s="101" t="s">
        <v>2590</v>
      </c>
      <c r="D895" s="101" t="s">
        <v>2674</v>
      </c>
      <c r="E895" s="102">
        <v>45918</v>
      </c>
      <c r="F895" s="101" t="s">
        <v>372</v>
      </c>
      <c r="G895" s="101" t="s">
        <v>10</v>
      </c>
      <c r="H895" s="103">
        <v>77345.66</v>
      </c>
      <c r="I895" s="133">
        <v>0.247</v>
      </c>
      <c r="J895" s="104" t="s">
        <v>831</v>
      </c>
      <c r="K895" s="104" t="s">
        <v>1542</v>
      </c>
    </row>
    <row r="896" spans="1:11" hidden="1" x14ac:dyDescent="0.3">
      <c r="A896" s="100" t="s">
        <v>392</v>
      </c>
      <c r="B896" s="101" t="s">
        <v>2551</v>
      </c>
      <c r="C896" s="101" t="s">
        <v>2591</v>
      </c>
      <c r="D896" s="101" t="s">
        <v>2675</v>
      </c>
      <c r="E896" s="102">
        <v>45919</v>
      </c>
      <c r="F896" s="101" t="s">
        <v>842</v>
      </c>
      <c r="G896" s="101" t="s">
        <v>843</v>
      </c>
      <c r="H896" s="103">
        <v>22000</v>
      </c>
      <c r="I896" s="133">
        <v>0.45400000000000001</v>
      </c>
      <c r="J896" s="104" t="s">
        <v>1977</v>
      </c>
      <c r="K896" s="104" t="s">
        <v>1540</v>
      </c>
    </row>
    <row r="897" spans="1:11" hidden="1" x14ac:dyDescent="0.3">
      <c r="A897" s="100" t="s">
        <v>392</v>
      </c>
      <c r="B897" s="101" t="s">
        <v>2551</v>
      </c>
      <c r="C897" s="101" t="s">
        <v>2592</v>
      </c>
      <c r="D897" s="101" t="s">
        <v>2676</v>
      </c>
      <c r="E897" s="102">
        <v>45919</v>
      </c>
      <c r="F897" s="101" t="s">
        <v>842</v>
      </c>
      <c r="G897" s="101" t="s">
        <v>843</v>
      </c>
      <c r="H897" s="103">
        <v>22000</v>
      </c>
      <c r="I897" s="133">
        <v>0.45400000000000001</v>
      </c>
      <c r="J897" s="104" t="s">
        <v>1977</v>
      </c>
      <c r="K897" s="104" t="s">
        <v>1540</v>
      </c>
    </row>
    <row r="898" spans="1:11" hidden="1" x14ac:dyDescent="0.3">
      <c r="A898" s="100" t="s">
        <v>390</v>
      </c>
      <c r="B898" s="101" t="s">
        <v>2551</v>
      </c>
      <c r="C898" s="101" t="s">
        <v>2593</v>
      </c>
      <c r="D898" s="101" t="s">
        <v>2677</v>
      </c>
      <c r="E898" s="102">
        <v>45919</v>
      </c>
      <c r="F898" s="101" t="s">
        <v>371</v>
      </c>
      <c r="G898" s="101" t="s">
        <v>864</v>
      </c>
      <c r="H898" s="103">
        <v>14951.85</v>
      </c>
      <c r="I898" s="133">
        <v>0.47499999999999998</v>
      </c>
      <c r="J898" s="104" t="s">
        <v>832</v>
      </c>
      <c r="K898" s="104" t="s">
        <v>1541</v>
      </c>
    </row>
    <row r="899" spans="1:11" hidden="1" x14ac:dyDescent="0.3">
      <c r="A899" s="100" t="s">
        <v>390</v>
      </c>
      <c r="B899" s="101" t="s">
        <v>2551</v>
      </c>
      <c r="C899" s="101" t="s">
        <v>2594</v>
      </c>
      <c r="D899" s="101" t="s">
        <v>2678</v>
      </c>
      <c r="E899" s="102">
        <v>45919</v>
      </c>
      <c r="F899" s="101" t="s">
        <v>371</v>
      </c>
      <c r="G899" s="101" t="s">
        <v>864</v>
      </c>
      <c r="H899" s="103">
        <v>17490.11</v>
      </c>
      <c r="I899" s="133">
        <v>0.20399999999999999</v>
      </c>
      <c r="J899" s="104" t="s">
        <v>832</v>
      </c>
      <c r="K899" s="104" t="s">
        <v>1541</v>
      </c>
    </row>
    <row r="900" spans="1:11" hidden="1" x14ac:dyDescent="0.3">
      <c r="A900" s="100" t="s">
        <v>390</v>
      </c>
      <c r="B900" s="101" t="s">
        <v>2551</v>
      </c>
      <c r="C900" s="101" t="s">
        <v>2595</v>
      </c>
      <c r="D900" s="101" t="s">
        <v>2679</v>
      </c>
      <c r="E900" s="102">
        <v>45919</v>
      </c>
      <c r="F900" s="101" t="s">
        <v>371</v>
      </c>
      <c r="G900" s="101" t="s">
        <v>864</v>
      </c>
      <c r="H900" s="103">
        <v>17287.900000000001</v>
      </c>
      <c r="I900" s="133">
        <v>0.20899999999999999</v>
      </c>
      <c r="J900" s="104" t="s">
        <v>832</v>
      </c>
      <c r="K900" s="104" t="s">
        <v>1541</v>
      </c>
    </row>
    <row r="901" spans="1:11" hidden="1" x14ac:dyDescent="0.3">
      <c r="A901" s="100" t="s">
        <v>392</v>
      </c>
      <c r="B901" s="101" t="s">
        <v>2551</v>
      </c>
      <c r="C901" s="101" t="s">
        <v>2596</v>
      </c>
      <c r="D901" s="101" t="s">
        <v>2680</v>
      </c>
      <c r="E901" s="102">
        <v>45919</v>
      </c>
      <c r="F901" s="101" t="s">
        <v>844</v>
      </c>
      <c r="G901" s="101" t="s">
        <v>863</v>
      </c>
      <c r="H901" s="103">
        <v>21000</v>
      </c>
      <c r="I901" s="133">
        <v>0.33100000000000002</v>
      </c>
      <c r="J901" s="104" t="s">
        <v>1977</v>
      </c>
      <c r="K901" s="104" t="s">
        <v>1540</v>
      </c>
    </row>
    <row r="902" spans="1:11" hidden="1" x14ac:dyDescent="0.3">
      <c r="A902" s="100" t="s">
        <v>392</v>
      </c>
      <c r="B902" s="101" t="s">
        <v>2551</v>
      </c>
      <c r="C902" s="101" t="s">
        <v>2597</v>
      </c>
      <c r="D902" s="101" t="s">
        <v>2681</v>
      </c>
      <c r="E902" s="102">
        <v>45919</v>
      </c>
      <c r="F902" s="101" t="s">
        <v>370</v>
      </c>
      <c r="G902" s="101" t="s">
        <v>63</v>
      </c>
      <c r="H902" s="103">
        <v>11745</v>
      </c>
      <c r="I902" s="133">
        <v>0.60799999999999998</v>
      </c>
      <c r="J902" s="104" t="s">
        <v>1835</v>
      </c>
      <c r="K902" s="104" t="s">
        <v>1540</v>
      </c>
    </row>
    <row r="903" spans="1:11" hidden="1" x14ac:dyDescent="0.3">
      <c r="A903" s="100" t="s">
        <v>392</v>
      </c>
      <c r="B903" s="101" t="s">
        <v>2551</v>
      </c>
      <c r="C903" s="101" t="s">
        <v>2598</v>
      </c>
      <c r="D903" s="101" t="s">
        <v>2682</v>
      </c>
      <c r="E903" s="102">
        <v>45919</v>
      </c>
      <c r="F903" s="101" t="s">
        <v>370</v>
      </c>
      <c r="G903" s="101" t="s">
        <v>63</v>
      </c>
      <c r="H903" s="103">
        <v>4200</v>
      </c>
      <c r="I903" s="133">
        <v>0.42899999999999999</v>
      </c>
      <c r="J903" s="104" t="s">
        <v>1835</v>
      </c>
      <c r="K903" s="104" t="s">
        <v>1540</v>
      </c>
    </row>
    <row r="904" spans="1:11" hidden="1" x14ac:dyDescent="0.3">
      <c r="A904" s="100" t="s">
        <v>392</v>
      </c>
      <c r="B904" s="101" t="s">
        <v>2551</v>
      </c>
      <c r="C904" s="101" t="s">
        <v>2599</v>
      </c>
      <c r="D904" s="101" t="s">
        <v>2683</v>
      </c>
      <c r="E904" s="102">
        <v>45922</v>
      </c>
      <c r="F904" s="101" t="s">
        <v>372</v>
      </c>
      <c r="G904" s="101" t="s">
        <v>10</v>
      </c>
      <c r="H904" s="103">
        <v>23250</v>
      </c>
      <c r="I904" s="133">
        <v>0.377</v>
      </c>
      <c r="J904" s="104" t="s">
        <v>848</v>
      </c>
      <c r="K904" s="104" t="s">
        <v>1540</v>
      </c>
    </row>
    <row r="905" spans="1:11" hidden="1" x14ac:dyDescent="0.3">
      <c r="A905" s="100" t="s">
        <v>392</v>
      </c>
      <c r="B905" s="101" t="s">
        <v>2551</v>
      </c>
      <c r="C905" s="101" t="s">
        <v>2600</v>
      </c>
      <c r="D905" s="101" t="s">
        <v>2684</v>
      </c>
      <c r="E905" s="102">
        <v>45922</v>
      </c>
      <c r="F905" s="101" t="s">
        <v>372</v>
      </c>
      <c r="G905" s="101" t="s">
        <v>10</v>
      </c>
      <c r="H905" s="103">
        <v>23250</v>
      </c>
      <c r="I905" s="133">
        <v>0.377</v>
      </c>
      <c r="J905" s="104" t="s">
        <v>848</v>
      </c>
      <c r="K905" s="104" t="s">
        <v>1540</v>
      </c>
    </row>
    <row r="906" spans="1:11" hidden="1" x14ac:dyDescent="0.3">
      <c r="A906" s="100" t="s">
        <v>390</v>
      </c>
      <c r="B906" s="101" t="s">
        <v>2551</v>
      </c>
      <c r="C906" s="101" t="s">
        <v>2601</v>
      </c>
      <c r="D906" s="101" t="s">
        <v>2685</v>
      </c>
      <c r="E906" s="102">
        <v>45922</v>
      </c>
      <c r="F906" s="101" t="s">
        <v>587</v>
      </c>
      <c r="G906" s="101" t="s">
        <v>11</v>
      </c>
      <c r="H906" s="103">
        <v>14199.89</v>
      </c>
      <c r="I906" s="133">
        <v>0.41399999999999998</v>
      </c>
      <c r="J906" s="104" t="s">
        <v>833</v>
      </c>
      <c r="K906" s="104" t="s">
        <v>1541</v>
      </c>
    </row>
    <row r="907" spans="1:11" hidden="1" x14ac:dyDescent="0.3">
      <c r="A907" s="100" t="s">
        <v>392</v>
      </c>
      <c r="B907" s="101" t="s">
        <v>2551</v>
      </c>
      <c r="C907" s="101" t="s">
        <v>2602</v>
      </c>
      <c r="D907" s="101" t="s">
        <v>2686</v>
      </c>
      <c r="E907" s="102">
        <v>45922</v>
      </c>
      <c r="F907" s="101" t="s">
        <v>370</v>
      </c>
      <c r="G907" s="101" t="s">
        <v>63</v>
      </c>
      <c r="H907" s="103">
        <v>4200</v>
      </c>
      <c r="I907" s="133">
        <v>0.61899999999999999</v>
      </c>
      <c r="J907" s="104" t="s">
        <v>848</v>
      </c>
      <c r="K907" s="104" t="s">
        <v>1540</v>
      </c>
    </row>
    <row r="908" spans="1:11" hidden="1" x14ac:dyDescent="0.3">
      <c r="A908" s="100" t="s">
        <v>392</v>
      </c>
      <c r="B908" s="101" t="s">
        <v>2551</v>
      </c>
      <c r="C908" s="101" t="s">
        <v>2603</v>
      </c>
      <c r="D908" s="101" t="s">
        <v>2687</v>
      </c>
      <c r="E908" s="102">
        <v>45922</v>
      </c>
      <c r="F908" s="101" t="s">
        <v>370</v>
      </c>
      <c r="G908" s="101" t="s">
        <v>63</v>
      </c>
      <c r="H908" s="103">
        <v>4200</v>
      </c>
      <c r="I908" s="133">
        <v>0.61899999999999999</v>
      </c>
      <c r="J908" s="104" t="s">
        <v>848</v>
      </c>
      <c r="K908" s="104" t="s">
        <v>1540</v>
      </c>
    </row>
    <row r="909" spans="1:11" hidden="1" x14ac:dyDescent="0.3">
      <c r="A909" s="100" t="s">
        <v>392</v>
      </c>
      <c r="B909" s="101" t="s">
        <v>2551</v>
      </c>
      <c r="C909" s="101" t="s">
        <v>2604</v>
      </c>
      <c r="D909" s="101" t="s">
        <v>2688</v>
      </c>
      <c r="E909" s="102">
        <v>45922</v>
      </c>
      <c r="F909" s="101" t="s">
        <v>374</v>
      </c>
      <c r="G909" s="101" t="s">
        <v>2716</v>
      </c>
      <c r="H909" s="103">
        <v>10800</v>
      </c>
      <c r="I909" s="133">
        <v>0.74099999999999999</v>
      </c>
      <c r="J909" s="104" t="s">
        <v>848</v>
      </c>
      <c r="K909" s="104" t="s">
        <v>1540</v>
      </c>
    </row>
    <row r="910" spans="1:11" hidden="1" x14ac:dyDescent="0.3">
      <c r="A910" s="100" t="s">
        <v>390</v>
      </c>
      <c r="B910" s="101" t="s">
        <v>2551</v>
      </c>
      <c r="C910" s="101" t="s">
        <v>2605</v>
      </c>
      <c r="D910" s="101" t="s">
        <v>2689</v>
      </c>
      <c r="E910" s="102">
        <v>45923</v>
      </c>
      <c r="F910" s="101" t="s">
        <v>371</v>
      </c>
      <c r="G910" s="101" t="s">
        <v>864</v>
      </c>
      <c r="H910" s="103">
        <v>22671.86</v>
      </c>
      <c r="I910" s="133">
        <v>0.28599999999999998</v>
      </c>
      <c r="J910" s="104" t="s">
        <v>832</v>
      </c>
      <c r="K910" s="104" t="s">
        <v>1541</v>
      </c>
    </row>
    <row r="911" spans="1:11" hidden="1" x14ac:dyDescent="0.3">
      <c r="A911" s="100" t="s">
        <v>390</v>
      </c>
      <c r="B911" s="101" t="s">
        <v>2551</v>
      </c>
      <c r="C911" s="101" t="s">
        <v>2606</v>
      </c>
      <c r="D911" s="101" t="s">
        <v>2690</v>
      </c>
      <c r="E911" s="102">
        <v>45923</v>
      </c>
      <c r="F911" s="101" t="s">
        <v>371</v>
      </c>
      <c r="G911" s="101" t="s">
        <v>864</v>
      </c>
      <c r="H911" s="103">
        <v>45418.78</v>
      </c>
      <c r="I911" s="133">
        <v>0.20799999999999999</v>
      </c>
      <c r="J911" s="104" t="s">
        <v>832</v>
      </c>
      <c r="K911" s="104" t="s">
        <v>1541</v>
      </c>
    </row>
    <row r="912" spans="1:11" hidden="1" x14ac:dyDescent="0.3">
      <c r="A912" s="100" t="s">
        <v>390</v>
      </c>
      <c r="B912" s="101" t="s">
        <v>2551</v>
      </c>
      <c r="C912" s="101" t="s">
        <v>2607</v>
      </c>
      <c r="D912" s="101" t="s">
        <v>2691</v>
      </c>
      <c r="E912" s="102">
        <v>45923</v>
      </c>
      <c r="F912" s="101" t="s">
        <v>371</v>
      </c>
      <c r="G912" s="101" t="s">
        <v>864</v>
      </c>
      <c r="H912" s="103">
        <v>17978.599999999999</v>
      </c>
      <c r="I912" s="133">
        <v>0.32300000000000001</v>
      </c>
      <c r="J912" s="104" t="s">
        <v>832</v>
      </c>
      <c r="K912" s="104" t="s">
        <v>1541</v>
      </c>
    </row>
    <row r="913" spans="1:11" hidden="1" x14ac:dyDescent="0.3">
      <c r="A913" s="100" t="s">
        <v>392</v>
      </c>
      <c r="B913" s="101" t="s">
        <v>2551</v>
      </c>
      <c r="C913" s="101" t="s">
        <v>2608</v>
      </c>
      <c r="D913" s="101" t="s">
        <v>2692</v>
      </c>
      <c r="E913" s="102">
        <v>45924</v>
      </c>
      <c r="F913" s="101" t="s">
        <v>372</v>
      </c>
      <c r="G913" s="101" t="s">
        <v>10</v>
      </c>
      <c r="H913" s="103">
        <v>8300</v>
      </c>
      <c r="I913" s="133">
        <v>0.435</v>
      </c>
      <c r="J913" s="104" t="s">
        <v>848</v>
      </c>
      <c r="K913" s="104" t="s">
        <v>1540</v>
      </c>
    </row>
    <row r="914" spans="1:11" hidden="1" x14ac:dyDescent="0.3">
      <c r="A914" s="100" t="s">
        <v>392</v>
      </c>
      <c r="B914" s="101" t="s">
        <v>2551</v>
      </c>
      <c r="C914" s="101" t="s">
        <v>2609</v>
      </c>
      <c r="D914" s="101" t="s">
        <v>2693</v>
      </c>
      <c r="E914" s="102">
        <v>45925</v>
      </c>
      <c r="F914" s="101" t="s">
        <v>372</v>
      </c>
      <c r="G914" s="101" t="s">
        <v>10</v>
      </c>
      <c r="H914" s="103">
        <v>14885</v>
      </c>
      <c r="I914" s="133">
        <v>0.434</v>
      </c>
      <c r="J914" s="104" t="s">
        <v>848</v>
      </c>
      <c r="K914" s="104" t="s">
        <v>1540</v>
      </c>
    </row>
    <row r="915" spans="1:11" hidden="1" x14ac:dyDescent="0.3">
      <c r="A915" s="100" t="s">
        <v>390</v>
      </c>
      <c r="B915" s="101" t="s">
        <v>2551</v>
      </c>
      <c r="C915" s="101" t="s">
        <v>2610</v>
      </c>
      <c r="D915" s="101" t="s">
        <v>2694</v>
      </c>
      <c r="E915" s="102">
        <v>45925</v>
      </c>
      <c r="F915" s="101" t="s">
        <v>372</v>
      </c>
      <c r="G915" s="101" t="s">
        <v>10</v>
      </c>
      <c r="H915" s="103">
        <v>101696.7</v>
      </c>
      <c r="I915" s="133">
        <v>0.28000000000000003</v>
      </c>
      <c r="J915" s="104" t="s">
        <v>831</v>
      </c>
      <c r="K915" s="104" t="s">
        <v>1542</v>
      </c>
    </row>
    <row r="916" spans="1:11" hidden="1" x14ac:dyDescent="0.3">
      <c r="A916" s="100" t="s">
        <v>390</v>
      </c>
      <c r="B916" s="101" t="s">
        <v>2551</v>
      </c>
      <c r="C916" s="101" t="s">
        <v>2611</v>
      </c>
      <c r="D916" s="101" t="s">
        <v>2695</v>
      </c>
      <c r="E916" s="102">
        <v>45925</v>
      </c>
      <c r="F916" s="101" t="s">
        <v>371</v>
      </c>
      <c r="G916" s="101" t="s">
        <v>864</v>
      </c>
      <c r="H916" s="103">
        <v>23205.68</v>
      </c>
      <c r="I916" s="133">
        <v>0.186</v>
      </c>
      <c r="J916" s="104" t="s">
        <v>832</v>
      </c>
      <c r="K916" s="104" t="s">
        <v>1541</v>
      </c>
    </row>
    <row r="917" spans="1:11" hidden="1" x14ac:dyDescent="0.3">
      <c r="A917" s="100" t="s">
        <v>390</v>
      </c>
      <c r="B917" s="101" t="s">
        <v>2551</v>
      </c>
      <c r="C917" s="101" t="s">
        <v>2612</v>
      </c>
      <c r="D917" s="101" t="s">
        <v>2696</v>
      </c>
      <c r="E917" s="102">
        <v>45925</v>
      </c>
      <c r="F917" s="101" t="s">
        <v>619</v>
      </c>
      <c r="G917" s="101" t="s">
        <v>2086</v>
      </c>
      <c r="H917" s="103">
        <v>20447.419999999998</v>
      </c>
      <c r="I917" s="133">
        <v>0.54900000000000004</v>
      </c>
      <c r="J917" s="104" t="s">
        <v>833</v>
      </c>
      <c r="K917" s="104" t="s">
        <v>1541</v>
      </c>
    </row>
    <row r="918" spans="1:11" hidden="1" x14ac:dyDescent="0.3">
      <c r="A918" s="100" t="s">
        <v>390</v>
      </c>
      <c r="B918" s="101" t="s">
        <v>2551</v>
      </c>
      <c r="C918" s="101" t="s">
        <v>2613</v>
      </c>
      <c r="D918" s="101" t="s">
        <v>2697</v>
      </c>
      <c r="E918" s="102">
        <v>45925</v>
      </c>
      <c r="F918" s="101" t="s">
        <v>2131</v>
      </c>
      <c r="G918" s="101" t="s">
        <v>2132</v>
      </c>
      <c r="H918" s="103">
        <v>27077.5</v>
      </c>
      <c r="I918" s="133">
        <v>0.433</v>
      </c>
      <c r="J918" s="104" t="s">
        <v>831</v>
      </c>
      <c r="K918" s="104" t="s">
        <v>1541</v>
      </c>
    </row>
    <row r="919" spans="1:11" hidden="1" x14ac:dyDescent="0.3">
      <c r="A919" s="100" t="s">
        <v>390</v>
      </c>
      <c r="B919" s="101" t="s">
        <v>2551</v>
      </c>
      <c r="C919" s="101" t="s">
        <v>2614</v>
      </c>
      <c r="D919" s="101" t="s">
        <v>2698</v>
      </c>
      <c r="E919" s="102">
        <v>45925</v>
      </c>
      <c r="F919" s="101" t="s">
        <v>2281</v>
      </c>
      <c r="G919" s="101" t="s">
        <v>2305</v>
      </c>
      <c r="H919" s="103">
        <v>7741.1040000000003</v>
      </c>
      <c r="I919" s="133">
        <v>1</v>
      </c>
      <c r="J919" s="104" t="s">
        <v>831</v>
      </c>
      <c r="K919" s="104" t="s">
        <v>1542</v>
      </c>
    </row>
    <row r="920" spans="1:11" hidden="1" x14ac:dyDescent="0.3">
      <c r="A920" s="100" t="s">
        <v>390</v>
      </c>
      <c r="B920" s="101" t="s">
        <v>2551</v>
      </c>
      <c r="C920" s="101" t="s">
        <v>2615</v>
      </c>
      <c r="D920" s="101" t="s">
        <v>2699</v>
      </c>
      <c r="E920" s="102">
        <v>45925</v>
      </c>
      <c r="F920" s="101" t="s">
        <v>2281</v>
      </c>
      <c r="G920" s="101" t="s">
        <v>2305</v>
      </c>
      <c r="H920" s="103">
        <v>46704.660799999998</v>
      </c>
      <c r="I920" s="133">
        <v>0.60099999999999998</v>
      </c>
      <c r="J920" s="104" t="s">
        <v>831</v>
      </c>
      <c r="K920" s="104" t="s">
        <v>1542</v>
      </c>
    </row>
    <row r="921" spans="1:11" hidden="1" x14ac:dyDescent="0.3">
      <c r="A921" s="100" t="s">
        <v>390</v>
      </c>
      <c r="B921" s="101" t="s">
        <v>2551</v>
      </c>
      <c r="C921" s="101" t="s">
        <v>2616</v>
      </c>
      <c r="D921" s="101" t="s">
        <v>2700</v>
      </c>
      <c r="E921" s="102">
        <v>45926</v>
      </c>
      <c r="F921" s="101" t="s">
        <v>371</v>
      </c>
      <c r="G921" s="101" t="s">
        <v>864</v>
      </c>
      <c r="H921" s="103">
        <v>16845.420000000002</v>
      </c>
      <c r="I921" s="133">
        <v>0.20699999999999999</v>
      </c>
      <c r="J921" s="104" t="s">
        <v>832</v>
      </c>
      <c r="K921" s="104" t="s">
        <v>1541</v>
      </c>
    </row>
    <row r="922" spans="1:11" hidden="1" x14ac:dyDescent="0.3">
      <c r="A922" s="100" t="s">
        <v>390</v>
      </c>
      <c r="B922" s="101" t="s">
        <v>2551</v>
      </c>
      <c r="C922" s="101" t="s">
        <v>2617</v>
      </c>
      <c r="D922" s="101" t="s">
        <v>2701</v>
      </c>
      <c r="E922" s="102">
        <v>45929</v>
      </c>
      <c r="F922" s="101" t="s">
        <v>371</v>
      </c>
      <c r="G922" s="101" t="s">
        <v>864</v>
      </c>
      <c r="H922" s="103">
        <v>14365.72</v>
      </c>
      <c r="I922" s="133">
        <v>0.48899999999999999</v>
      </c>
      <c r="J922" s="104" t="s">
        <v>832</v>
      </c>
      <c r="K922" s="104" t="s">
        <v>1541</v>
      </c>
    </row>
    <row r="923" spans="1:11" hidden="1" x14ac:dyDescent="0.3">
      <c r="A923" s="100" t="s">
        <v>390</v>
      </c>
      <c r="B923" s="101" t="s">
        <v>2551</v>
      </c>
      <c r="C923" s="101" t="s">
        <v>2618</v>
      </c>
      <c r="D923" s="101" t="s">
        <v>2702</v>
      </c>
      <c r="E923" s="102">
        <v>45929</v>
      </c>
      <c r="F923" s="101" t="s">
        <v>371</v>
      </c>
      <c r="G923" s="101" t="s">
        <v>864</v>
      </c>
      <c r="H923" s="103">
        <v>13941.99</v>
      </c>
      <c r="I923" s="133">
        <v>0.499</v>
      </c>
      <c r="J923" s="104" t="s">
        <v>832</v>
      </c>
      <c r="K923" s="104" t="s">
        <v>1541</v>
      </c>
    </row>
    <row r="924" spans="1:11" hidden="1" x14ac:dyDescent="0.3">
      <c r="A924" s="100" t="s">
        <v>390</v>
      </c>
      <c r="B924" s="101" t="s">
        <v>2551</v>
      </c>
      <c r="C924" s="101" t="s">
        <v>2619</v>
      </c>
      <c r="D924" s="101" t="s">
        <v>2703</v>
      </c>
      <c r="E924" s="102">
        <v>45929</v>
      </c>
      <c r="F924" s="101" t="s">
        <v>371</v>
      </c>
      <c r="G924" s="101" t="s">
        <v>864</v>
      </c>
      <c r="H924" s="103">
        <v>14254.57</v>
      </c>
      <c r="I924" s="133">
        <v>0.49099999999999999</v>
      </c>
      <c r="J924" s="104" t="s">
        <v>832</v>
      </c>
      <c r="K924" s="104" t="s">
        <v>1541</v>
      </c>
    </row>
    <row r="925" spans="1:11" hidden="1" x14ac:dyDescent="0.3">
      <c r="A925" s="100" t="s">
        <v>392</v>
      </c>
      <c r="B925" s="101" t="s">
        <v>2551</v>
      </c>
      <c r="C925" s="101" t="s">
        <v>2620</v>
      </c>
      <c r="D925" s="101" t="s">
        <v>2704</v>
      </c>
      <c r="E925" s="102">
        <v>45929</v>
      </c>
      <c r="F925" s="101" t="s">
        <v>370</v>
      </c>
      <c r="G925" s="101" t="s">
        <v>63</v>
      </c>
      <c r="H925" s="103">
        <v>4500</v>
      </c>
      <c r="I925" s="133">
        <v>0.6</v>
      </c>
      <c r="J925" s="104" t="s">
        <v>1835</v>
      </c>
      <c r="K925" s="104" t="s">
        <v>1540</v>
      </c>
    </row>
    <row r="926" spans="1:11" hidden="1" x14ac:dyDescent="0.3">
      <c r="A926" s="100" t="s">
        <v>392</v>
      </c>
      <c r="B926" s="101" t="s">
        <v>2551</v>
      </c>
      <c r="C926" s="101" t="s">
        <v>2621</v>
      </c>
      <c r="D926" s="101" t="s">
        <v>2705</v>
      </c>
      <c r="E926" s="102">
        <v>45929</v>
      </c>
      <c r="F926" s="101" t="s">
        <v>370</v>
      </c>
      <c r="G926" s="101" t="s">
        <v>63</v>
      </c>
      <c r="H926" s="103">
        <v>4500</v>
      </c>
      <c r="I926" s="133">
        <v>0.6</v>
      </c>
      <c r="J926" s="104" t="s">
        <v>848</v>
      </c>
      <c r="K926" s="104" t="s">
        <v>1540</v>
      </c>
    </row>
    <row r="927" spans="1:11" hidden="1" x14ac:dyDescent="0.3">
      <c r="A927" s="100" t="s">
        <v>392</v>
      </c>
      <c r="B927" s="101" t="s">
        <v>2551</v>
      </c>
      <c r="C927" s="101" t="s">
        <v>2622</v>
      </c>
      <c r="D927" s="101" t="s">
        <v>2706</v>
      </c>
      <c r="E927" s="102">
        <v>45929</v>
      </c>
      <c r="F927" s="101" t="s">
        <v>370</v>
      </c>
      <c r="G927" s="101" t="s">
        <v>63</v>
      </c>
      <c r="H927" s="103">
        <v>4500</v>
      </c>
      <c r="I927" s="133">
        <v>0.6</v>
      </c>
      <c r="J927" s="104" t="s">
        <v>848</v>
      </c>
      <c r="K927" s="104" t="s">
        <v>1540</v>
      </c>
    </row>
    <row r="928" spans="1:11" hidden="1" x14ac:dyDescent="0.3">
      <c r="A928" s="100" t="s">
        <v>390</v>
      </c>
      <c r="B928" s="101" t="s">
        <v>2551</v>
      </c>
      <c r="C928" s="101" t="s">
        <v>2623</v>
      </c>
      <c r="D928" s="101" t="s">
        <v>2320</v>
      </c>
      <c r="E928" s="102">
        <v>45930</v>
      </c>
      <c r="F928" s="101" t="s">
        <v>1007</v>
      </c>
      <c r="G928" s="101" t="s">
        <v>2250</v>
      </c>
      <c r="H928" s="103">
        <v>3549</v>
      </c>
      <c r="I928" s="133">
        <v>0.59</v>
      </c>
      <c r="J928" s="104" t="s">
        <v>1835</v>
      </c>
      <c r="K928" s="104" t="s">
        <v>1540</v>
      </c>
    </row>
    <row r="929" spans="1:11" hidden="1" x14ac:dyDescent="0.3">
      <c r="A929" s="100" t="s">
        <v>390</v>
      </c>
      <c r="B929" s="101" t="s">
        <v>2551</v>
      </c>
      <c r="C929" s="101" t="s">
        <v>2624</v>
      </c>
      <c r="D929" s="101" t="s">
        <v>2539</v>
      </c>
      <c r="E929" s="102">
        <v>45930</v>
      </c>
      <c r="F929" s="101" t="s">
        <v>1007</v>
      </c>
      <c r="G929" s="101" t="s">
        <v>2250</v>
      </c>
      <c r="H929" s="103">
        <v>33128.94</v>
      </c>
      <c r="I929" s="133">
        <v>0.27300000000000002</v>
      </c>
      <c r="J929" s="104" t="s">
        <v>831</v>
      </c>
      <c r="K929" s="104" t="s">
        <v>1542</v>
      </c>
    </row>
    <row r="930" spans="1:11" hidden="1" x14ac:dyDescent="0.3">
      <c r="A930" s="100" t="s">
        <v>390</v>
      </c>
      <c r="B930" s="101" t="s">
        <v>2551</v>
      </c>
      <c r="C930" s="101" t="s">
        <v>2625</v>
      </c>
      <c r="D930" s="101" t="s">
        <v>2707</v>
      </c>
      <c r="E930" s="102">
        <v>45930</v>
      </c>
      <c r="F930" s="101" t="s">
        <v>1007</v>
      </c>
      <c r="G930" s="101" t="s">
        <v>2250</v>
      </c>
      <c r="H930" s="103">
        <v>30645.668999999998</v>
      </c>
      <c r="I930" s="133">
        <v>0.27700000000000002</v>
      </c>
      <c r="J930" s="104" t="s">
        <v>831</v>
      </c>
      <c r="K930" s="104" t="s">
        <v>1541</v>
      </c>
    </row>
    <row r="931" spans="1:11" hidden="1" x14ac:dyDescent="0.3">
      <c r="A931" s="100" t="s">
        <v>390</v>
      </c>
      <c r="B931" s="101" t="s">
        <v>2551</v>
      </c>
      <c r="C931" s="101" t="s">
        <v>2626</v>
      </c>
      <c r="D931" s="101" t="s">
        <v>2539</v>
      </c>
      <c r="E931" s="102">
        <v>45930</v>
      </c>
      <c r="F931" s="101" t="s">
        <v>1007</v>
      </c>
      <c r="G931" s="101" t="s">
        <v>2250</v>
      </c>
      <c r="H931" s="103">
        <v>83752.594800000006</v>
      </c>
      <c r="I931" s="133">
        <v>0.27300000000000002</v>
      </c>
      <c r="J931" s="104" t="s">
        <v>831</v>
      </c>
      <c r="K931" s="104" t="s">
        <v>1542</v>
      </c>
    </row>
    <row r="932" spans="1:11" hidden="1" x14ac:dyDescent="0.3">
      <c r="A932" s="100" t="s">
        <v>392</v>
      </c>
      <c r="B932" s="101" t="s">
        <v>2551</v>
      </c>
      <c r="C932" s="101" t="s">
        <v>2627</v>
      </c>
      <c r="D932" s="101" t="s">
        <v>2708</v>
      </c>
      <c r="E932" s="102">
        <v>45930</v>
      </c>
      <c r="F932" s="101" t="s">
        <v>842</v>
      </c>
      <c r="G932" s="101" t="s">
        <v>843</v>
      </c>
      <c r="H932" s="103">
        <v>22000</v>
      </c>
      <c r="I932" s="133">
        <v>0.45500000000000002</v>
      </c>
      <c r="J932" s="104" t="s">
        <v>1977</v>
      </c>
      <c r="K932" s="104" t="s">
        <v>1540</v>
      </c>
    </row>
    <row r="933" spans="1:11" hidden="1" x14ac:dyDescent="0.3">
      <c r="A933" s="100" t="s">
        <v>390</v>
      </c>
      <c r="B933" s="101" t="s">
        <v>2551</v>
      </c>
      <c r="C933" s="101" t="s">
        <v>2628</v>
      </c>
      <c r="D933" s="101" t="s">
        <v>1790</v>
      </c>
      <c r="E933" s="102">
        <v>45930</v>
      </c>
      <c r="F933" s="101" t="s">
        <v>371</v>
      </c>
      <c r="G933" s="101" t="s">
        <v>864</v>
      </c>
      <c r="H933" s="103">
        <v>0.01</v>
      </c>
      <c r="I933" s="133">
        <v>0.21</v>
      </c>
      <c r="J933" s="104" t="s">
        <v>832</v>
      </c>
      <c r="K933" s="104" t="s">
        <v>1541</v>
      </c>
    </row>
    <row r="934" spans="1:11" hidden="1" x14ac:dyDescent="0.3">
      <c r="A934" s="100" t="s">
        <v>390</v>
      </c>
      <c r="B934" s="101" t="s">
        <v>2551</v>
      </c>
      <c r="C934" s="101" t="s">
        <v>2629</v>
      </c>
      <c r="D934" s="101" t="s">
        <v>1585</v>
      </c>
      <c r="E934" s="102">
        <v>45930</v>
      </c>
      <c r="F934" s="101" t="s">
        <v>371</v>
      </c>
      <c r="G934" s="101" t="s">
        <v>864</v>
      </c>
      <c r="H934" s="103">
        <v>0.01</v>
      </c>
      <c r="I934" s="133">
        <v>0.214</v>
      </c>
      <c r="J934" s="104" t="s">
        <v>832</v>
      </c>
      <c r="K934" s="104" t="s">
        <v>1541</v>
      </c>
    </row>
    <row r="935" spans="1:11" hidden="1" x14ac:dyDescent="0.3">
      <c r="A935" s="100" t="s">
        <v>390</v>
      </c>
      <c r="B935" s="101" t="s">
        <v>2551</v>
      </c>
      <c r="C935" s="101" t="s">
        <v>2630</v>
      </c>
      <c r="D935" s="101" t="s">
        <v>2709</v>
      </c>
      <c r="E935" s="102">
        <v>45930</v>
      </c>
      <c r="F935" s="101" t="s">
        <v>371</v>
      </c>
      <c r="G935" s="101" t="s">
        <v>864</v>
      </c>
      <c r="H935" s="103">
        <v>14467.33</v>
      </c>
      <c r="I935" s="133">
        <v>0.48599999999999999</v>
      </c>
      <c r="J935" s="104" t="s">
        <v>832</v>
      </c>
      <c r="K935" s="104" t="s">
        <v>1541</v>
      </c>
    </row>
    <row r="936" spans="1:11" hidden="1" x14ac:dyDescent="0.3">
      <c r="A936" s="100" t="s">
        <v>390</v>
      </c>
      <c r="B936" s="101" t="s">
        <v>2551</v>
      </c>
      <c r="C936" s="101" t="s">
        <v>2631</v>
      </c>
      <c r="D936" s="101" t="s">
        <v>2710</v>
      </c>
      <c r="E936" s="102">
        <v>45930</v>
      </c>
      <c r="F936" s="101" t="s">
        <v>375</v>
      </c>
      <c r="G936" s="101" t="s">
        <v>2303</v>
      </c>
      <c r="H936" s="103">
        <v>15008.419999999998</v>
      </c>
      <c r="I936" s="133">
        <v>0.36099999999999999</v>
      </c>
      <c r="J936" s="104" t="s">
        <v>831</v>
      </c>
      <c r="K936" s="104" t="s">
        <v>1541</v>
      </c>
    </row>
    <row r="937" spans="1:11" hidden="1" x14ac:dyDescent="0.3">
      <c r="A937" s="100" t="s">
        <v>390</v>
      </c>
      <c r="B937" s="101" t="s">
        <v>2551</v>
      </c>
      <c r="C937" s="101" t="s">
        <v>2632</v>
      </c>
      <c r="D937" s="101" t="s">
        <v>2711</v>
      </c>
      <c r="E937" s="102">
        <v>45930</v>
      </c>
      <c r="F937" s="101" t="s">
        <v>370</v>
      </c>
      <c r="G937" s="101" t="s">
        <v>63</v>
      </c>
      <c r="H937" s="103">
        <v>7387</v>
      </c>
      <c r="I937" s="133">
        <v>0.56100000000000005</v>
      </c>
      <c r="J937" s="104" t="s">
        <v>1835</v>
      </c>
      <c r="K937" s="104" t="s">
        <v>1541</v>
      </c>
    </row>
    <row r="938" spans="1:11" hidden="1" x14ac:dyDescent="0.3">
      <c r="A938" s="100" t="s">
        <v>390</v>
      </c>
      <c r="B938" s="101" t="s">
        <v>2551</v>
      </c>
      <c r="C938" s="101" t="s">
        <v>2633</v>
      </c>
      <c r="D938" s="101" t="s">
        <v>2712</v>
      </c>
      <c r="E938" s="102">
        <v>45930</v>
      </c>
      <c r="F938" s="101" t="s">
        <v>370</v>
      </c>
      <c r="G938" s="101" t="s">
        <v>63</v>
      </c>
      <c r="H938" s="103">
        <v>11160</v>
      </c>
      <c r="I938" s="133">
        <v>0.44900000000000001</v>
      </c>
      <c r="J938" s="104" t="s">
        <v>1835</v>
      </c>
      <c r="K938" s="104" t="s">
        <v>1541</v>
      </c>
    </row>
    <row r="939" spans="1:11" hidden="1" x14ac:dyDescent="0.3">
      <c r="A939" s="100" t="s">
        <v>392</v>
      </c>
      <c r="B939" s="101" t="s">
        <v>2551</v>
      </c>
      <c r="C939" s="101" t="s">
        <v>2634</v>
      </c>
      <c r="D939" s="101" t="s">
        <v>2713</v>
      </c>
      <c r="E939" s="102">
        <v>45930</v>
      </c>
      <c r="F939" s="101" t="s">
        <v>370</v>
      </c>
      <c r="G939" s="101" t="s">
        <v>63</v>
      </c>
      <c r="H939" s="103">
        <v>4200</v>
      </c>
      <c r="I939" s="133">
        <v>0.61899999999999999</v>
      </c>
      <c r="J939" s="104" t="s">
        <v>848</v>
      </c>
      <c r="K939" s="104" t="s">
        <v>1540</v>
      </c>
    </row>
    <row r="940" spans="1:11" hidden="1" x14ac:dyDescent="0.3">
      <c r="A940" s="100" t="s">
        <v>390</v>
      </c>
      <c r="B940" s="101" t="s">
        <v>2551</v>
      </c>
      <c r="C940" s="101" t="s">
        <v>2635</v>
      </c>
      <c r="D940" s="101" t="s">
        <v>2714</v>
      </c>
      <c r="E940" s="102">
        <v>45930</v>
      </c>
      <c r="F940" s="101" t="s">
        <v>370</v>
      </c>
      <c r="G940" s="101" t="s">
        <v>63</v>
      </c>
      <c r="H940" s="103">
        <v>108199.8</v>
      </c>
      <c r="I940" s="133">
        <v>0.156</v>
      </c>
      <c r="J940" s="104" t="s">
        <v>1835</v>
      </c>
      <c r="K940" s="104" t="s">
        <v>1542</v>
      </c>
    </row>
    <row r="941" spans="1:11" hidden="1" x14ac:dyDescent="0.3">
      <c r="A941" s="100" t="s">
        <v>390</v>
      </c>
      <c r="B941" s="101" t="s">
        <v>2551</v>
      </c>
      <c r="C941" s="101" t="s">
        <v>2636</v>
      </c>
      <c r="D941" s="101" t="s">
        <v>2714</v>
      </c>
      <c r="E941" s="102">
        <v>45930</v>
      </c>
      <c r="F941" s="101" t="s">
        <v>370</v>
      </c>
      <c r="G941" s="101" t="s">
        <v>63</v>
      </c>
      <c r="H941" s="103">
        <v>31345</v>
      </c>
      <c r="I941" s="133">
        <v>0.156</v>
      </c>
      <c r="J941" s="104" t="s">
        <v>1835</v>
      </c>
      <c r="K941" s="104" t="s">
        <v>1542</v>
      </c>
    </row>
    <row r="942" spans="1:11" hidden="1" x14ac:dyDescent="0.3">
      <c r="A942" s="100" t="s">
        <v>390</v>
      </c>
      <c r="B942" s="101" t="s">
        <v>2551</v>
      </c>
      <c r="C942" s="101" t="s">
        <v>2637</v>
      </c>
      <c r="D942" s="101" t="s">
        <v>2273</v>
      </c>
      <c r="E942" s="102">
        <v>45930</v>
      </c>
      <c r="F942" s="101" t="s">
        <v>2274</v>
      </c>
      <c r="G942" s="101" t="s">
        <v>2275</v>
      </c>
      <c r="H942" s="103">
        <v>2983.45</v>
      </c>
      <c r="I942" s="133">
        <v>0.27900000000000003</v>
      </c>
      <c r="J942" s="104" t="s">
        <v>831</v>
      </c>
      <c r="K942" s="104" t="s">
        <v>1542</v>
      </c>
    </row>
    <row r="943" spans="1:11" hidden="1" x14ac:dyDescent="0.3">
      <c r="A943" s="100" t="s">
        <v>392</v>
      </c>
      <c r="B943" s="101" t="s">
        <v>2895</v>
      </c>
      <c r="C943" s="101" t="s">
        <v>2718</v>
      </c>
      <c r="D943" s="101" t="s">
        <v>2719</v>
      </c>
      <c r="E943" s="102">
        <v>45931</v>
      </c>
      <c r="F943" s="101" t="s">
        <v>370</v>
      </c>
      <c r="G943" s="101" t="s">
        <v>63</v>
      </c>
      <c r="H943" s="103">
        <v>4200</v>
      </c>
      <c r="I943" s="133">
        <v>0.61899999999999999</v>
      </c>
      <c r="J943" s="104" t="s">
        <v>848</v>
      </c>
      <c r="K943" s="104" t="s">
        <v>1540</v>
      </c>
    </row>
    <row r="944" spans="1:11" hidden="1" x14ac:dyDescent="0.3">
      <c r="A944" s="100" t="s">
        <v>392</v>
      </c>
      <c r="B944" s="101" t="s">
        <v>2895</v>
      </c>
      <c r="C944" s="101" t="s">
        <v>2720</v>
      </c>
      <c r="D944" s="101" t="s">
        <v>2721</v>
      </c>
      <c r="E944" s="102">
        <v>45932</v>
      </c>
      <c r="F944" s="101" t="s">
        <v>372</v>
      </c>
      <c r="G944" s="101" t="s">
        <v>10</v>
      </c>
      <c r="H944" s="103">
        <v>37800</v>
      </c>
      <c r="I944" s="133">
        <v>0.31</v>
      </c>
      <c r="J944" s="104" t="s">
        <v>848</v>
      </c>
      <c r="K944" s="104" t="s">
        <v>1540</v>
      </c>
    </row>
    <row r="945" spans="1:11" hidden="1" x14ac:dyDescent="0.3">
      <c r="A945" s="100" t="s">
        <v>390</v>
      </c>
      <c r="B945" s="101" t="s">
        <v>2895</v>
      </c>
      <c r="C945" s="101" t="s">
        <v>2722</v>
      </c>
      <c r="D945" s="101" t="s">
        <v>2723</v>
      </c>
      <c r="E945" s="102">
        <v>45932</v>
      </c>
      <c r="F945" s="101" t="s">
        <v>370</v>
      </c>
      <c r="G945" s="101" t="s">
        <v>63</v>
      </c>
      <c r="H945" s="103">
        <v>7221</v>
      </c>
      <c r="I945" s="133">
        <v>0.55500000000000005</v>
      </c>
      <c r="J945" s="104" t="s">
        <v>2892</v>
      </c>
      <c r="K945" s="104" t="s">
        <v>2893</v>
      </c>
    </row>
    <row r="946" spans="1:11" hidden="1" x14ac:dyDescent="0.3">
      <c r="A946" s="100" t="s">
        <v>392</v>
      </c>
      <c r="B946" s="101" t="s">
        <v>2895</v>
      </c>
      <c r="C946" s="101" t="s">
        <v>2724</v>
      </c>
      <c r="D946" s="101" t="s">
        <v>2725</v>
      </c>
      <c r="E946" s="102">
        <v>45933</v>
      </c>
      <c r="F946" s="101" t="s">
        <v>370</v>
      </c>
      <c r="G946" s="101" t="s">
        <v>63</v>
      </c>
      <c r="H946" s="103">
        <v>19500</v>
      </c>
      <c r="I946" s="133">
        <v>0.52300000000000002</v>
      </c>
      <c r="J946" s="104" t="s">
        <v>2892</v>
      </c>
      <c r="K946" s="104" t="s">
        <v>1540</v>
      </c>
    </row>
    <row r="947" spans="1:11" hidden="1" x14ac:dyDescent="0.3">
      <c r="A947" s="100" t="s">
        <v>392</v>
      </c>
      <c r="B947" s="101" t="s">
        <v>2895</v>
      </c>
      <c r="C947" s="101" t="s">
        <v>2726</v>
      </c>
      <c r="D947" s="101" t="s">
        <v>2727</v>
      </c>
      <c r="E947" s="102">
        <v>45933</v>
      </c>
      <c r="F947" s="101" t="s">
        <v>370</v>
      </c>
      <c r="G947" s="101" t="s">
        <v>63</v>
      </c>
      <c r="H947" s="103">
        <v>4500</v>
      </c>
      <c r="I947" s="133">
        <v>0.6</v>
      </c>
      <c r="J947" s="104" t="s">
        <v>2892</v>
      </c>
      <c r="K947" s="104" t="s">
        <v>1540</v>
      </c>
    </row>
    <row r="948" spans="1:11" hidden="1" x14ac:dyDescent="0.3">
      <c r="A948" s="100" t="s">
        <v>392</v>
      </c>
      <c r="B948" s="101" t="s">
        <v>2895</v>
      </c>
      <c r="C948" s="101" t="s">
        <v>2728</v>
      </c>
      <c r="D948" s="101" t="s">
        <v>2729</v>
      </c>
      <c r="E948" s="102">
        <v>45936</v>
      </c>
      <c r="F948" s="101" t="s">
        <v>844</v>
      </c>
      <c r="G948" s="101" t="s">
        <v>863</v>
      </c>
      <c r="H948" s="103">
        <v>5000</v>
      </c>
      <c r="I948" s="133">
        <v>0.45900000000000002</v>
      </c>
      <c r="J948" s="104" t="s">
        <v>1977</v>
      </c>
      <c r="K948" s="104" t="s">
        <v>1540</v>
      </c>
    </row>
    <row r="949" spans="1:11" hidden="1" x14ac:dyDescent="0.3">
      <c r="A949" s="100" t="s">
        <v>392</v>
      </c>
      <c r="B949" s="101" t="s">
        <v>2895</v>
      </c>
      <c r="C949" s="101" t="s">
        <v>2730</v>
      </c>
      <c r="D949" s="101" t="s">
        <v>2731</v>
      </c>
      <c r="E949" s="102">
        <v>45936</v>
      </c>
      <c r="F949" s="101" t="s">
        <v>844</v>
      </c>
      <c r="G949" s="101" t="s">
        <v>863</v>
      </c>
      <c r="H949" s="103">
        <v>21000</v>
      </c>
      <c r="I949" s="133">
        <v>0.33500000000000002</v>
      </c>
      <c r="J949" s="104" t="s">
        <v>1977</v>
      </c>
      <c r="K949" s="104" t="s">
        <v>1540</v>
      </c>
    </row>
    <row r="950" spans="1:11" hidden="1" x14ac:dyDescent="0.3">
      <c r="A950" s="100" t="s">
        <v>392</v>
      </c>
      <c r="B950" s="101" t="s">
        <v>2895</v>
      </c>
      <c r="C950" s="101" t="s">
        <v>2732</v>
      </c>
      <c r="D950" s="101" t="s">
        <v>2733</v>
      </c>
      <c r="E950" s="102">
        <v>45936</v>
      </c>
      <c r="F950" s="101" t="s">
        <v>370</v>
      </c>
      <c r="G950" s="101" t="s">
        <v>63</v>
      </c>
      <c r="H950" s="103">
        <v>4200</v>
      </c>
      <c r="I950" s="133">
        <v>0.61899999999999999</v>
      </c>
      <c r="J950" s="104" t="s">
        <v>2892</v>
      </c>
      <c r="K950" s="104" t="s">
        <v>1540</v>
      </c>
    </row>
    <row r="951" spans="1:11" hidden="1" x14ac:dyDescent="0.3">
      <c r="A951" s="100" t="s">
        <v>392</v>
      </c>
      <c r="B951" s="101" t="s">
        <v>2895</v>
      </c>
      <c r="C951" s="101" t="s">
        <v>2734</v>
      </c>
      <c r="D951" s="101" t="s">
        <v>2735</v>
      </c>
      <c r="E951" s="102">
        <v>45936</v>
      </c>
      <c r="F951" s="101" t="s">
        <v>370</v>
      </c>
      <c r="G951" s="101" t="s">
        <v>63</v>
      </c>
      <c r="H951" s="103">
        <v>4200</v>
      </c>
      <c r="I951" s="133">
        <v>0.61899999999999999</v>
      </c>
      <c r="J951" s="104" t="s">
        <v>2892</v>
      </c>
      <c r="K951" s="104" t="s">
        <v>1540</v>
      </c>
    </row>
    <row r="952" spans="1:11" hidden="1" x14ac:dyDescent="0.3">
      <c r="A952" s="100" t="s">
        <v>390</v>
      </c>
      <c r="B952" s="101" t="s">
        <v>2895</v>
      </c>
      <c r="C952" s="101" t="s">
        <v>2736</v>
      </c>
      <c r="D952" s="101" t="s">
        <v>2737</v>
      </c>
      <c r="E952" s="102">
        <v>45937</v>
      </c>
      <c r="F952" s="101" t="s">
        <v>372</v>
      </c>
      <c r="G952" s="101" t="s">
        <v>10</v>
      </c>
      <c r="H952" s="103">
        <v>3540</v>
      </c>
      <c r="I952" s="133">
        <v>0.25900000000000001</v>
      </c>
      <c r="J952" s="104" t="s">
        <v>833</v>
      </c>
      <c r="K952" s="104" t="s">
        <v>1542</v>
      </c>
    </row>
    <row r="953" spans="1:11" hidden="1" x14ac:dyDescent="0.3">
      <c r="A953" s="100" t="s">
        <v>390</v>
      </c>
      <c r="B953" s="101" t="s">
        <v>2895</v>
      </c>
      <c r="C953" s="101" t="s">
        <v>2738</v>
      </c>
      <c r="D953" s="101" t="s">
        <v>2739</v>
      </c>
      <c r="E953" s="102">
        <v>45938</v>
      </c>
      <c r="F953" s="101" t="s">
        <v>372</v>
      </c>
      <c r="G953" s="101" t="s">
        <v>10</v>
      </c>
      <c r="H953" s="103">
        <v>12171.69</v>
      </c>
      <c r="I953" s="133">
        <v>0.29199999999999998</v>
      </c>
      <c r="J953" s="104" t="s">
        <v>831</v>
      </c>
      <c r="K953" s="104" t="s">
        <v>2893</v>
      </c>
    </row>
    <row r="954" spans="1:11" hidden="1" x14ac:dyDescent="0.3">
      <c r="A954" s="100" t="s">
        <v>390</v>
      </c>
      <c r="B954" s="101" t="s">
        <v>2895</v>
      </c>
      <c r="C954" s="101" t="s">
        <v>2740</v>
      </c>
      <c r="D954" s="101" t="s">
        <v>2741</v>
      </c>
      <c r="E954" s="102">
        <v>45938</v>
      </c>
      <c r="F954" s="101" t="s">
        <v>371</v>
      </c>
      <c r="G954" s="101" t="s">
        <v>864</v>
      </c>
      <c r="H954" s="103">
        <v>15090.1</v>
      </c>
      <c r="I954" s="133">
        <v>0.47099999999999997</v>
      </c>
      <c r="J954" s="104" t="s">
        <v>832</v>
      </c>
      <c r="K954" s="104" t="s">
        <v>2893</v>
      </c>
    </row>
    <row r="955" spans="1:11" hidden="1" x14ac:dyDescent="0.3">
      <c r="A955" s="100" t="s">
        <v>392</v>
      </c>
      <c r="B955" s="101" t="s">
        <v>2895</v>
      </c>
      <c r="C955" s="101" t="s">
        <v>2742</v>
      </c>
      <c r="D955" s="101" t="s">
        <v>2743</v>
      </c>
      <c r="E955" s="102">
        <v>45938</v>
      </c>
      <c r="F955" s="101" t="s">
        <v>844</v>
      </c>
      <c r="G955" s="101" t="s">
        <v>863</v>
      </c>
      <c r="H955" s="103">
        <v>21000</v>
      </c>
      <c r="I955" s="133">
        <v>0.3</v>
      </c>
      <c r="J955" s="104" t="s">
        <v>1977</v>
      </c>
      <c r="K955" s="104" t="s">
        <v>1540</v>
      </c>
    </row>
    <row r="956" spans="1:11" hidden="1" x14ac:dyDescent="0.3">
      <c r="A956" s="100" t="s">
        <v>392</v>
      </c>
      <c r="B956" s="101" t="s">
        <v>2895</v>
      </c>
      <c r="C956" s="101" t="s">
        <v>2744</v>
      </c>
      <c r="D956" s="101" t="s">
        <v>2745</v>
      </c>
      <c r="E956" s="102">
        <v>45938</v>
      </c>
      <c r="F956" s="101" t="s">
        <v>844</v>
      </c>
      <c r="G956" s="101" t="s">
        <v>863</v>
      </c>
      <c r="H956" s="103">
        <v>4950</v>
      </c>
      <c r="I956" s="133">
        <v>0.23200000000000001</v>
      </c>
      <c r="J956" s="104" t="s">
        <v>1977</v>
      </c>
      <c r="K956" s="104" t="s">
        <v>1540</v>
      </c>
    </row>
    <row r="957" spans="1:11" hidden="1" x14ac:dyDescent="0.3">
      <c r="A957" s="100" t="s">
        <v>392</v>
      </c>
      <c r="B957" s="101" t="s">
        <v>2895</v>
      </c>
      <c r="C957" s="101" t="s">
        <v>2746</v>
      </c>
      <c r="D957" s="101" t="s">
        <v>2747</v>
      </c>
      <c r="E957" s="102">
        <v>45938</v>
      </c>
      <c r="F957" s="101" t="s">
        <v>2889</v>
      </c>
      <c r="G957" s="101" t="s">
        <v>13</v>
      </c>
      <c r="H957" s="103">
        <v>4500</v>
      </c>
      <c r="I957" s="133">
        <v>0.6</v>
      </c>
      <c r="J957" s="104" t="s">
        <v>2894</v>
      </c>
      <c r="K957" s="104" t="s">
        <v>1540</v>
      </c>
    </row>
    <row r="958" spans="1:11" hidden="1" x14ac:dyDescent="0.3">
      <c r="A958" s="100" t="s">
        <v>390</v>
      </c>
      <c r="B958" s="101" t="s">
        <v>2895</v>
      </c>
      <c r="C958" s="101" t="s">
        <v>2748</v>
      </c>
      <c r="D958" s="101" t="s">
        <v>2749</v>
      </c>
      <c r="E958" s="102">
        <v>45940</v>
      </c>
      <c r="F958" s="101" t="s">
        <v>375</v>
      </c>
      <c r="G958" s="101" t="s">
        <v>2303</v>
      </c>
      <c r="H958" s="103">
        <v>11103.59</v>
      </c>
      <c r="I958" s="133">
        <v>0.33300000000000002</v>
      </c>
      <c r="J958" s="104" t="s">
        <v>831</v>
      </c>
      <c r="K958" s="104" t="s">
        <v>2893</v>
      </c>
    </row>
    <row r="959" spans="1:11" hidden="1" x14ac:dyDescent="0.3">
      <c r="A959" s="100" t="s">
        <v>390</v>
      </c>
      <c r="B959" s="101" t="s">
        <v>2895</v>
      </c>
      <c r="C959" s="101" t="s">
        <v>2750</v>
      </c>
      <c r="D959" s="101" t="s">
        <v>2751</v>
      </c>
      <c r="E959" s="102">
        <v>45940</v>
      </c>
      <c r="F959" s="101" t="s">
        <v>371</v>
      </c>
      <c r="G959" s="101" t="s">
        <v>864</v>
      </c>
      <c r="H959" s="103">
        <v>34238.26</v>
      </c>
      <c r="I959" s="133">
        <v>0.17199999999999999</v>
      </c>
      <c r="J959" s="104" t="s">
        <v>832</v>
      </c>
      <c r="K959" s="104" t="s">
        <v>2893</v>
      </c>
    </row>
    <row r="960" spans="1:11" hidden="1" x14ac:dyDescent="0.3">
      <c r="A960" s="100" t="s">
        <v>390</v>
      </c>
      <c r="B960" s="101" t="s">
        <v>2895</v>
      </c>
      <c r="C960" s="101" t="s">
        <v>2752</v>
      </c>
      <c r="D960" s="101" t="s">
        <v>2753</v>
      </c>
      <c r="E960" s="102">
        <v>45940</v>
      </c>
      <c r="F960" s="101" t="s">
        <v>371</v>
      </c>
      <c r="G960" s="101" t="s">
        <v>864</v>
      </c>
      <c r="H960" s="103">
        <v>27773.34</v>
      </c>
      <c r="I960" s="133">
        <v>0.182</v>
      </c>
      <c r="J960" s="104" t="s">
        <v>832</v>
      </c>
      <c r="K960" s="104" t="s">
        <v>2893</v>
      </c>
    </row>
    <row r="961" spans="1:11" hidden="1" x14ac:dyDescent="0.3">
      <c r="A961" s="100" t="s">
        <v>390</v>
      </c>
      <c r="B961" s="101" t="s">
        <v>2895</v>
      </c>
      <c r="C961" s="101" t="s">
        <v>2754</v>
      </c>
      <c r="D961" s="101" t="s">
        <v>2755</v>
      </c>
      <c r="E961" s="102">
        <v>45940</v>
      </c>
      <c r="F961" s="101" t="s">
        <v>372</v>
      </c>
      <c r="G961" s="101" t="s">
        <v>10</v>
      </c>
      <c r="H961" s="103">
        <v>21442.76</v>
      </c>
      <c r="I961" s="133">
        <v>0.184</v>
      </c>
      <c r="J961" s="104" t="s">
        <v>831</v>
      </c>
      <c r="K961" s="104" t="s">
        <v>2893</v>
      </c>
    </row>
    <row r="962" spans="1:11" hidden="1" x14ac:dyDescent="0.3">
      <c r="A962" s="100" t="s">
        <v>390</v>
      </c>
      <c r="B962" s="101" t="s">
        <v>2895</v>
      </c>
      <c r="C962" s="101" t="s">
        <v>2756</v>
      </c>
      <c r="D962" s="101" t="s">
        <v>2757</v>
      </c>
      <c r="E962" s="102">
        <v>45940</v>
      </c>
      <c r="F962" s="101" t="s">
        <v>372</v>
      </c>
      <c r="G962" s="101" t="s">
        <v>10</v>
      </c>
      <c r="H962" s="103">
        <v>80058.61</v>
      </c>
      <c r="I962" s="133">
        <v>0.20799999999999999</v>
      </c>
      <c r="J962" s="104" t="s">
        <v>831</v>
      </c>
      <c r="K962" s="104" t="s">
        <v>1542</v>
      </c>
    </row>
    <row r="963" spans="1:11" hidden="1" x14ac:dyDescent="0.3">
      <c r="A963" s="100" t="s">
        <v>390</v>
      </c>
      <c r="B963" s="101" t="s">
        <v>2895</v>
      </c>
      <c r="C963" s="101" t="s">
        <v>2758</v>
      </c>
      <c r="D963" s="101" t="s">
        <v>2759</v>
      </c>
      <c r="E963" s="102">
        <v>45943</v>
      </c>
      <c r="F963" s="101" t="s">
        <v>371</v>
      </c>
      <c r="G963" s="101" t="s">
        <v>864</v>
      </c>
      <c r="H963" s="103">
        <v>30370.73</v>
      </c>
      <c r="I963" s="133">
        <v>0.17699999999999999</v>
      </c>
      <c r="J963" s="104" t="s">
        <v>832</v>
      </c>
      <c r="K963" s="104" t="s">
        <v>2893</v>
      </c>
    </row>
    <row r="964" spans="1:11" hidden="1" x14ac:dyDescent="0.3">
      <c r="A964" s="100" t="s">
        <v>390</v>
      </c>
      <c r="B964" s="101" t="s">
        <v>2895</v>
      </c>
      <c r="C964" s="101" t="s">
        <v>2760</v>
      </c>
      <c r="D964" s="101" t="s">
        <v>2484</v>
      </c>
      <c r="E964" s="102">
        <v>45944</v>
      </c>
      <c r="F964" s="101" t="s">
        <v>2485</v>
      </c>
      <c r="G964" s="101" t="s">
        <v>2890</v>
      </c>
      <c r="H964" s="103">
        <v>20470</v>
      </c>
      <c r="I964" s="133">
        <v>0.27</v>
      </c>
      <c r="J964" s="104" t="s">
        <v>1977</v>
      </c>
      <c r="K964" s="104" t="s">
        <v>1542</v>
      </c>
    </row>
    <row r="965" spans="1:11" hidden="1" x14ac:dyDescent="0.3">
      <c r="A965" s="100" t="s">
        <v>390</v>
      </c>
      <c r="B965" s="101" t="s">
        <v>2895</v>
      </c>
      <c r="C965" s="101" t="s">
        <v>2761</v>
      </c>
      <c r="D965" s="101" t="s">
        <v>2762</v>
      </c>
      <c r="E965" s="102">
        <v>45944</v>
      </c>
      <c r="F965" s="101" t="s">
        <v>371</v>
      </c>
      <c r="G965" s="101" t="s">
        <v>864</v>
      </c>
      <c r="H965" s="103">
        <v>29234.27</v>
      </c>
      <c r="I965" s="133">
        <v>0.19600000000000001</v>
      </c>
      <c r="J965" s="104" t="s">
        <v>832</v>
      </c>
      <c r="K965" s="104" t="s">
        <v>1541</v>
      </c>
    </row>
    <row r="966" spans="1:11" hidden="1" x14ac:dyDescent="0.3">
      <c r="A966" s="100" t="s">
        <v>390</v>
      </c>
      <c r="B966" s="101" t="s">
        <v>2895</v>
      </c>
      <c r="C966" s="101" t="s">
        <v>2763</v>
      </c>
      <c r="D966" s="101" t="s">
        <v>2764</v>
      </c>
      <c r="E966" s="102">
        <v>45944</v>
      </c>
      <c r="F966" s="101" t="s">
        <v>371</v>
      </c>
      <c r="G966" s="101" t="s">
        <v>864</v>
      </c>
      <c r="H966" s="103">
        <v>46346.69</v>
      </c>
      <c r="I966" s="133">
        <v>0.19</v>
      </c>
      <c r="J966" s="104" t="s">
        <v>833</v>
      </c>
      <c r="K966" s="104" t="s">
        <v>1542</v>
      </c>
    </row>
    <row r="967" spans="1:11" hidden="1" x14ac:dyDescent="0.3">
      <c r="A967" s="100" t="s">
        <v>390</v>
      </c>
      <c r="B967" s="101" t="s">
        <v>2895</v>
      </c>
      <c r="C967" s="101" t="s">
        <v>2765</v>
      </c>
      <c r="D967" s="101" t="s">
        <v>2764</v>
      </c>
      <c r="E967" s="102">
        <v>45944</v>
      </c>
      <c r="F967" s="101" t="s">
        <v>371</v>
      </c>
      <c r="G967" s="101" t="s">
        <v>864</v>
      </c>
      <c r="H967" s="103">
        <v>2100</v>
      </c>
      <c r="I967" s="133">
        <v>0.19</v>
      </c>
      <c r="J967" s="104" t="s">
        <v>833</v>
      </c>
      <c r="K967" s="104" t="s">
        <v>1542</v>
      </c>
    </row>
    <row r="968" spans="1:11" hidden="1" x14ac:dyDescent="0.3">
      <c r="A968" s="100" t="s">
        <v>390</v>
      </c>
      <c r="B968" s="101" t="s">
        <v>2895</v>
      </c>
      <c r="C968" s="101" t="s">
        <v>2766</v>
      </c>
      <c r="D968" s="101" t="s">
        <v>1804</v>
      </c>
      <c r="E968" s="102">
        <v>45945</v>
      </c>
      <c r="F968" s="101" t="s">
        <v>371</v>
      </c>
      <c r="G968" s="101" t="s">
        <v>864</v>
      </c>
      <c r="H968" s="103">
        <v>3500</v>
      </c>
      <c r="I968" s="133">
        <v>0.16500000000000001</v>
      </c>
      <c r="J968" s="104" t="s">
        <v>832</v>
      </c>
      <c r="K968" s="104" t="s">
        <v>1541</v>
      </c>
    </row>
    <row r="969" spans="1:11" hidden="1" x14ac:dyDescent="0.3">
      <c r="A969" s="100" t="s">
        <v>392</v>
      </c>
      <c r="B969" s="101" t="s">
        <v>2895</v>
      </c>
      <c r="C969" s="101" t="s">
        <v>2767</v>
      </c>
      <c r="D969" s="101" t="s">
        <v>2768</v>
      </c>
      <c r="E969" s="102">
        <v>45945</v>
      </c>
      <c r="F969" s="101" t="s">
        <v>374</v>
      </c>
      <c r="G969" s="101" t="s">
        <v>17</v>
      </c>
      <c r="H969" s="103">
        <v>9445</v>
      </c>
      <c r="I969" s="133">
        <v>0.629</v>
      </c>
      <c r="J969" s="104" t="s">
        <v>848</v>
      </c>
      <c r="K969" s="104" t="s">
        <v>1540</v>
      </c>
    </row>
    <row r="970" spans="1:11" hidden="1" x14ac:dyDescent="0.3">
      <c r="A970" s="100" t="s">
        <v>390</v>
      </c>
      <c r="B970" s="101" t="s">
        <v>2895</v>
      </c>
      <c r="C970" s="101" t="s">
        <v>2769</v>
      </c>
      <c r="D970" s="101" t="s">
        <v>2770</v>
      </c>
      <c r="E970" s="102">
        <v>45946</v>
      </c>
      <c r="F970" s="101" t="s">
        <v>371</v>
      </c>
      <c r="G970" s="101" t="s">
        <v>864</v>
      </c>
      <c r="H970" s="103">
        <v>58624.83</v>
      </c>
      <c r="I970" s="133">
        <v>0.152</v>
      </c>
      <c r="J970" s="104" t="s">
        <v>832</v>
      </c>
      <c r="K970" s="104" t="s">
        <v>1541</v>
      </c>
    </row>
    <row r="971" spans="1:11" hidden="1" x14ac:dyDescent="0.3">
      <c r="A971" s="100" t="s">
        <v>390</v>
      </c>
      <c r="B971" s="101" t="s">
        <v>2895</v>
      </c>
      <c r="C971" s="101" t="s">
        <v>2771</v>
      </c>
      <c r="D971" s="101" t="s">
        <v>2772</v>
      </c>
      <c r="E971" s="102">
        <v>45946</v>
      </c>
      <c r="F971" s="101" t="s">
        <v>371</v>
      </c>
      <c r="G971" s="101" t="s">
        <v>864</v>
      </c>
      <c r="H971" s="103">
        <v>23449.279999999999</v>
      </c>
      <c r="I971" s="133">
        <v>0.188</v>
      </c>
      <c r="J971" s="104" t="s">
        <v>832</v>
      </c>
      <c r="K971" s="104" t="s">
        <v>1541</v>
      </c>
    </row>
    <row r="972" spans="1:11" hidden="1" x14ac:dyDescent="0.3">
      <c r="A972" s="100" t="s">
        <v>390</v>
      </c>
      <c r="B972" s="101" t="s">
        <v>2895</v>
      </c>
      <c r="C972" s="101" t="s">
        <v>2773</v>
      </c>
      <c r="D972" s="101" t="s">
        <v>2774</v>
      </c>
      <c r="E972" s="102">
        <v>45946</v>
      </c>
      <c r="F972" s="101" t="s">
        <v>371</v>
      </c>
      <c r="G972" s="101" t="s">
        <v>864</v>
      </c>
      <c r="H972" s="103">
        <v>17287.900000000001</v>
      </c>
      <c r="I972" s="133">
        <v>0.20899999999999999</v>
      </c>
      <c r="J972" s="104" t="s">
        <v>832</v>
      </c>
      <c r="K972" s="104" t="s">
        <v>1541</v>
      </c>
    </row>
    <row r="973" spans="1:11" hidden="1" x14ac:dyDescent="0.3">
      <c r="A973" s="100" t="s">
        <v>390</v>
      </c>
      <c r="B973" s="101" t="s">
        <v>2895</v>
      </c>
      <c r="C973" s="101" t="s">
        <v>2775</v>
      </c>
      <c r="D973" s="101" t="s">
        <v>2776</v>
      </c>
      <c r="E973" s="102">
        <v>45946</v>
      </c>
      <c r="F973" s="101" t="s">
        <v>371</v>
      </c>
      <c r="G973" s="101" t="s">
        <v>864</v>
      </c>
      <c r="H973" s="103">
        <v>36032.68</v>
      </c>
      <c r="I973" s="133">
        <v>0.184</v>
      </c>
      <c r="J973" s="104" t="s">
        <v>832</v>
      </c>
      <c r="K973" s="104" t="s">
        <v>1541</v>
      </c>
    </row>
    <row r="974" spans="1:11" hidden="1" x14ac:dyDescent="0.3">
      <c r="A974" s="100" t="s">
        <v>390</v>
      </c>
      <c r="B974" s="101" t="s">
        <v>2895</v>
      </c>
      <c r="C974" s="101" t="s">
        <v>2777</v>
      </c>
      <c r="D974" s="101" t="s">
        <v>2778</v>
      </c>
      <c r="E974" s="102">
        <v>45946</v>
      </c>
      <c r="F974" s="101" t="s">
        <v>372</v>
      </c>
      <c r="G974" s="101" t="s">
        <v>10</v>
      </c>
      <c r="H974" s="103">
        <v>80232.52</v>
      </c>
      <c r="I974" s="133">
        <v>0.217</v>
      </c>
      <c r="J974" s="104" t="s">
        <v>831</v>
      </c>
      <c r="K974" s="104" t="s">
        <v>1542</v>
      </c>
    </row>
    <row r="975" spans="1:11" hidden="1" x14ac:dyDescent="0.3">
      <c r="A975" s="100" t="s">
        <v>390</v>
      </c>
      <c r="B975" s="101" t="s">
        <v>2895</v>
      </c>
      <c r="C975" s="101" t="s">
        <v>2779</v>
      </c>
      <c r="D975" s="101" t="s">
        <v>2780</v>
      </c>
      <c r="E975" s="102">
        <v>45946</v>
      </c>
      <c r="F975" s="101" t="s">
        <v>371</v>
      </c>
      <c r="G975" s="101" t="s">
        <v>864</v>
      </c>
      <c r="H975" s="103">
        <v>37331.51</v>
      </c>
      <c r="I975" s="133">
        <v>0.156</v>
      </c>
      <c r="J975" s="104" t="s">
        <v>832</v>
      </c>
      <c r="K975" s="104" t="s">
        <v>1541</v>
      </c>
    </row>
    <row r="976" spans="1:11" hidden="1" x14ac:dyDescent="0.3">
      <c r="A976" s="100" t="s">
        <v>392</v>
      </c>
      <c r="B976" s="101" t="s">
        <v>2895</v>
      </c>
      <c r="C976" s="101" t="s">
        <v>2781</v>
      </c>
      <c r="D976" s="101" t="s">
        <v>2782</v>
      </c>
      <c r="E976" s="102">
        <v>45946</v>
      </c>
      <c r="F976" s="101" t="s">
        <v>370</v>
      </c>
      <c r="G976" s="101" t="s">
        <v>63</v>
      </c>
      <c r="H976" s="103">
        <v>4500</v>
      </c>
      <c r="I976" s="133">
        <v>0.6</v>
      </c>
      <c r="J976" s="104" t="s">
        <v>2892</v>
      </c>
      <c r="K976" s="104" t="s">
        <v>1540</v>
      </c>
    </row>
    <row r="977" spans="1:11" hidden="1" x14ac:dyDescent="0.3">
      <c r="A977" s="100" t="s">
        <v>392</v>
      </c>
      <c r="B977" s="101" t="s">
        <v>2895</v>
      </c>
      <c r="C977" s="101" t="s">
        <v>2783</v>
      </c>
      <c r="D977" s="101" t="s">
        <v>2784</v>
      </c>
      <c r="E977" s="102">
        <v>45946</v>
      </c>
      <c r="F977" s="101" t="s">
        <v>370</v>
      </c>
      <c r="G977" s="101" t="s">
        <v>63</v>
      </c>
      <c r="H977" s="103">
        <v>4500</v>
      </c>
      <c r="I977" s="133">
        <v>0.6</v>
      </c>
      <c r="J977" s="104" t="s">
        <v>2892</v>
      </c>
      <c r="K977" s="104" t="s">
        <v>1540</v>
      </c>
    </row>
    <row r="978" spans="1:11" hidden="1" x14ac:dyDescent="0.3">
      <c r="A978" s="100" t="s">
        <v>392</v>
      </c>
      <c r="B978" s="101" t="s">
        <v>2895</v>
      </c>
      <c r="C978" s="101" t="s">
        <v>2785</v>
      </c>
      <c r="D978" s="101" t="s">
        <v>2786</v>
      </c>
      <c r="E978" s="102">
        <v>45946</v>
      </c>
      <c r="F978" s="101" t="s">
        <v>842</v>
      </c>
      <c r="G978" s="101" t="s">
        <v>843</v>
      </c>
      <c r="H978" s="103">
        <v>22000</v>
      </c>
      <c r="I978" s="133">
        <v>0.45200000000000001</v>
      </c>
      <c r="J978" s="104" t="s">
        <v>1977</v>
      </c>
      <c r="K978" s="104" t="s">
        <v>1540</v>
      </c>
    </row>
    <row r="979" spans="1:11" hidden="1" x14ac:dyDescent="0.3">
      <c r="A979" s="100" t="s">
        <v>390</v>
      </c>
      <c r="B979" s="101" t="s">
        <v>2895</v>
      </c>
      <c r="C979" s="101" t="s">
        <v>2787</v>
      </c>
      <c r="D979" s="101" t="s">
        <v>2707</v>
      </c>
      <c r="E979" s="102">
        <v>45947</v>
      </c>
      <c r="F979" s="101" t="s">
        <v>1007</v>
      </c>
      <c r="G979" s="101" t="s">
        <v>2250</v>
      </c>
      <c r="H979" s="103">
        <v>25995.649999999994</v>
      </c>
      <c r="I979" s="133">
        <v>0.27700000000000002</v>
      </c>
      <c r="J979" s="104" t="s">
        <v>831</v>
      </c>
      <c r="K979" s="104" t="s">
        <v>1541</v>
      </c>
    </row>
    <row r="980" spans="1:11" hidden="1" x14ac:dyDescent="0.3">
      <c r="A980" s="100" t="s">
        <v>392</v>
      </c>
      <c r="B980" s="101" t="s">
        <v>2895</v>
      </c>
      <c r="C980" s="101" t="s">
        <v>2788</v>
      </c>
      <c r="D980" s="101" t="s">
        <v>2789</v>
      </c>
      <c r="E980" s="102">
        <v>45947</v>
      </c>
      <c r="F980" s="101" t="s">
        <v>370</v>
      </c>
      <c r="G980" s="101" t="s">
        <v>63</v>
      </c>
      <c r="H980" s="103">
        <v>4200</v>
      </c>
      <c r="I980" s="133">
        <v>0.61899999999999999</v>
      </c>
      <c r="J980" s="104" t="s">
        <v>2892</v>
      </c>
      <c r="K980" s="104" t="s">
        <v>1540</v>
      </c>
    </row>
    <row r="981" spans="1:11" hidden="1" x14ac:dyDescent="0.3">
      <c r="A981" s="100" t="s">
        <v>392</v>
      </c>
      <c r="B981" s="101" t="s">
        <v>2895</v>
      </c>
      <c r="C981" s="101" t="s">
        <v>2790</v>
      </c>
      <c r="D981" s="101" t="s">
        <v>2791</v>
      </c>
      <c r="E981" s="102">
        <v>45947</v>
      </c>
      <c r="F981" s="101" t="s">
        <v>370</v>
      </c>
      <c r="G981" s="101" t="s">
        <v>63</v>
      </c>
      <c r="H981" s="103">
        <v>4200</v>
      </c>
      <c r="I981" s="133">
        <v>0.61899999999999999</v>
      </c>
      <c r="J981" s="104" t="s">
        <v>2892</v>
      </c>
      <c r="K981" s="104" t="s">
        <v>1540</v>
      </c>
    </row>
    <row r="982" spans="1:11" hidden="1" x14ac:dyDescent="0.3">
      <c r="A982" s="100" t="s">
        <v>390</v>
      </c>
      <c r="B982" s="101" t="s">
        <v>2895</v>
      </c>
      <c r="C982" s="101" t="s">
        <v>2792</v>
      </c>
      <c r="D982" s="101" t="s">
        <v>2793</v>
      </c>
      <c r="E982" s="102">
        <v>45947</v>
      </c>
      <c r="F982" s="101" t="s">
        <v>371</v>
      </c>
      <c r="G982" s="101" t="s">
        <v>864</v>
      </c>
      <c r="H982" s="103">
        <v>55432.71</v>
      </c>
      <c r="I982" s="133">
        <v>0.16500000000000001</v>
      </c>
      <c r="J982" s="104" t="s">
        <v>832</v>
      </c>
      <c r="K982" s="104" t="s">
        <v>1541</v>
      </c>
    </row>
    <row r="983" spans="1:11" hidden="1" x14ac:dyDescent="0.3">
      <c r="A983" s="100" t="s">
        <v>390</v>
      </c>
      <c r="B983" s="101" t="s">
        <v>2895</v>
      </c>
      <c r="C983" s="101" t="s">
        <v>2794</v>
      </c>
      <c r="D983" s="101" t="s">
        <v>2795</v>
      </c>
      <c r="E983" s="102">
        <v>45950</v>
      </c>
      <c r="F983" s="101" t="s">
        <v>370</v>
      </c>
      <c r="G983" s="101" t="s">
        <v>63</v>
      </c>
      <c r="H983" s="103">
        <v>8518</v>
      </c>
      <c r="I983" s="133">
        <v>0.52600000000000002</v>
      </c>
      <c r="J983" s="104" t="s">
        <v>2892</v>
      </c>
      <c r="K983" s="104" t="s">
        <v>1541</v>
      </c>
    </row>
    <row r="984" spans="1:11" hidden="1" x14ac:dyDescent="0.3">
      <c r="A984" s="100" t="s">
        <v>392</v>
      </c>
      <c r="B984" s="101" t="s">
        <v>2895</v>
      </c>
      <c r="C984" s="101" t="s">
        <v>2796</v>
      </c>
      <c r="D984" s="101" t="s">
        <v>2797</v>
      </c>
      <c r="E984" s="102">
        <v>45950</v>
      </c>
      <c r="F984" s="101" t="s">
        <v>844</v>
      </c>
      <c r="G984" s="101" t="s">
        <v>863</v>
      </c>
      <c r="H984" s="103">
        <v>21000</v>
      </c>
      <c r="I984" s="133">
        <v>0.33</v>
      </c>
      <c r="J984" s="104" t="s">
        <v>1977</v>
      </c>
      <c r="K984" s="104" t="s">
        <v>1540</v>
      </c>
    </row>
    <row r="985" spans="1:11" hidden="1" x14ac:dyDescent="0.3">
      <c r="A985" s="100" t="s">
        <v>390</v>
      </c>
      <c r="B985" s="101" t="s">
        <v>2895</v>
      </c>
      <c r="C985" s="101" t="s">
        <v>2798</v>
      </c>
      <c r="D985" s="101" t="s">
        <v>2799</v>
      </c>
      <c r="E985" s="102">
        <v>45951</v>
      </c>
      <c r="F985" s="101" t="s">
        <v>371</v>
      </c>
      <c r="G985" s="101" t="s">
        <v>864</v>
      </c>
      <c r="H985" s="103">
        <v>58914.05</v>
      </c>
      <c r="I985" s="133">
        <v>0.2</v>
      </c>
      <c r="J985" s="104" t="s">
        <v>832</v>
      </c>
      <c r="K985" s="104" t="s">
        <v>1541</v>
      </c>
    </row>
    <row r="986" spans="1:11" hidden="1" x14ac:dyDescent="0.3">
      <c r="A986" s="100" t="s">
        <v>390</v>
      </c>
      <c r="B986" s="101" t="s">
        <v>2895</v>
      </c>
      <c r="C986" s="101" t="s">
        <v>2800</v>
      </c>
      <c r="D986" s="101" t="s">
        <v>2801</v>
      </c>
      <c r="E986" s="102">
        <v>45951</v>
      </c>
      <c r="F986" s="101" t="s">
        <v>1325</v>
      </c>
      <c r="G986" s="101" t="s">
        <v>1326</v>
      </c>
      <c r="H986" s="103">
        <v>15536.189999999999</v>
      </c>
      <c r="I986" s="133">
        <v>0.41499999999999998</v>
      </c>
      <c r="J986" s="104" t="s">
        <v>832</v>
      </c>
      <c r="K986" s="104" t="s">
        <v>1541</v>
      </c>
    </row>
    <row r="987" spans="1:11" hidden="1" x14ac:dyDescent="0.3">
      <c r="A987" s="100" t="s">
        <v>390</v>
      </c>
      <c r="B987" s="101" t="s">
        <v>2895</v>
      </c>
      <c r="C987" s="101" t="s">
        <v>2802</v>
      </c>
      <c r="D987" s="101" t="s">
        <v>2803</v>
      </c>
      <c r="E987" s="102">
        <v>45951</v>
      </c>
      <c r="F987" s="101" t="s">
        <v>372</v>
      </c>
      <c r="G987" s="101" t="s">
        <v>10</v>
      </c>
      <c r="H987" s="103">
        <v>10541.98</v>
      </c>
      <c r="I987" s="133">
        <v>0.30199999999999999</v>
      </c>
      <c r="J987" s="104" t="s">
        <v>831</v>
      </c>
      <c r="K987" s="104" t="s">
        <v>1541</v>
      </c>
    </row>
    <row r="988" spans="1:11" hidden="1" x14ac:dyDescent="0.3">
      <c r="A988" s="100" t="s">
        <v>390</v>
      </c>
      <c r="B988" s="101" t="s">
        <v>2895</v>
      </c>
      <c r="C988" s="101" t="s">
        <v>2804</v>
      </c>
      <c r="D988" s="101" t="s">
        <v>2805</v>
      </c>
      <c r="E988" s="102">
        <v>45952</v>
      </c>
      <c r="F988" s="101" t="s">
        <v>854</v>
      </c>
      <c r="G988" s="101" t="s">
        <v>855</v>
      </c>
      <c r="H988" s="103">
        <v>16057.96</v>
      </c>
      <c r="I988" s="133"/>
      <c r="J988" s="104"/>
      <c r="K988" s="104"/>
    </row>
    <row r="989" spans="1:11" hidden="1" x14ac:dyDescent="0.3">
      <c r="A989" s="100" t="s">
        <v>392</v>
      </c>
      <c r="B989" s="101" t="s">
        <v>2895</v>
      </c>
      <c r="C989" s="101" t="s">
        <v>2806</v>
      </c>
      <c r="D989" s="101" t="s">
        <v>2807</v>
      </c>
      <c r="E989" s="102">
        <v>45953</v>
      </c>
      <c r="F989" s="101" t="s">
        <v>370</v>
      </c>
      <c r="G989" s="101" t="s">
        <v>63</v>
      </c>
      <c r="H989" s="103">
        <v>4500</v>
      </c>
      <c r="I989" s="133">
        <v>0.6</v>
      </c>
      <c r="J989" s="104" t="s">
        <v>2892</v>
      </c>
      <c r="K989" s="104" t="s">
        <v>1540</v>
      </c>
    </row>
    <row r="990" spans="1:11" hidden="1" x14ac:dyDescent="0.3">
      <c r="A990" s="100" t="s">
        <v>392</v>
      </c>
      <c r="B990" s="101" t="s">
        <v>2895</v>
      </c>
      <c r="C990" s="101" t="s">
        <v>2808</v>
      </c>
      <c r="D990" s="101" t="s">
        <v>2809</v>
      </c>
      <c r="E990" s="102">
        <v>45953</v>
      </c>
      <c r="F990" s="101" t="s">
        <v>370</v>
      </c>
      <c r="G990" s="101" t="s">
        <v>63</v>
      </c>
      <c r="H990" s="103">
        <v>11500</v>
      </c>
      <c r="I990" s="133">
        <v>0.53900000000000003</v>
      </c>
      <c r="J990" s="104" t="s">
        <v>2892</v>
      </c>
      <c r="K990" s="104" t="s">
        <v>1540</v>
      </c>
    </row>
    <row r="991" spans="1:11" hidden="1" x14ac:dyDescent="0.3">
      <c r="A991" s="100" t="s">
        <v>390</v>
      </c>
      <c r="B991" s="101" t="s">
        <v>2895</v>
      </c>
      <c r="C991" s="101" t="s">
        <v>2810</v>
      </c>
      <c r="D991" s="101" t="s">
        <v>2811</v>
      </c>
      <c r="E991" s="102">
        <v>45953</v>
      </c>
      <c r="F991" s="101" t="s">
        <v>372</v>
      </c>
      <c r="G991" s="101" t="s">
        <v>10</v>
      </c>
      <c r="H991" s="103">
        <v>3540</v>
      </c>
      <c r="I991" s="133">
        <v>0.25900000000000001</v>
      </c>
      <c r="J991" s="104" t="s">
        <v>833</v>
      </c>
      <c r="K991" s="104" t="s">
        <v>1542</v>
      </c>
    </row>
    <row r="992" spans="1:11" hidden="1" x14ac:dyDescent="0.3">
      <c r="A992" s="100" t="s">
        <v>390</v>
      </c>
      <c r="B992" s="101" t="s">
        <v>2895</v>
      </c>
      <c r="C992" s="101" t="s">
        <v>2812</v>
      </c>
      <c r="D992" s="101" t="s">
        <v>2813</v>
      </c>
      <c r="E992" s="102">
        <v>45953</v>
      </c>
      <c r="F992" s="101" t="s">
        <v>372</v>
      </c>
      <c r="G992" s="101" t="s">
        <v>10</v>
      </c>
      <c r="H992" s="103">
        <v>14363.73</v>
      </c>
      <c r="I992" s="133">
        <v>0.30099999999999999</v>
      </c>
      <c r="J992" s="104" t="s">
        <v>831</v>
      </c>
      <c r="K992" s="104" t="s">
        <v>1541</v>
      </c>
    </row>
    <row r="993" spans="1:11" hidden="1" x14ac:dyDescent="0.3">
      <c r="A993" s="100" t="s">
        <v>390</v>
      </c>
      <c r="B993" s="101" t="s">
        <v>2895</v>
      </c>
      <c r="C993" s="101" t="s">
        <v>2814</v>
      </c>
      <c r="D993" s="101" t="s">
        <v>2815</v>
      </c>
      <c r="E993" s="102">
        <v>45953</v>
      </c>
      <c r="F993" s="101" t="s">
        <v>372</v>
      </c>
      <c r="G993" s="101" t="s">
        <v>10</v>
      </c>
      <c r="H993" s="103">
        <v>13415.85</v>
      </c>
      <c r="I993" s="133">
        <v>0.251</v>
      </c>
      <c r="J993" s="104" t="s">
        <v>831</v>
      </c>
      <c r="K993" s="104" t="s">
        <v>1541</v>
      </c>
    </row>
    <row r="994" spans="1:11" hidden="1" x14ac:dyDescent="0.3">
      <c r="A994" s="100" t="s">
        <v>390</v>
      </c>
      <c r="B994" s="101" t="s">
        <v>2895</v>
      </c>
      <c r="C994" s="101" t="s">
        <v>2816</v>
      </c>
      <c r="D994" s="101" t="s">
        <v>2817</v>
      </c>
      <c r="E994" s="102">
        <v>45953</v>
      </c>
      <c r="F994" s="101" t="s">
        <v>372</v>
      </c>
      <c r="G994" s="101" t="s">
        <v>10</v>
      </c>
      <c r="H994" s="103">
        <v>13415.85</v>
      </c>
      <c r="I994" s="133">
        <v>0.251</v>
      </c>
      <c r="J994" s="104" t="s">
        <v>831</v>
      </c>
      <c r="K994" s="104" t="s">
        <v>1541</v>
      </c>
    </row>
    <row r="995" spans="1:11" hidden="1" x14ac:dyDescent="0.3">
      <c r="A995" s="100" t="s">
        <v>390</v>
      </c>
      <c r="B995" s="101" t="s">
        <v>2895</v>
      </c>
      <c r="C995" s="101" t="s">
        <v>2818</v>
      </c>
      <c r="D995" s="101" t="s">
        <v>2819</v>
      </c>
      <c r="E995" s="102">
        <v>45953</v>
      </c>
      <c r="F995" s="101" t="s">
        <v>372</v>
      </c>
      <c r="G995" s="101" t="s">
        <v>10</v>
      </c>
      <c r="H995" s="103">
        <v>3540</v>
      </c>
      <c r="I995" s="133">
        <v>0.25900000000000001</v>
      </c>
      <c r="J995" s="104" t="s">
        <v>833</v>
      </c>
      <c r="K995" s="104" t="s">
        <v>1542</v>
      </c>
    </row>
    <row r="996" spans="1:11" hidden="1" x14ac:dyDescent="0.3">
      <c r="A996" s="100" t="s">
        <v>390</v>
      </c>
      <c r="B996" s="101" t="s">
        <v>2895</v>
      </c>
      <c r="C996" s="101" t="s">
        <v>2820</v>
      </c>
      <c r="D996" s="101" t="s">
        <v>2821</v>
      </c>
      <c r="E996" s="102">
        <v>45953</v>
      </c>
      <c r="F996" s="101" t="s">
        <v>371</v>
      </c>
      <c r="G996" s="101" t="s">
        <v>864</v>
      </c>
      <c r="H996" s="103">
        <v>158541.99</v>
      </c>
      <c r="I996" s="133">
        <v>0.14000000000000001</v>
      </c>
      <c r="J996" s="104" t="s">
        <v>833</v>
      </c>
      <c r="K996" s="104" t="s">
        <v>1542</v>
      </c>
    </row>
    <row r="997" spans="1:11" hidden="1" x14ac:dyDescent="0.3">
      <c r="A997" s="100" t="s">
        <v>390</v>
      </c>
      <c r="B997" s="101" t="s">
        <v>2895</v>
      </c>
      <c r="C997" s="101" t="s">
        <v>2822</v>
      </c>
      <c r="D997" s="101" t="s">
        <v>2823</v>
      </c>
      <c r="E997" s="102">
        <v>45953</v>
      </c>
      <c r="F997" s="101" t="s">
        <v>371</v>
      </c>
      <c r="G997" s="101" t="s">
        <v>864</v>
      </c>
      <c r="H997" s="103">
        <v>21250.26999999999</v>
      </c>
      <c r="I997" s="133">
        <v>0.28000000000000003</v>
      </c>
      <c r="J997" s="104" t="s">
        <v>832</v>
      </c>
      <c r="K997" s="104" t="s">
        <v>1541</v>
      </c>
    </row>
    <row r="998" spans="1:11" hidden="1" x14ac:dyDescent="0.3">
      <c r="A998" s="100" t="s">
        <v>390</v>
      </c>
      <c r="B998" s="101" t="s">
        <v>2895</v>
      </c>
      <c r="C998" s="101" t="s">
        <v>2824</v>
      </c>
      <c r="D998" s="101" t="s">
        <v>2825</v>
      </c>
      <c r="E998" s="102">
        <v>45954</v>
      </c>
      <c r="F998" s="101" t="s">
        <v>371</v>
      </c>
      <c r="G998" s="101" t="s">
        <v>864</v>
      </c>
      <c r="H998" s="103">
        <v>146526.57999999999</v>
      </c>
      <c r="I998" s="133">
        <v>0.161</v>
      </c>
      <c r="J998" s="104" t="s">
        <v>833</v>
      </c>
      <c r="K998" s="104" t="s">
        <v>1542</v>
      </c>
    </row>
    <row r="999" spans="1:11" hidden="1" x14ac:dyDescent="0.3">
      <c r="A999" s="100" t="s">
        <v>390</v>
      </c>
      <c r="B999" s="101" t="s">
        <v>2895</v>
      </c>
      <c r="C999" s="101" t="s">
        <v>2826</v>
      </c>
      <c r="D999" s="101" t="s">
        <v>2827</v>
      </c>
      <c r="E999" s="102">
        <v>45954</v>
      </c>
      <c r="F999" s="101" t="s">
        <v>370</v>
      </c>
      <c r="G999" s="101" t="s">
        <v>63</v>
      </c>
      <c r="H999" s="103">
        <v>8443</v>
      </c>
      <c r="I999" s="133">
        <v>0.50800000000000001</v>
      </c>
      <c r="J999" s="104" t="s">
        <v>2894</v>
      </c>
      <c r="K999" s="104" t="s">
        <v>1541</v>
      </c>
    </row>
    <row r="1000" spans="1:11" hidden="1" x14ac:dyDescent="0.3">
      <c r="A1000" s="100" t="s">
        <v>390</v>
      </c>
      <c r="B1000" s="101" t="s">
        <v>2895</v>
      </c>
      <c r="C1000" s="101" t="s">
        <v>2828</v>
      </c>
      <c r="D1000" s="101" t="s">
        <v>2829</v>
      </c>
      <c r="E1000" s="102">
        <v>45957</v>
      </c>
      <c r="F1000" s="101" t="s">
        <v>372</v>
      </c>
      <c r="G1000" s="101" t="s">
        <v>10</v>
      </c>
      <c r="H1000" s="103">
        <v>157906.32</v>
      </c>
      <c r="I1000" s="133">
        <v>0.189</v>
      </c>
      <c r="J1000" s="104" t="s">
        <v>831</v>
      </c>
      <c r="K1000" s="104" t="s">
        <v>1542</v>
      </c>
    </row>
    <row r="1001" spans="1:11" hidden="1" x14ac:dyDescent="0.3">
      <c r="A1001" s="100" t="s">
        <v>392</v>
      </c>
      <c r="B1001" s="101" t="s">
        <v>2895</v>
      </c>
      <c r="C1001" s="101" t="s">
        <v>2830</v>
      </c>
      <c r="D1001" s="101" t="s">
        <v>2831</v>
      </c>
      <c r="E1001" s="102">
        <v>45957</v>
      </c>
      <c r="F1001" s="101" t="s">
        <v>372</v>
      </c>
      <c r="G1001" s="101" t="s">
        <v>10</v>
      </c>
      <c r="H1001" s="103">
        <v>7154.42</v>
      </c>
      <c r="I1001" s="133">
        <v>0.45900000000000002</v>
      </c>
      <c r="J1001" s="104" t="s">
        <v>848</v>
      </c>
      <c r="K1001" s="104" t="s">
        <v>1540</v>
      </c>
    </row>
    <row r="1002" spans="1:11" hidden="1" x14ac:dyDescent="0.3">
      <c r="A1002" s="100" t="s">
        <v>392</v>
      </c>
      <c r="B1002" s="101" t="s">
        <v>2895</v>
      </c>
      <c r="C1002" s="101" t="s">
        <v>2832</v>
      </c>
      <c r="D1002" s="101" t="s">
        <v>2833</v>
      </c>
      <c r="E1002" s="102">
        <v>45957</v>
      </c>
      <c r="F1002" s="101" t="s">
        <v>372</v>
      </c>
      <c r="G1002" s="101" t="s">
        <v>10</v>
      </c>
      <c r="H1002" s="103">
        <v>41500</v>
      </c>
      <c r="I1002" s="133">
        <v>0.39</v>
      </c>
      <c r="J1002" s="104" t="s">
        <v>2894</v>
      </c>
      <c r="K1002" s="104" t="s">
        <v>1540</v>
      </c>
    </row>
    <row r="1003" spans="1:11" hidden="1" x14ac:dyDescent="0.3">
      <c r="A1003" s="100" t="s">
        <v>390</v>
      </c>
      <c r="B1003" s="101" t="s">
        <v>2895</v>
      </c>
      <c r="C1003" s="101" t="s">
        <v>2834</v>
      </c>
      <c r="D1003" s="101" t="s">
        <v>2711</v>
      </c>
      <c r="E1003" s="102">
        <v>45957</v>
      </c>
      <c r="F1003" s="101" t="s">
        <v>370</v>
      </c>
      <c r="G1003" s="101" t="s">
        <v>63</v>
      </c>
      <c r="H1003" s="103">
        <v>3000</v>
      </c>
      <c r="I1003" s="133">
        <v>0.60299999999999998</v>
      </c>
      <c r="J1003" s="104" t="s">
        <v>2892</v>
      </c>
      <c r="K1003" s="104" t="s">
        <v>1541</v>
      </c>
    </row>
    <row r="1004" spans="1:11" hidden="1" x14ac:dyDescent="0.3">
      <c r="A1004" s="100" t="s">
        <v>392</v>
      </c>
      <c r="B1004" s="101" t="s">
        <v>2895</v>
      </c>
      <c r="C1004" s="101" t="s">
        <v>2835</v>
      </c>
      <c r="D1004" s="101" t="s">
        <v>2836</v>
      </c>
      <c r="E1004" s="102">
        <v>45957</v>
      </c>
      <c r="F1004" s="101" t="s">
        <v>842</v>
      </c>
      <c r="G1004" s="101" t="s">
        <v>843</v>
      </c>
      <c r="H1004" s="103">
        <v>22000</v>
      </c>
      <c r="I1004" s="133">
        <v>0.45500000000000002</v>
      </c>
      <c r="J1004" s="104" t="s">
        <v>1977</v>
      </c>
      <c r="K1004" s="104" t="s">
        <v>1540</v>
      </c>
    </row>
    <row r="1005" spans="1:11" hidden="1" x14ac:dyDescent="0.3">
      <c r="A1005" s="100" t="s">
        <v>390</v>
      </c>
      <c r="B1005" s="101" t="s">
        <v>2895</v>
      </c>
      <c r="C1005" s="101" t="s">
        <v>2837</v>
      </c>
      <c r="D1005" s="101" t="s">
        <v>2838</v>
      </c>
      <c r="E1005" s="102">
        <v>45958</v>
      </c>
      <c r="F1005" s="101" t="s">
        <v>372</v>
      </c>
      <c r="G1005" s="101" t="s">
        <v>10</v>
      </c>
      <c r="H1005" s="103">
        <v>31416.76</v>
      </c>
      <c r="I1005" s="133">
        <v>0.20300000000000001</v>
      </c>
      <c r="J1005" s="104" t="s">
        <v>831</v>
      </c>
      <c r="K1005" s="104" t="s">
        <v>1541</v>
      </c>
    </row>
    <row r="1006" spans="1:11" hidden="1" x14ac:dyDescent="0.3">
      <c r="A1006" s="100" t="s">
        <v>390</v>
      </c>
      <c r="B1006" s="101" t="s">
        <v>2895</v>
      </c>
      <c r="C1006" s="101" t="s">
        <v>2839</v>
      </c>
      <c r="D1006" s="101" t="s">
        <v>2840</v>
      </c>
      <c r="E1006" s="102">
        <v>45958</v>
      </c>
      <c r="F1006" s="101" t="s">
        <v>372</v>
      </c>
      <c r="G1006" s="101" t="s">
        <v>10</v>
      </c>
      <c r="H1006" s="103">
        <v>75072.009999999995</v>
      </c>
      <c r="I1006" s="133">
        <v>0.191</v>
      </c>
      <c r="J1006" s="104" t="s">
        <v>831</v>
      </c>
      <c r="K1006" s="104" t="s">
        <v>1542</v>
      </c>
    </row>
    <row r="1007" spans="1:11" hidden="1" x14ac:dyDescent="0.3">
      <c r="A1007" s="100" t="s">
        <v>390</v>
      </c>
      <c r="B1007" s="101" t="s">
        <v>2895</v>
      </c>
      <c r="C1007" s="101" t="s">
        <v>2841</v>
      </c>
      <c r="D1007" s="101" t="s">
        <v>2842</v>
      </c>
      <c r="E1007" s="102">
        <v>45958</v>
      </c>
      <c r="F1007" s="101" t="s">
        <v>371</v>
      </c>
      <c r="G1007" s="101" t="s">
        <v>864</v>
      </c>
      <c r="H1007" s="103">
        <v>38320.65</v>
      </c>
      <c r="I1007" s="133">
        <v>0.20599999999999999</v>
      </c>
      <c r="J1007" s="104" t="s">
        <v>832</v>
      </c>
      <c r="K1007" s="104" t="s">
        <v>1541</v>
      </c>
    </row>
    <row r="1008" spans="1:11" hidden="1" x14ac:dyDescent="0.3">
      <c r="A1008" s="100" t="s">
        <v>390</v>
      </c>
      <c r="B1008" s="101" t="s">
        <v>2895</v>
      </c>
      <c r="C1008" s="101" t="s">
        <v>2843</v>
      </c>
      <c r="D1008" s="101" t="s">
        <v>2844</v>
      </c>
      <c r="E1008" s="102">
        <v>45958</v>
      </c>
      <c r="F1008" s="101" t="s">
        <v>371</v>
      </c>
      <c r="G1008" s="101" t="s">
        <v>864</v>
      </c>
      <c r="H1008" s="103">
        <v>17490.11</v>
      </c>
      <c r="I1008" s="133">
        <v>0.185</v>
      </c>
      <c r="J1008" s="104" t="s">
        <v>832</v>
      </c>
      <c r="K1008" s="104" t="s">
        <v>1541</v>
      </c>
    </row>
    <row r="1009" spans="1:11" hidden="1" x14ac:dyDescent="0.3">
      <c r="A1009" s="100" t="s">
        <v>390</v>
      </c>
      <c r="B1009" s="101" t="s">
        <v>2895</v>
      </c>
      <c r="C1009" s="101" t="s">
        <v>2845</v>
      </c>
      <c r="D1009" s="101" t="s">
        <v>2846</v>
      </c>
      <c r="E1009" s="102">
        <v>45958</v>
      </c>
      <c r="F1009" s="101" t="s">
        <v>371</v>
      </c>
      <c r="G1009" s="101" t="s">
        <v>864</v>
      </c>
      <c r="H1009" s="103">
        <v>27809.16</v>
      </c>
      <c r="I1009" s="133">
        <v>0.17899999999999999</v>
      </c>
      <c r="J1009" s="104" t="s">
        <v>832</v>
      </c>
      <c r="K1009" s="104" t="s">
        <v>1541</v>
      </c>
    </row>
    <row r="1010" spans="1:11" hidden="1" x14ac:dyDescent="0.3">
      <c r="A1010" s="100" t="s">
        <v>390</v>
      </c>
      <c r="B1010" s="101" t="s">
        <v>2895</v>
      </c>
      <c r="C1010" s="101" t="s">
        <v>2847</v>
      </c>
      <c r="D1010" s="101" t="s">
        <v>2848</v>
      </c>
      <c r="E1010" s="102">
        <v>45958</v>
      </c>
      <c r="F1010" s="101" t="s">
        <v>371</v>
      </c>
      <c r="G1010" s="101" t="s">
        <v>864</v>
      </c>
      <c r="H1010" s="103">
        <v>17490.129999999997</v>
      </c>
      <c r="I1010" s="133">
        <v>0.20399999999999999</v>
      </c>
      <c r="J1010" s="104" t="s">
        <v>832</v>
      </c>
      <c r="K1010" s="104" t="s">
        <v>1541</v>
      </c>
    </row>
    <row r="1011" spans="1:11" hidden="1" x14ac:dyDescent="0.3">
      <c r="A1011" s="100" t="s">
        <v>392</v>
      </c>
      <c r="B1011" s="101" t="s">
        <v>2895</v>
      </c>
      <c r="C1011" s="101" t="s">
        <v>2849</v>
      </c>
      <c r="D1011" s="101" t="s">
        <v>2850</v>
      </c>
      <c r="E1011" s="102">
        <v>45958</v>
      </c>
      <c r="F1011" s="101" t="s">
        <v>370</v>
      </c>
      <c r="G1011" s="101" t="s">
        <v>63</v>
      </c>
      <c r="H1011" s="103">
        <v>4200</v>
      </c>
      <c r="I1011" s="133">
        <v>0.61899999999999999</v>
      </c>
      <c r="J1011" s="104" t="s">
        <v>1977</v>
      </c>
      <c r="K1011" s="104" t="s">
        <v>1540</v>
      </c>
    </row>
    <row r="1012" spans="1:11" hidden="1" x14ac:dyDescent="0.3">
      <c r="A1012" s="100" t="s">
        <v>392</v>
      </c>
      <c r="B1012" s="101" t="s">
        <v>2895</v>
      </c>
      <c r="C1012" s="101" t="s">
        <v>2851</v>
      </c>
      <c r="D1012" s="101" t="s">
        <v>2852</v>
      </c>
      <c r="E1012" s="102">
        <v>45958</v>
      </c>
      <c r="F1012" s="101" t="s">
        <v>370</v>
      </c>
      <c r="G1012" s="101" t="s">
        <v>63</v>
      </c>
      <c r="H1012" s="103">
        <v>4200</v>
      </c>
      <c r="I1012" s="133">
        <v>0.61899999999999999</v>
      </c>
      <c r="J1012" s="104" t="s">
        <v>2892</v>
      </c>
      <c r="K1012" s="104" t="s">
        <v>1540</v>
      </c>
    </row>
    <row r="1013" spans="1:11" hidden="1" x14ac:dyDescent="0.3">
      <c r="A1013" s="100" t="s">
        <v>392</v>
      </c>
      <c r="B1013" s="101" t="s">
        <v>2895</v>
      </c>
      <c r="C1013" s="101" t="s">
        <v>2853</v>
      </c>
      <c r="D1013" s="101" t="s">
        <v>2854</v>
      </c>
      <c r="E1013" s="102">
        <v>45958</v>
      </c>
      <c r="F1013" s="101" t="s">
        <v>370</v>
      </c>
      <c r="G1013" s="101" t="s">
        <v>63</v>
      </c>
      <c r="H1013" s="103">
        <v>4200</v>
      </c>
      <c r="I1013" s="133">
        <v>0.61899999999999999</v>
      </c>
      <c r="J1013" s="104" t="s">
        <v>2892</v>
      </c>
      <c r="K1013" s="104" t="s">
        <v>1540</v>
      </c>
    </row>
    <row r="1014" spans="1:11" hidden="1" x14ac:dyDescent="0.3">
      <c r="A1014" s="100" t="s">
        <v>390</v>
      </c>
      <c r="B1014" s="101" t="s">
        <v>2895</v>
      </c>
      <c r="C1014" s="101" t="s">
        <v>2855</v>
      </c>
      <c r="D1014" s="101" t="s">
        <v>2823</v>
      </c>
      <c r="E1014" s="102">
        <v>45959</v>
      </c>
      <c r="F1014" s="101" t="s">
        <v>371</v>
      </c>
      <c r="G1014" s="101" t="s">
        <v>864</v>
      </c>
      <c r="H1014" s="103">
        <v>3500</v>
      </c>
      <c r="I1014" s="133">
        <v>0.28000000000000003</v>
      </c>
      <c r="J1014" s="104" t="s">
        <v>832</v>
      </c>
      <c r="K1014" s="104" t="s">
        <v>1541</v>
      </c>
    </row>
    <row r="1015" spans="1:11" hidden="1" x14ac:dyDescent="0.3">
      <c r="A1015" s="100" t="s">
        <v>390</v>
      </c>
      <c r="B1015" s="101" t="s">
        <v>2895</v>
      </c>
      <c r="C1015" s="101" t="s">
        <v>2856</v>
      </c>
      <c r="D1015" s="101" t="s">
        <v>2857</v>
      </c>
      <c r="E1015" s="102">
        <v>45959</v>
      </c>
      <c r="F1015" s="101" t="s">
        <v>370</v>
      </c>
      <c r="G1015" s="101" t="s">
        <v>63</v>
      </c>
      <c r="H1015" s="103">
        <v>10000</v>
      </c>
      <c r="I1015" s="133">
        <v>0.45700000000000002</v>
      </c>
      <c r="J1015" s="104" t="s">
        <v>2892</v>
      </c>
      <c r="K1015" s="104" t="s">
        <v>1541</v>
      </c>
    </row>
    <row r="1016" spans="1:11" hidden="1" x14ac:dyDescent="0.3">
      <c r="A1016" s="100" t="s">
        <v>390</v>
      </c>
      <c r="B1016" s="101" t="s">
        <v>2895</v>
      </c>
      <c r="C1016" s="101" t="s">
        <v>2858</v>
      </c>
      <c r="D1016" s="101" t="s">
        <v>2859</v>
      </c>
      <c r="E1016" s="102">
        <v>45960</v>
      </c>
      <c r="F1016" s="101" t="s">
        <v>370</v>
      </c>
      <c r="G1016" s="101" t="s">
        <v>63</v>
      </c>
      <c r="H1016" s="103">
        <v>8290</v>
      </c>
      <c r="I1016" s="133">
        <v>0.51300000000000001</v>
      </c>
      <c r="J1016" s="104" t="s">
        <v>2892</v>
      </c>
      <c r="K1016" s="104" t="s">
        <v>1541</v>
      </c>
    </row>
    <row r="1017" spans="1:11" hidden="1" x14ac:dyDescent="0.3">
      <c r="A1017" s="100" t="s">
        <v>390</v>
      </c>
      <c r="B1017" s="101" t="s">
        <v>2895</v>
      </c>
      <c r="C1017" s="101" t="s">
        <v>2860</v>
      </c>
      <c r="D1017" s="101" t="s">
        <v>2861</v>
      </c>
      <c r="E1017" s="102">
        <v>45960</v>
      </c>
      <c r="F1017" s="101" t="s">
        <v>371</v>
      </c>
      <c r="G1017" s="101" t="s">
        <v>864</v>
      </c>
      <c r="H1017" s="103">
        <v>139110.76999999999</v>
      </c>
      <c r="I1017" s="133">
        <v>0.14399999999999999</v>
      </c>
      <c r="J1017" s="104" t="s">
        <v>832</v>
      </c>
      <c r="K1017" s="104" t="s">
        <v>1541</v>
      </c>
    </row>
    <row r="1018" spans="1:11" hidden="1" x14ac:dyDescent="0.3">
      <c r="A1018" s="100" t="s">
        <v>392</v>
      </c>
      <c r="B1018" s="101" t="s">
        <v>2895</v>
      </c>
      <c r="C1018" s="101" t="s">
        <v>2862</v>
      </c>
      <c r="D1018" s="101" t="s">
        <v>2863</v>
      </c>
      <c r="E1018" s="102">
        <v>45960</v>
      </c>
      <c r="F1018" s="101" t="s">
        <v>370</v>
      </c>
      <c r="G1018" s="101" t="s">
        <v>63</v>
      </c>
      <c r="H1018" s="103">
        <v>4200</v>
      </c>
      <c r="I1018" s="133">
        <v>0.61899999999999999</v>
      </c>
      <c r="J1018" s="104" t="s">
        <v>1977</v>
      </c>
      <c r="K1018" s="104" t="s">
        <v>1540</v>
      </c>
    </row>
    <row r="1019" spans="1:11" hidden="1" x14ac:dyDescent="0.3">
      <c r="A1019" s="100" t="s">
        <v>390</v>
      </c>
      <c r="B1019" s="101" t="s">
        <v>2895</v>
      </c>
      <c r="C1019" s="101" t="s">
        <v>2864</v>
      </c>
      <c r="D1019" s="101" t="s">
        <v>2865</v>
      </c>
      <c r="E1019" s="102">
        <v>45960</v>
      </c>
      <c r="F1019" s="101" t="s">
        <v>370</v>
      </c>
      <c r="G1019" s="101" t="s">
        <v>63</v>
      </c>
      <c r="H1019" s="103">
        <v>7057</v>
      </c>
      <c r="I1019" s="133">
        <v>0.56200000000000006</v>
      </c>
      <c r="J1019" s="104" t="s">
        <v>1977</v>
      </c>
      <c r="K1019" s="104" t="s">
        <v>1541</v>
      </c>
    </row>
    <row r="1020" spans="1:11" hidden="1" x14ac:dyDescent="0.3">
      <c r="A1020" s="100" t="s">
        <v>392</v>
      </c>
      <c r="B1020" s="101" t="s">
        <v>2895</v>
      </c>
      <c r="C1020" s="101" t="s">
        <v>2866</v>
      </c>
      <c r="D1020" s="101" t="s">
        <v>2867</v>
      </c>
      <c r="E1020" s="102">
        <v>45960</v>
      </c>
      <c r="F1020" s="101" t="s">
        <v>370</v>
      </c>
      <c r="G1020" s="101" t="s">
        <v>63</v>
      </c>
      <c r="H1020" s="103">
        <v>4200</v>
      </c>
      <c r="I1020" s="133">
        <v>0.61899999999999999</v>
      </c>
      <c r="J1020" s="104" t="s">
        <v>1977</v>
      </c>
      <c r="K1020" s="104" t="s">
        <v>1540</v>
      </c>
    </row>
    <row r="1021" spans="1:11" hidden="1" x14ac:dyDescent="0.3">
      <c r="A1021" s="100" t="s">
        <v>390</v>
      </c>
      <c r="B1021" s="101" t="s">
        <v>2895</v>
      </c>
      <c r="C1021" s="101" t="s">
        <v>2868</v>
      </c>
      <c r="D1021" s="101" t="s">
        <v>2869</v>
      </c>
      <c r="E1021" s="102">
        <v>45960</v>
      </c>
      <c r="F1021" s="101" t="s">
        <v>2891</v>
      </c>
      <c r="G1021" s="101" t="s">
        <v>2717</v>
      </c>
      <c r="H1021" s="103">
        <v>60956.42</v>
      </c>
      <c r="I1021" s="133">
        <v>0.22900000000000001</v>
      </c>
      <c r="J1021" s="104" t="s">
        <v>832</v>
      </c>
      <c r="K1021" s="104" t="s">
        <v>1541</v>
      </c>
    </row>
    <row r="1022" spans="1:11" hidden="1" x14ac:dyDescent="0.3">
      <c r="A1022" s="100" t="s">
        <v>390</v>
      </c>
      <c r="B1022" s="101" t="s">
        <v>2895</v>
      </c>
      <c r="C1022" s="101" t="s">
        <v>2870</v>
      </c>
      <c r="D1022" s="101" t="s">
        <v>2871</v>
      </c>
      <c r="E1022" s="102">
        <v>45960</v>
      </c>
      <c r="F1022" s="101" t="s">
        <v>371</v>
      </c>
      <c r="G1022" s="101" t="s">
        <v>864</v>
      </c>
      <c r="H1022" s="103">
        <v>101346.36</v>
      </c>
      <c r="I1022" s="133">
        <v>0.151</v>
      </c>
      <c r="J1022" s="104" t="s">
        <v>833</v>
      </c>
      <c r="K1022" s="104" t="s">
        <v>1542</v>
      </c>
    </row>
    <row r="1023" spans="1:11" hidden="1" x14ac:dyDescent="0.3">
      <c r="A1023" s="100" t="s">
        <v>390</v>
      </c>
      <c r="B1023" s="101" t="s">
        <v>2895</v>
      </c>
      <c r="C1023" s="101" t="s">
        <v>2872</v>
      </c>
      <c r="D1023" s="101" t="s">
        <v>2549</v>
      </c>
      <c r="E1023" s="102">
        <v>45961</v>
      </c>
      <c r="F1023" s="101" t="s">
        <v>1007</v>
      </c>
      <c r="G1023" s="101" t="s">
        <v>2250</v>
      </c>
      <c r="H1023" s="103">
        <v>15795.550000000003</v>
      </c>
      <c r="I1023" s="133">
        <v>0.16200000000000001</v>
      </c>
      <c r="J1023" s="104" t="s">
        <v>831</v>
      </c>
      <c r="K1023" s="104" t="s">
        <v>1542</v>
      </c>
    </row>
    <row r="1024" spans="1:11" hidden="1" x14ac:dyDescent="0.3">
      <c r="A1024" s="100" t="s">
        <v>390</v>
      </c>
      <c r="B1024" s="101" t="s">
        <v>2895</v>
      </c>
      <c r="C1024" s="101" t="s">
        <v>2873</v>
      </c>
      <c r="D1024" s="101" t="s">
        <v>2874</v>
      </c>
      <c r="E1024" s="102">
        <v>45961</v>
      </c>
      <c r="F1024" s="101" t="s">
        <v>371</v>
      </c>
      <c r="G1024" s="101" t="s">
        <v>864</v>
      </c>
      <c r="H1024" s="103">
        <v>106244.28999999998</v>
      </c>
      <c r="I1024" s="133">
        <v>0.14399999999999999</v>
      </c>
      <c r="J1024" s="104" t="s">
        <v>833</v>
      </c>
      <c r="K1024" s="104" t="s">
        <v>1542</v>
      </c>
    </row>
    <row r="1025" spans="1:11" hidden="1" x14ac:dyDescent="0.3">
      <c r="A1025" s="100" t="s">
        <v>390</v>
      </c>
      <c r="B1025" s="101" t="s">
        <v>2895</v>
      </c>
      <c r="C1025" s="101" t="s">
        <v>2875</v>
      </c>
      <c r="D1025" s="101" t="s">
        <v>2876</v>
      </c>
      <c r="E1025" s="102">
        <v>45961</v>
      </c>
      <c r="F1025" s="101" t="s">
        <v>371</v>
      </c>
      <c r="G1025" s="101" t="s">
        <v>864</v>
      </c>
      <c r="H1025" s="103">
        <v>113906.38</v>
      </c>
      <c r="I1025" s="133">
        <v>0.24299999999999999</v>
      </c>
      <c r="J1025" s="104" t="s">
        <v>833</v>
      </c>
      <c r="K1025" s="104" t="s">
        <v>1542</v>
      </c>
    </row>
    <row r="1026" spans="1:11" hidden="1" x14ac:dyDescent="0.3">
      <c r="A1026" s="100" t="s">
        <v>392</v>
      </c>
      <c r="B1026" s="101" t="s">
        <v>2895</v>
      </c>
      <c r="C1026" s="101" t="s">
        <v>2877</v>
      </c>
      <c r="D1026" s="101" t="s">
        <v>2878</v>
      </c>
      <c r="E1026" s="102">
        <v>45961</v>
      </c>
      <c r="F1026" s="101" t="s">
        <v>371</v>
      </c>
      <c r="G1026" s="101" t="s">
        <v>864</v>
      </c>
      <c r="H1026" s="103">
        <v>7400</v>
      </c>
      <c r="I1026" s="133">
        <v>0.28199999999999997</v>
      </c>
      <c r="J1026" s="104" t="s">
        <v>832</v>
      </c>
      <c r="K1026" s="104" t="s">
        <v>1540</v>
      </c>
    </row>
    <row r="1027" spans="1:11" hidden="1" x14ac:dyDescent="0.3">
      <c r="A1027" s="100" t="s">
        <v>392</v>
      </c>
      <c r="B1027" s="101" t="s">
        <v>2895</v>
      </c>
      <c r="C1027" s="101" t="s">
        <v>2879</v>
      </c>
      <c r="D1027" s="101" t="s">
        <v>2880</v>
      </c>
      <c r="E1027" s="102">
        <v>45961</v>
      </c>
      <c r="F1027" s="101" t="s">
        <v>371</v>
      </c>
      <c r="G1027" s="101" t="s">
        <v>864</v>
      </c>
      <c r="H1027" s="103">
        <v>7400</v>
      </c>
      <c r="I1027" s="133">
        <v>0.41699999999999998</v>
      </c>
      <c r="J1027" s="104" t="s">
        <v>832</v>
      </c>
      <c r="K1027" s="104" t="s">
        <v>1540</v>
      </c>
    </row>
    <row r="1028" spans="1:11" hidden="1" x14ac:dyDescent="0.3">
      <c r="A1028" s="100" t="s">
        <v>390</v>
      </c>
      <c r="B1028" s="101" t="s">
        <v>2895</v>
      </c>
      <c r="C1028" s="101" t="s">
        <v>2881</v>
      </c>
      <c r="D1028" s="101" t="s">
        <v>2882</v>
      </c>
      <c r="E1028" s="102">
        <v>45961</v>
      </c>
      <c r="F1028" s="101" t="s">
        <v>371</v>
      </c>
      <c r="G1028" s="101" t="s">
        <v>864</v>
      </c>
      <c r="H1028" s="103">
        <v>19188.7</v>
      </c>
      <c r="I1028" s="133">
        <v>0.26200000000000001</v>
      </c>
      <c r="J1028" s="104" t="s">
        <v>832</v>
      </c>
      <c r="K1028" s="104" t="s">
        <v>1541</v>
      </c>
    </row>
    <row r="1029" spans="1:11" hidden="1" x14ac:dyDescent="0.3">
      <c r="A1029" s="100" t="s">
        <v>390</v>
      </c>
      <c r="B1029" s="101" t="s">
        <v>2895</v>
      </c>
      <c r="C1029" s="101" t="s">
        <v>2883</v>
      </c>
      <c r="D1029" s="101" t="s">
        <v>2884</v>
      </c>
      <c r="E1029" s="102">
        <v>45961</v>
      </c>
      <c r="F1029" s="101" t="s">
        <v>371</v>
      </c>
      <c r="G1029" s="101" t="s">
        <v>864</v>
      </c>
      <c r="H1029" s="103">
        <v>19087.900000000001</v>
      </c>
      <c r="I1029" s="133">
        <v>0.22800000000000001</v>
      </c>
      <c r="J1029" s="104" t="s">
        <v>832</v>
      </c>
      <c r="K1029" s="104" t="s">
        <v>1541</v>
      </c>
    </row>
    <row r="1030" spans="1:11" hidden="1" x14ac:dyDescent="0.3">
      <c r="A1030" s="100" t="s">
        <v>390</v>
      </c>
      <c r="B1030" s="101" t="s">
        <v>2895</v>
      </c>
      <c r="C1030" s="101" t="s">
        <v>2885</v>
      </c>
      <c r="D1030" s="101" t="s">
        <v>2886</v>
      </c>
      <c r="E1030" s="102">
        <v>45961</v>
      </c>
      <c r="F1030" s="101" t="s">
        <v>371</v>
      </c>
      <c r="G1030" s="101" t="s">
        <v>864</v>
      </c>
      <c r="H1030" s="103">
        <v>19290.11</v>
      </c>
      <c r="I1030" s="133">
        <v>0.23</v>
      </c>
      <c r="J1030" s="104" t="s">
        <v>832</v>
      </c>
      <c r="K1030" s="104" t="s">
        <v>1541</v>
      </c>
    </row>
    <row r="1031" spans="1:11" hidden="1" x14ac:dyDescent="0.3">
      <c r="A1031" s="100" t="s">
        <v>392</v>
      </c>
      <c r="B1031" s="101" t="s">
        <v>2895</v>
      </c>
      <c r="C1031" s="101" t="s">
        <v>2887</v>
      </c>
      <c r="D1031" s="101" t="s">
        <v>2888</v>
      </c>
      <c r="E1031" s="102">
        <v>45961</v>
      </c>
      <c r="F1031" s="101" t="s">
        <v>370</v>
      </c>
      <c r="G1031" s="101" t="s">
        <v>63</v>
      </c>
      <c r="H1031" s="103">
        <v>4500</v>
      </c>
      <c r="I1031" s="133">
        <v>0.33800000000000002</v>
      </c>
      <c r="J1031" s="104" t="s">
        <v>2892</v>
      </c>
      <c r="K1031" s="104" t="s">
        <v>1540</v>
      </c>
    </row>
    <row r="1032" spans="1:11" hidden="1" x14ac:dyDescent="0.3">
      <c r="A1032" s="100" t="s">
        <v>392</v>
      </c>
      <c r="B1032" s="101" t="s">
        <v>2895</v>
      </c>
      <c r="C1032" s="101" t="s">
        <v>2896</v>
      </c>
      <c r="D1032" s="101" t="s">
        <v>2897</v>
      </c>
      <c r="E1032" s="102">
        <v>45939</v>
      </c>
      <c r="F1032" s="101" t="s">
        <v>844</v>
      </c>
      <c r="G1032" s="101" t="s">
        <v>863</v>
      </c>
      <c r="H1032" s="103">
        <v>110086.2</v>
      </c>
      <c r="I1032" s="133">
        <v>0.182</v>
      </c>
      <c r="J1032" s="104" t="s">
        <v>2909</v>
      </c>
      <c r="K1032" s="104" t="s">
        <v>1540</v>
      </c>
    </row>
    <row r="1033" spans="1:11" hidden="1" x14ac:dyDescent="0.3">
      <c r="A1033" s="100" t="s">
        <v>390</v>
      </c>
      <c r="B1033" s="101" t="s">
        <v>2895</v>
      </c>
      <c r="C1033" s="101" t="s">
        <v>2898</v>
      </c>
      <c r="D1033" s="101" t="s">
        <v>2899</v>
      </c>
      <c r="E1033" s="102">
        <v>45944</v>
      </c>
      <c r="F1033" s="101" t="s">
        <v>372</v>
      </c>
      <c r="G1033" s="101" t="s">
        <v>10</v>
      </c>
      <c r="H1033" s="103">
        <v>64853.48</v>
      </c>
      <c r="I1033" s="133">
        <v>0.27300000000000002</v>
      </c>
      <c r="J1033" s="104" t="s">
        <v>831</v>
      </c>
      <c r="K1033" s="104" t="s">
        <v>1542</v>
      </c>
    </row>
    <row r="1034" spans="1:11" hidden="1" x14ac:dyDescent="0.3">
      <c r="A1034" s="100" t="s">
        <v>392</v>
      </c>
      <c r="B1034" s="101" t="s">
        <v>2895</v>
      </c>
      <c r="C1034" s="101" t="s">
        <v>2900</v>
      </c>
      <c r="D1034" s="101" t="s">
        <v>2901</v>
      </c>
      <c r="E1034" s="102">
        <v>45957</v>
      </c>
      <c r="F1034" s="101" t="s">
        <v>844</v>
      </c>
      <c r="G1034" s="101" t="s">
        <v>863</v>
      </c>
      <c r="H1034" s="103">
        <v>110368.8</v>
      </c>
      <c r="I1034" s="133">
        <v>0.182</v>
      </c>
      <c r="J1034" s="104" t="s">
        <v>2909</v>
      </c>
      <c r="K1034" s="104" t="s">
        <v>1540</v>
      </c>
    </row>
    <row r="1035" spans="1:11" hidden="1" x14ac:dyDescent="0.3">
      <c r="A1035" s="100" t="s">
        <v>390</v>
      </c>
      <c r="B1035" s="101" t="s">
        <v>2895</v>
      </c>
      <c r="C1035" s="101" t="s">
        <v>2902</v>
      </c>
      <c r="D1035" s="101" t="s">
        <v>2903</v>
      </c>
      <c r="E1035" s="102">
        <v>45958</v>
      </c>
      <c r="F1035" s="101" t="s">
        <v>2281</v>
      </c>
      <c r="G1035" s="101" t="s">
        <v>2305</v>
      </c>
      <c r="H1035" s="103">
        <v>5148.9759999999997</v>
      </c>
      <c r="I1035" s="133">
        <v>1</v>
      </c>
      <c r="J1035" s="104" t="s">
        <v>831</v>
      </c>
      <c r="K1035" s="104" t="s">
        <v>1542</v>
      </c>
    </row>
    <row r="1036" spans="1:11" hidden="1" x14ac:dyDescent="0.3">
      <c r="A1036" s="100" t="s">
        <v>392</v>
      </c>
      <c r="B1036" s="101" t="s">
        <v>2895</v>
      </c>
      <c r="C1036" s="101" t="s">
        <v>2904</v>
      </c>
      <c r="D1036" s="101" t="s">
        <v>2905</v>
      </c>
      <c r="E1036" s="102">
        <v>45958</v>
      </c>
      <c r="F1036" s="101" t="s">
        <v>844</v>
      </c>
      <c r="G1036" s="101" t="s">
        <v>863</v>
      </c>
      <c r="H1036" s="103">
        <v>34950.120000000003</v>
      </c>
      <c r="I1036" s="133">
        <v>0.183</v>
      </c>
      <c r="J1036" s="104" t="s">
        <v>2909</v>
      </c>
      <c r="K1036" s="104" t="s">
        <v>1540</v>
      </c>
    </row>
    <row r="1037" spans="1:11" hidden="1" x14ac:dyDescent="0.3">
      <c r="A1037" s="100" t="s">
        <v>390</v>
      </c>
      <c r="B1037" s="101" t="s">
        <v>2895</v>
      </c>
      <c r="C1037" s="101" t="s">
        <v>2906</v>
      </c>
      <c r="D1037" s="101" t="s">
        <v>2549</v>
      </c>
      <c r="E1037" s="102">
        <v>45961</v>
      </c>
      <c r="F1037" s="101" t="s">
        <v>1007</v>
      </c>
      <c r="G1037" s="101" t="s">
        <v>2250</v>
      </c>
      <c r="H1037" s="103">
        <v>84607.432000000001</v>
      </c>
      <c r="I1037" s="133">
        <v>0.16200000000000001</v>
      </c>
      <c r="J1037" s="104" t="s">
        <v>831</v>
      </c>
      <c r="K1037" s="104" t="s">
        <v>1542</v>
      </c>
    </row>
    <row r="1038" spans="1:11" hidden="1" x14ac:dyDescent="0.3">
      <c r="A1038" s="100" t="s">
        <v>392</v>
      </c>
      <c r="B1038" s="101" t="s">
        <v>2895</v>
      </c>
      <c r="C1038" s="101" t="s">
        <v>2907</v>
      </c>
      <c r="D1038" s="101" t="s">
        <v>2908</v>
      </c>
      <c r="E1038" s="102">
        <v>45961</v>
      </c>
      <c r="F1038" s="101" t="s">
        <v>844</v>
      </c>
      <c r="G1038" s="101" t="s">
        <v>863</v>
      </c>
      <c r="H1038" s="103">
        <v>14645.02</v>
      </c>
      <c r="I1038" s="133">
        <v>1.9</v>
      </c>
      <c r="J1038" s="104" t="s">
        <v>2909</v>
      </c>
      <c r="K1038" s="104" t="s">
        <v>1540</v>
      </c>
    </row>
    <row r="1039" spans="1:11" hidden="1" x14ac:dyDescent="0.3">
      <c r="A1039" s="100" t="s">
        <v>392</v>
      </c>
      <c r="B1039" s="101" t="s">
        <v>59</v>
      </c>
      <c r="C1039" s="101" t="s">
        <v>2912</v>
      </c>
      <c r="D1039" s="101" t="s">
        <v>3005</v>
      </c>
      <c r="E1039" s="102">
        <v>45971</v>
      </c>
      <c r="F1039" s="101" t="s">
        <v>370</v>
      </c>
      <c r="G1039" s="101" t="s">
        <v>63</v>
      </c>
      <c r="H1039" s="103">
        <v>800</v>
      </c>
      <c r="I1039" s="133">
        <v>0.193</v>
      </c>
      <c r="J1039" s="104" t="s">
        <v>1835</v>
      </c>
      <c r="K1039" s="104" t="s">
        <v>1540</v>
      </c>
    </row>
    <row r="1040" spans="1:11" hidden="1" x14ac:dyDescent="0.3">
      <c r="A1040" s="179" t="s">
        <v>392</v>
      </c>
      <c r="B1040" s="180" t="s">
        <v>59</v>
      </c>
      <c r="C1040" s="180" t="s">
        <v>2913</v>
      </c>
      <c r="D1040" s="180" t="s">
        <v>3006</v>
      </c>
      <c r="E1040" s="181">
        <v>45971</v>
      </c>
      <c r="F1040" s="180" t="s">
        <v>370</v>
      </c>
      <c r="G1040" s="180" t="s">
        <v>63</v>
      </c>
      <c r="H1040" s="182">
        <v>4200</v>
      </c>
      <c r="I1040" s="183">
        <v>0.61899999999999999</v>
      </c>
      <c r="J1040" s="184" t="s">
        <v>1977</v>
      </c>
      <c r="K1040" s="185" t="s">
        <v>1540</v>
      </c>
    </row>
    <row r="1041" spans="1:11" hidden="1" x14ac:dyDescent="0.3">
      <c r="A1041" s="179" t="s">
        <v>390</v>
      </c>
      <c r="B1041" s="180" t="s">
        <v>59</v>
      </c>
      <c r="C1041" s="180" t="s">
        <v>2914</v>
      </c>
      <c r="D1041" s="180" t="s">
        <v>3007</v>
      </c>
      <c r="E1041" s="181">
        <v>45971</v>
      </c>
      <c r="F1041" s="180" t="s">
        <v>372</v>
      </c>
      <c r="G1041" s="180" t="s">
        <v>10</v>
      </c>
      <c r="H1041" s="182">
        <v>11210.77</v>
      </c>
      <c r="I1041" s="183">
        <v>0.47299999999999998</v>
      </c>
      <c r="J1041" s="184" t="s">
        <v>831</v>
      </c>
      <c r="K1041" s="185" t="s">
        <v>1541</v>
      </c>
    </row>
    <row r="1042" spans="1:11" hidden="1" x14ac:dyDescent="0.3">
      <c r="A1042" s="179" t="s">
        <v>392</v>
      </c>
      <c r="B1042" s="180" t="s">
        <v>59</v>
      </c>
      <c r="C1042" s="180" t="s">
        <v>2915</v>
      </c>
      <c r="D1042" s="180" t="s">
        <v>3008</v>
      </c>
      <c r="E1042" s="181">
        <v>45971</v>
      </c>
      <c r="F1042" s="180" t="s">
        <v>372</v>
      </c>
      <c r="G1042" s="180" t="s">
        <v>10</v>
      </c>
      <c r="H1042" s="182">
        <v>12580.49</v>
      </c>
      <c r="I1042" s="183">
        <v>0.51100000000000001</v>
      </c>
      <c r="J1042" s="184" t="s">
        <v>3109</v>
      </c>
      <c r="K1042" s="185" t="s">
        <v>1540</v>
      </c>
    </row>
    <row r="1043" spans="1:11" hidden="1" x14ac:dyDescent="0.3">
      <c r="A1043" s="179" t="s">
        <v>392</v>
      </c>
      <c r="B1043" s="180" t="s">
        <v>59</v>
      </c>
      <c r="C1043" s="180" t="s">
        <v>2916</v>
      </c>
      <c r="D1043" s="180" t="s">
        <v>3009</v>
      </c>
      <c r="E1043" s="181">
        <v>45971</v>
      </c>
      <c r="F1043" s="180" t="s">
        <v>372</v>
      </c>
      <c r="G1043" s="180" t="s">
        <v>10</v>
      </c>
      <c r="H1043" s="182">
        <v>4200</v>
      </c>
      <c r="I1043" s="183">
        <v>0.47</v>
      </c>
      <c r="J1043" s="184" t="s">
        <v>3109</v>
      </c>
      <c r="K1043" s="185" t="s">
        <v>1540</v>
      </c>
    </row>
    <row r="1044" spans="1:11" hidden="1" x14ac:dyDescent="0.3">
      <c r="A1044" s="179" t="s">
        <v>390</v>
      </c>
      <c r="B1044" s="180" t="s">
        <v>59</v>
      </c>
      <c r="C1044" s="180" t="s">
        <v>2917</v>
      </c>
      <c r="D1044" s="180" t="s">
        <v>3010</v>
      </c>
      <c r="E1044" s="181">
        <v>45971</v>
      </c>
      <c r="F1044" s="180" t="s">
        <v>371</v>
      </c>
      <c r="G1044" s="180" t="s">
        <v>864</v>
      </c>
      <c r="H1044" s="182">
        <v>14183.29</v>
      </c>
      <c r="I1044" s="183">
        <v>0.498</v>
      </c>
      <c r="J1044" s="184" t="s">
        <v>3111</v>
      </c>
      <c r="K1044" s="185" t="s">
        <v>1541</v>
      </c>
    </row>
    <row r="1045" spans="1:11" hidden="1" x14ac:dyDescent="0.3">
      <c r="A1045" s="179" t="s">
        <v>390</v>
      </c>
      <c r="B1045" s="180" t="s">
        <v>59</v>
      </c>
      <c r="C1045" s="180" t="s">
        <v>2918</v>
      </c>
      <c r="D1045" s="180" t="s">
        <v>3011</v>
      </c>
      <c r="E1045" s="181">
        <v>45971</v>
      </c>
      <c r="F1045" s="180" t="s">
        <v>371</v>
      </c>
      <c r="G1045" s="180" t="s">
        <v>864</v>
      </c>
      <c r="H1045" s="182">
        <v>10888</v>
      </c>
      <c r="I1045" s="183">
        <v>0.55800000000000005</v>
      </c>
      <c r="J1045" s="184" t="s">
        <v>3111</v>
      </c>
      <c r="K1045" s="185" t="s">
        <v>1541</v>
      </c>
    </row>
    <row r="1046" spans="1:11" hidden="1" x14ac:dyDescent="0.3">
      <c r="A1046" s="179" t="s">
        <v>392</v>
      </c>
      <c r="B1046" s="180" t="s">
        <v>59</v>
      </c>
      <c r="C1046" s="180" t="s">
        <v>2919</v>
      </c>
      <c r="D1046" s="180" t="s">
        <v>3012</v>
      </c>
      <c r="E1046" s="181">
        <v>45971</v>
      </c>
      <c r="F1046" s="180" t="s">
        <v>371</v>
      </c>
      <c r="G1046" s="180" t="s">
        <v>864</v>
      </c>
      <c r="H1046" s="182">
        <v>18900</v>
      </c>
      <c r="I1046" s="183">
        <v>0.33900000000000002</v>
      </c>
      <c r="J1046" s="184" t="s">
        <v>3111</v>
      </c>
      <c r="K1046" s="185" t="s">
        <v>1540</v>
      </c>
    </row>
    <row r="1047" spans="1:11" hidden="1" x14ac:dyDescent="0.3">
      <c r="A1047" s="179" t="s">
        <v>392</v>
      </c>
      <c r="B1047" s="180" t="s">
        <v>59</v>
      </c>
      <c r="C1047" s="180" t="s">
        <v>2920</v>
      </c>
      <c r="D1047" s="180" t="s">
        <v>3013</v>
      </c>
      <c r="E1047" s="181">
        <v>45971</v>
      </c>
      <c r="F1047" s="180" t="s">
        <v>370</v>
      </c>
      <c r="G1047" s="180" t="s">
        <v>63</v>
      </c>
      <c r="H1047" s="182">
        <v>4500</v>
      </c>
      <c r="I1047" s="183">
        <v>0.6</v>
      </c>
      <c r="J1047" s="184" t="s">
        <v>1835</v>
      </c>
      <c r="K1047" s="185" t="s">
        <v>1540</v>
      </c>
    </row>
    <row r="1048" spans="1:11" hidden="1" x14ac:dyDescent="0.3">
      <c r="A1048" s="179" t="s">
        <v>390</v>
      </c>
      <c r="B1048" s="180" t="s">
        <v>59</v>
      </c>
      <c r="C1048" s="180" t="s">
        <v>2921</v>
      </c>
      <c r="D1048" s="180" t="s">
        <v>3014</v>
      </c>
      <c r="E1048" s="181">
        <v>45971</v>
      </c>
      <c r="F1048" s="180" t="s">
        <v>368</v>
      </c>
      <c r="G1048" s="180" t="s">
        <v>2911</v>
      </c>
      <c r="H1048" s="182">
        <v>20580.62</v>
      </c>
      <c r="I1048" s="183">
        <v>0.40100000000000002</v>
      </c>
      <c r="J1048" s="184" t="s">
        <v>3111</v>
      </c>
      <c r="K1048" s="185" t="s">
        <v>1541</v>
      </c>
    </row>
    <row r="1049" spans="1:11" hidden="1" x14ac:dyDescent="0.3">
      <c r="A1049" s="179" t="s">
        <v>392</v>
      </c>
      <c r="B1049" s="180" t="s">
        <v>59</v>
      </c>
      <c r="C1049" s="180" t="s">
        <v>2922</v>
      </c>
      <c r="D1049" s="180" t="s">
        <v>3015</v>
      </c>
      <c r="E1049" s="181">
        <v>45971</v>
      </c>
      <c r="F1049" s="180" t="s">
        <v>372</v>
      </c>
      <c r="G1049" s="180" t="s">
        <v>10</v>
      </c>
      <c r="H1049" s="182">
        <v>42000</v>
      </c>
      <c r="I1049" s="183">
        <v>0.29299999999999998</v>
      </c>
      <c r="J1049" s="184" t="s">
        <v>3109</v>
      </c>
      <c r="K1049" s="185" t="s">
        <v>1540</v>
      </c>
    </row>
    <row r="1050" spans="1:11" hidden="1" x14ac:dyDescent="0.3">
      <c r="A1050" s="179" t="s">
        <v>390</v>
      </c>
      <c r="B1050" s="180" t="s">
        <v>59</v>
      </c>
      <c r="C1050" s="180" t="s">
        <v>2923</v>
      </c>
      <c r="D1050" s="180" t="s">
        <v>3016</v>
      </c>
      <c r="E1050" s="181">
        <v>45972</v>
      </c>
      <c r="F1050" s="180" t="s">
        <v>371</v>
      </c>
      <c r="G1050" s="180" t="s">
        <v>864</v>
      </c>
      <c r="H1050" s="182">
        <v>13857.43</v>
      </c>
      <c r="I1050" s="183">
        <v>0.47099999999999997</v>
      </c>
      <c r="J1050" s="184" t="s">
        <v>3111</v>
      </c>
      <c r="K1050" s="185" t="s">
        <v>1541</v>
      </c>
    </row>
    <row r="1051" spans="1:11" hidden="1" x14ac:dyDescent="0.3">
      <c r="A1051" s="179" t="s">
        <v>392</v>
      </c>
      <c r="B1051" s="180" t="s">
        <v>59</v>
      </c>
      <c r="C1051" s="180" t="s">
        <v>2924</v>
      </c>
      <c r="D1051" s="180" t="s">
        <v>3017</v>
      </c>
      <c r="E1051" s="181">
        <v>45972</v>
      </c>
      <c r="F1051" s="180" t="s">
        <v>374</v>
      </c>
      <c r="G1051" s="180" t="s">
        <v>17</v>
      </c>
      <c r="H1051" s="182">
        <v>5500</v>
      </c>
      <c r="I1051" s="183">
        <v>0.58199999999999996</v>
      </c>
      <c r="J1051" s="184" t="s">
        <v>3109</v>
      </c>
      <c r="K1051" s="185" t="s">
        <v>1540</v>
      </c>
    </row>
    <row r="1052" spans="1:11" hidden="1" x14ac:dyDescent="0.3">
      <c r="A1052" s="179" t="s">
        <v>390</v>
      </c>
      <c r="B1052" s="180" t="s">
        <v>59</v>
      </c>
      <c r="C1052" s="180" t="s">
        <v>2925</v>
      </c>
      <c r="D1052" s="180" t="s">
        <v>3018</v>
      </c>
      <c r="E1052" s="181">
        <v>45972</v>
      </c>
      <c r="F1052" s="180" t="s">
        <v>371</v>
      </c>
      <c r="G1052" s="180" t="s">
        <v>864</v>
      </c>
      <c r="H1052" s="182">
        <v>13294.67</v>
      </c>
      <c r="I1052" s="183">
        <v>0.48599999999999999</v>
      </c>
      <c r="J1052" s="184" t="s">
        <v>3111</v>
      </c>
      <c r="K1052" s="185" t="s">
        <v>1541</v>
      </c>
    </row>
    <row r="1053" spans="1:11" hidden="1" x14ac:dyDescent="0.3">
      <c r="A1053" s="179" t="s">
        <v>390</v>
      </c>
      <c r="B1053" s="180" t="s">
        <v>59</v>
      </c>
      <c r="C1053" s="180" t="s">
        <v>2926</v>
      </c>
      <c r="D1053" s="180" t="s">
        <v>3019</v>
      </c>
      <c r="E1053" s="181">
        <v>45972</v>
      </c>
      <c r="F1053" s="180" t="s">
        <v>372</v>
      </c>
      <c r="G1053" s="180" t="s">
        <v>10</v>
      </c>
      <c r="H1053" s="182">
        <v>106330.53</v>
      </c>
      <c r="I1053" s="183">
        <v>0.224</v>
      </c>
      <c r="J1053" s="184" t="s">
        <v>831</v>
      </c>
      <c r="K1053" s="185" t="s">
        <v>1542</v>
      </c>
    </row>
    <row r="1054" spans="1:11" hidden="1" x14ac:dyDescent="0.3">
      <c r="A1054" s="179" t="s">
        <v>390</v>
      </c>
      <c r="B1054" s="180" t="s">
        <v>59</v>
      </c>
      <c r="C1054" s="180" t="s">
        <v>2927</v>
      </c>
      <c r="D1054" s="180" t="s">
        <v>3020</v>
      </c>
      <c r="E1054" s="181">
        <v>45973</v>
      </c>
      <c r="F1054" s="180" t="s">
        <v>371</v>
      </c>
      <c r="G1054" s="180" t="s">
        <v>864</v>
      </c>
      <c r="H1054" s="182">
        <v>13332.37</v>
      </c>
      <c r="I1054" s="183">
        <v>0.48799999999999999</v>
      </c>
      <c r="J1054" s="184" t="s">
        <v>3111</v>
      </c>
      <c r="K1054" s="185" t="s">
        <v>1541</v>
      </c>
    </row>
    <row r="1055" spans="1:11" hidden="1" x14ac:dyDescent="0.3">
      <c r="A1055" s="179" t="s">
        <v>390</v>
      </c>
      <c r="B1055" s="180" t="s">
        <v>59</v>
      </c>
      <c r="C1055" s="180" t="s">
        <v>2928</v>
      </c>
      <c r="D1055" s="180" t="s">
        <v>3021</v>
      </c>
      <c r="E1055" s="181">
        <v>45973</v>
      </c>
      <c r="F1055" s="180" t="s">
        <v>371</v>
      </c>
      <c r="G1055" s="180" t="s">
        <v>864</v>
      </c>
      <c r="H1055" s="182">
        <v>16413.27</v>
      </c>
      <c r="I1055" s="183">
        <v>0.41799999999999998</v>
      </c>
      <c r="J1055" s="184" t="s">
        <v>3111</v>
      </c>
      <c r="K1055" s="185" t="s">
        <v>1541</v>
      </c>
    </row>
    <row r="1056" spans="1:11" hidden="1" x14ac:dyDescent="0.3">
      <c r="A1056" s="179" t="s">
        <v>390</v>
      </c>
      <c r="B1056" s="180" t="s">
        <v>59</v>
      </c>
      <c r="C1056" s="180" t="s">
        <v>2929</v>
      </c>
      <c r="D1056" s="180" t="s">
        <v>3022</v>
      </c>
      <c r="E1056" s="181">
        <v>45973</v>
      </c>
      <c r="F1056" s="180" t="s">
        <v>371</v>
      </c>
      <c r="G1056" s="180" t="s">
        <v>864</v>
      </c>
      <c r="H1056" s="182">
        <v>383686.34</v>
      </c>
      <c r="I1056" s="183">
        <v>0.14699999999999999</v>
      </c>
      <c r="J1056" s="184" t="s">
        <v>833</v>
      </c>
      <c r="K1056" s="185" t="s">
        <v>1542</v>
      </c>
    </row>
    <row r="1057" spans="1:11" hidden="1" x14ac:dyDescent="0.3">
      <c r="A1057" s="179" t="s">
        <v>390</v>
      </c>
      <c r="B1057" s="180" t="s">
        <v>59</v>
      </c>
      <c r="C1057" s="180" t="s">
        <v>2930</v>
      </c>
      <c r="D1057" s="180" t="s">
        <v>3023</v>
      </c>
      <c r="E1057" s="181">
        <v>45975</v>
      </c>
      <c r="F1057" s="180" t="s">
        <v>371</v>
      </c>
      <c r="G1057" s="180" t="s">
        <v>864</v>
      </c>
      <c r="H1057" s="182">
        <v>39696.870000000003</v>
      </c>
      <c r="I1057" s="183">
        <v>0.185</v>
      </c>
      <c r="J1057" s="184" t="s">
        <v>3111</v>
      </c>
      <c r="K1057" s="185" t="s">
        <v>1541</v>
      </c>
    </row>
    <row r="1058" spans="1:11" hidden="1" x14ac:dyDescent="0.3">
      <c r="A1058" s="179" t="s">
        <v>390</v>
      </c>
      <c r="B1058" s="180" t="s">
        <v>59</v>
      </c>
      <c r="C1058" s="180" t="s">
        <v>2931</v>
      </c>
      <c r="D1058" s="180" t="s">
        <v>3024</v>
      </c>
      <c r="E1058" s="181">
        <v>45975</v>
      </c>
      <c r="F1058" s="180" t="s">
        <v>371</v>
      </c>
      <c r="G1058" s="180" t="s">
        <v>864</v>
      </c>
      <c r="H1058" s="182">
        <v>32380.66</v>
      </c>
      <c r="I1058" s="183">
        <v>0.19700000000000001</v>
      </c>
      <c r="J1058" s="184" t="s">
        <v>3111</v>
      </c>
      <c r="K1058" s="185" t="s">
        <v>1541</v>
      </c>
    </row>
    <row r="1059" spans="1:11" hidden="1" x14ac:dyDescent="0.3">
      <c r="A1059" s="179" t="s">
        <v>390</v>
      </c>
      <c r="B1059" s="180" t="s">
        <v>59</v>
      </c>
      <c r="C1059" s="180" t="s">
        <v>2932</v>
      </c>
      <c r="D1059" s="180" t="s">
        <v>3025</v>
      </c>
      <c r="E1059" s="181">
        <v>45975</v>
      </c>
      <c r="F1059" s="180" t="s">
        <v>371</v>
      </c>
      <c r="G1059" s="180" t="s">
        <v>864</v>
      </c>
      <c r="H1059" s="182">
        <v>32572</v>
      </c>
      <c r="I1059" s="183">
        <v>0.19700000000000001</v>
      </c>
      <c r="J1059" s="184" t="s">
        <v>3111</v>
      </c>
      <c r="K1059" s="185" t="s">
        <v>1541</v>
      </c>
    </row>
    <row r="1060" spans="1:11" hidden="1" x14ac:dyDescent="0.3">
      <c r="A1060" s="179" t="s">
        <v>390</v>
      </c>
      <c r="B1060" s="180" t="s">
        <v>59</v>
      </c>
      <c r="C1060" s="180" t="s">
        <v>2933</v>
      </c>
      <c r="D1060" s="180" t="s">
        <v>3026</v>
      </c>
      <c r="E1060" s="181">
        <v>45975</v>
      </c>
      <c r="F1060" s="180" t="s">
        <v>371</v>
      </c>
      <c r="G1060" s="180" t="s">
        <v>864</v>
      </c>
      <c r="H1060" s="182">
        <v>38203.339999999997</v>
      </c>
      <c r="I1060" s="183">
        <v>0.17499999999999999</v>
      </c>
      <c r="J1060" s="184" t="s">
        <v>3111</v>
      </c>
      <c r="K1060" s="185" t="s">
        <v>1541</v>
      </c>
    </row>
    <row r="1061" spans="1:11" hidden="1" x14ac:dyDescent="0.3">
      <c r="A1061" s="179" t="s">
        <v>390</v>
      </c>
      <c r="B1061" s="180" t="s">
        <v>59</v>
      </c>
      <c r="C1061" s="180" t="s">
        <v>2934</v>
      </c>
      <c r="D1061" s="180" t="s">
        <v>3027</v>
      </c>
      <c r="E1061" s="181">
        <v>45975</v>
      </c>
      <c r="F1061" s="180" t="s">
        <v>371</v>
      </c>
      <c r="G1061" s="180" t="s">
        <v>864</v>
      </c>
      <c r="H1061" s="182">
        <v>15961.42</v>
      </c>
      <c r="I1061" s="183">
        <v>0.26600000000000001</v>
      </c>
      <c r="J1061" s="184" t="s">
        <v>3111</v>
      </c>
      <c r="K1061" s="185" t="s">
        <v>1541</v>
      </c>
    </row>
    <row r="1062" spans="1:11" hidden="1" x14ac:dyDescent="0.3">
      <c r="A1062" s="179" t="s">
        <v>390</v>
      </c>
      <c r="B1062" s="180" t="s">
        <v>59</v>
      </c>
      <c r="C1062" s="180" t="s">
        <v>2935</v>
      </c>
      <c r="D1062" s="180" t="s">
        <v>3028</v>
      </c>
      <c r="E1062" s="181">
        <v>45975</v>
      </c>
      <c r="F1062" s="180" t="s">
        <v>371</v>
      </c>
      <c r="G1062" s="180" t="s">
        <v>864</v>
      </c>
      <c r="H1062" s="182">
        <v>25843.94</v>
      </c>
      <c r="I1062" s="183">
        <v>0.214</v>
      </c>
      <c r="J1062" s="184" t="s">
        <v>3111</v>
      </c>
      <c r="K1062" s="185" t="s">
        <v>1541</v>
      </c>
    </row>
    <row r="1063" spans="1:11" hidden="1" x14ac:dyDescent="0.3">
      <c r="A1063" s="179" t="s">
        <v>392</v>
      </c>
      <c r="B1063" s="180" t="s">
        <v>59</v>
      </c>
      <c r="C1063" s="180" t="s">
        <v>2936</v>
      </c>
      <c r="D1063" s="180" t="s">
        <v>3029</v>
      </c>
      <c r="E1063" s="181">
        <v>45975</v>
      </c>
      <c r="F1063" s="180" t="s">
        <v>2131</v>
      </c>
      <c r="G1063" s="180" t="s">
        <v>2132</v>
      </c>
      <c r="H1063" s="182">
        <v>26100</v>
      </c>
      <c r="I1063" s="183">
        <v>0.33200000000000002</v>
      </c>
      <c r="J1063" s="184" t="s">
        <v>3112</v>
      </c>
      <c r="K1063" s="185" t="s">
        <v>1540</v>
      </c>
    </row>
    <row r="1064" spans="1:11" hidden="1" x14ac:dyDescent="0.3">
      <c r="A1064" s="179" t="s">
        <v>392</v>
      </c>
      <c r="B1064" s="180" t="s">
        <v>59</v>
      </c>
      <c r="C1064" s="180" t="s">
        <v>2937</v>
      </c>
      <c r="D1064" s="180" t="s">
        <v>3030</v>
      </c>
      <c r="E1064" s="181">
        <v>45979</v>
      </c>
      <c r="F1064" s="180" t="s">
        <v>372</v>
      </c>
      <c r="G1064" s="180" t="s">
        <v>10</v>
      </c>
      <c r="H1064" s="182">
        <v>17000</v>
      </c>
      <c r="I1064" s="183">
        <v>0.34699999999999998</v>
      </c>
      <c r="J1064" s="184" t="s">
        <v>3109</v>
      </c>
      <c r="K1064" s="185" t="s">
        <v>1540</v>
      </c>
    </row>
    <row r="1065" spans="1:11" hidden="1" x14ac:dyDescent="0.3">
      <c r="A1065" s="179" t="s">
        <v>392</v>
      </c>
      <c r="B1065" s="180" t="s">
        <v>59</v>
      </c>
      <c r="C1065" s="180" t="s">
        <v>2938</v>
      </c>
      <c r="D1065" s="180" t="s">
        <v>3031</v>
      </c>
      <c r="E1065" s="181">
        <v>45979</v>
      </c>
      <c r="F1065" s="180" t="s">
        <v>372</v>
      </c>
      <c r="G1065" s="180" t="s">
        <v>10</v>
      </c>
      <c r="H1065" s="182">
        <v>17000</v>
      </c>
      <c r="I1065" s="183">
        <v>0.34699999999999998</v>
      </c>
      <c r="J1065" s="184" t="s">
        <v>3109</v>
      </c>
      <c r="K1065" s="185" t="s">
        <v>1540</v>
      </c>
    </row>
    <row r="1066" spans="1:11" hidden="1" x14ac:dyDescent="0.3">
      <c r="A1066" s="179" t="s">
        <v>390</v>
      </c>
      <c r="B1066" s="180" t="s">
        <v>59</v>
      </c>
      <c r="C1066" s="180" t="s">
        <v>2939</v>
      </c>
      <c r="D1066" s="180" t="s">
        <v>3032</v>
      </c>
      <c r="E1066" s="181">
        <v>45979</v>
      </c>
      <c r="F1066" s="180" t="s">
        <v>372</v>
      </c>
      <c r="G1066" s="180" t="s">
        <v>10</v>
      </c>
      <c r="H1066" s="182">
        <v>12749.2</v>
      </c>
      <c r="I1066" s="183">
        <v>0.23</v>
      </c>
      <c r="J1066" s="184" t="s">
        <v>3112</v>
      </c>
      <c r="K1066" s="185" t="s">
        <v>1541</v>
      </c>
    </row>
    <row r="1067" spans="1:11" hidden="1" x14ac:dyDescent="0.3">
      <c r="A1067" s="179" t="s">
        <v>392</v>
      </c>
      <c r="B1067" s="180" t="s">
        <v>59</v>
      </c>
      <c r="C1067" s="180" t="s">
        <v>2940</v>
      </c>
      <c r="D1067" s="180" t="s">
        <v>3033</v>
      </c>
      <c r="E1067" s="181">
        <v>45979</v>
      </c>
      <c r="F1067" s="180" t="s">
        <v>370</v>
      </c>
      <c r="G1067" s="180" t="s">
        <v>63</v>
      </c>
      <c r="H1067" s="182">
        <v>10500</v>
      </c>
      <c r="I1067" s="183">
        <v>0.54300000000000004</v>
      </c>
      <c r="J1067" s="184" t="s">
        <v>1835</v>
      </c>
      <c r="K1067" s="185" t="s">
        <v>1540</v>
      </c>
    </row>
    <row r="1068" spans="1:11" hidden="1" x14ac:dyDescent="0.3">
      <c r="A1068" s="179" t="s">
        <v>392</v>
      </c>
      <c r="B1068" s="180" t="s">
        <v>59</v>
      </c>
      <c r="C1068" s="180" t="s">
        <v>2941</v>
      </c>
      <c r="D1068" s="180" t="s">
        <v>3034</v>
      </c>
      <c r="E1068" s="181">
        <v>45982</v>
      </c>
      <c r="F1068" s="180" t="s">
        <v>372</v>
      </c>
      <c r="G1068" s="180" t="s">
        <v>10</v>
      </c>
      <c r="H1068" s="182">
        <v>16500</v>
      </c>
      <c r="I1068" s="183">
        <v>0.32700000000000001</v>
      </c>
      <c r="J1068" s="184" t="s">
        <v>3109</v>
      </c>
      <c r="K1068" s="185" t="s">
        <v>1540</v>
      </c>
    </row>
    <row r="1069" spans="1:11" hidden="1" x14ac:dyDescent="0.3">
      <c r="A1069" s="179" t="s">
        <v>392</v>
      </c>
      <c r="B1069" s="180" t="s">
        <v>59</v>
      </c>
      <c r="C1069" s="180" t="s">
        <v>2942</v>
      </c>
      <c r="D1069" s="180" t="s">
        <v>3035</v>
      </c>
      <c r="E1069" s="181">
        <v>45982</v>
      </c>
      <c r="F1069" s="180" t="s">
        <v>372</v>
      </c>
      <c r="G1069" s="180" t="s">
        <v>10</v>
      </c>
      <c r="H1069" s="182">
        <v>42000</v>
      </c>
      <c r="I1069" s="183">
        <v>0.41</v>
      </c>
      <c r="J1069" s="184" t="s">
        <v>3109</v>
      </c>
      <c r="K1069" s="185" t="s">
        <v>1540</v>
      </c>
    </row>
    <row r="1070" spans="1:11" hidden="1" x14ac:dyDescent="0.3">
      <c r="A1070" s="179" t="s">
        <v>390</v>
      </c>
      <c r="B1070" s="180" t="s">
        <v>59</v>
      </c>
      <c r="C1070" s="180" t="s">
        <v>2943</v>
      </c>
      <c r="D1070" s="180" t="s">
        <v>3036</v>
      </c>
      <c r="E1070" s="181">
        <v>45982</v>
      </c>
      <c r="F1070" s="180" t="s">
        <v>370</v>
      </c>
      <c r="G1070" s="180" t="s">
        <v>63</v>
      </c>
      <c r="H1070" s="182">
        <v>10092</v>
      </c>
      <c r="I1070" s="183">
        <v>0.45100000000000001</v>
      </c>
      <c r="J1070" s="184" t="s">
        <v>1977</v>
      </c>
      <c r="K1070" s="185" t="s">
        <v>1541</v>
      </c>
    </row>
    <row r="1071" spans="1:11" hidden="1" x14ac:dyDescent="0.3">
      <c r="A1071" s="179" t="s">
        <v>392</v>
      </c>
      <c r="B1071" s="180" t="s">
        <v>59</v>
      </c>
      <c r="C1071" s="180" t="s">
        <v>2944</v>
      </c>
      <c r="D1071" s="180" t="s">
        <v>3037</v>
      </c>
      <c r="E1071" s="181">
        <v>45982</v>
      </c>
      <c r="F1071" s="180" t="s">
        <v>370</v>
      </c>
      <c r="G1071" s="180" t="s">
        <v>63</v>
      </c>
      <c r="H1071" s="182">
        <v>7826.6</v>
      </c>
      <c r="I1071" s="183">
        <v>0.69599999999999995</v>
      </c>
      <c r="J1071" s="184" t="s">
        <v>1977</v>
      </c>
      <c r="K1071" s="185" t="s">
        <v>1540</v>
      </c>
    </row>
    <row r="1072" spans="1:11" hidden="1" x14ac:dyDescent="0.3">
      <c r="A1072" s="179" t="s">
        <v>390</v>
      </c>
      <c r="B1072" s="180" t="s">
        <v>59</v>
      </c>
      <c r="C1072" s="180" t="s">
        <v>2945</v>
      </c>
      <c r="D1072" s="180" t="s">
        <v>3038</v>
      </c>
      <c r="E1072" s="181">
        <v>45982</v>
      </c>
      <c r="F1072" s="180" t="s">
        <v>371</v>
      </c>
      <c r="G1072" s="180" t="s">
        <v>864</v>
      </c>
      <c r="H1072" s="182">
        <v>432834.37</v>
      </c>
      <c r="I1072" s="183">
        <v>0.19600000000000001</v>
      </c>
      <c r="J1072" s="184" t="s">
        <v>833</v>
      </c>
      <c r="K1072" s="185" t="s">
        <v>1542</v>
      </c>
    </row>
    <row r="1073" spans="1:11" hidden="1" x14ac:dyDescent="0.3">
      <c r="A1073" s="179" t="s">
        <v>390</v>
      </c>
      <c r="B1073" s="180" t="s">
        <v>59</v>
      </c>
      <c r="C1073" s="180" t="s">
        <v>2946</v>
      </c>
      <c r="D1073" s="180" t="s">
        <v>3039</v>
      </c>
      <c r="E1073" s="181">
        <v>45982</v>
      </c>
      <c r="F1073" s="180" t="s">
        <v>371</v>
      </c>
      <c r="G1073" s="180" t="s">
        <v>864</v>
      </c>
      <c r="H1073" s="182">
        <v>77013.42</v>
      </c>
      <c r="I1073" s="183">
        <v>0.16</v>
      </c>
      <c r="J1073" s="184" t="s">
        <v>3111</v>
      </c>
      <c r="K1073" s="185" t="s">
        <v>1541</v>
      </c>
    </row>
    <row r="1074" spans="1:11" hidden="1" x14ac:dyDescent="0.3">
      <c r="A1074" s="179" t="s">
        <v>390</v>
      </c>
      <c r="B1074" s="180" t="s">
        <v>59</v>
      </c>
      <c r="C1074" s="180" t="s">
        <v>2947</v>
      </c>
      <c r="D1074" s="180" t="s">
        <v>3040</v>
      </c>
      <c r="E1074" s="181">
        <v>45982</v>
      </c>
      <c r="F1074" s="180" t="s">
        <v>371</v>
      </c>
      <c r="G1074" s="180" t="s">
        <v>864</v>
      </c>
      <c r="H1074" s="182">
        <v>27743.56</v>
      </c>
      <c r="I1074" s="183">
        <v>0.17699999999999999</v>
      </c>
      <c r="J1074" s="184" t="s">
        <v>3111</v>
      </c>
      <c r="K1074" s="185" t="s">
        <v>1541</v>
      </c>
    </row>
    <row r="1075" spans="1:11" hidden="1" x14ac:dyDescent="0.3">
      <c r="A1075" s="179" t="s">
        <v>390</v>
      </c>
      <c r="B1075" s="180" t="s">
        <v>59</v>
      </c>
      <c r="C1075" s="180" t="s">
        <v>2948</v>
      </c>
      <c r="D1075" s="180" t="s">
        <v>3041</v>
      </c>
      <c r="E1075" s="181">
        <v>45982</v>
      </c>
      <c r="F1075" s="180" t="s">
        <v>371</v>
      </c>
      <c r="G1075" s="180" t="s">
        <v>864</v>
      </c>
      <c r="H1075" s="182">
        <v>29965.09</v>
      </c>
      <c r="I1075" s="183">
        <v>0.22</v>
      </c>
      <c r="J1075" s="184" t="s">
        <v>3111</v>
      </c>
      <c r="K1075" s="185" t="s">
        <v>1541</v>
      </c>
    </row>
    <row r="1076" spans="1:11" hidden="1" x14ac:dyDescent="0.3">
      <c r="A1076" s="179" t="s">
        <v>390</v>
      </c>
      <c r="B1076" s="180" t="s">
        <v>59</v>
      </c>
      <c r="C1076" s="180" t="s">
        <v>2949</v>
      </c>
      <c r="D1076" s="180" t="s">
        <v>3042</v>
      </c>
      <c r="E1076" s="181">
        <v>45982</v>
      </c>
      <c r="F1076" s="180" t="s">
        <v>371</v>
      </c>
      <c r="G1076" s="180" t="s">
        <v>864</v>
      </c>
      <c r="H1076" s="182">
        <v>38625.199999999997</v>
      </c>
      <c r="I1076" s="183">
        <v>0.2</v>
      </c>
      <c r="J1076" s="184" t="s">
        <v>3111</v>
      </c>
      <c r="K1076" s="185" t="s">
        <v>1541</v>
      </c>
    </row>
    <row r="1077" spans="1:11" hidden="1" x14ac:dyDescent="0.3">
      <c r="A1077" s="179" t="s">
        <v>390</v>
      </c>
      <c r="B1077" s="180" t="s">
        <v>59</v>
      </c>
      <c r="C1077" s="180" t="s">
        <v>2950</v>
      </c>
      <c r="D1077" s="180" t="s">
        <v>3043</v>
      </c>
      <c r="E1077" s="181">
        <v>45982</v>
      </c>
      <c r="F1077" s="180" t="s">
        <v>371</v>
      </c>
      <c r="G1077" s="180" t="s">
        <v>864</v>
      </c>
      <c r="H1077" s="182">
        <v>51336.21</v>
      </c>
      <c r="I1077" s="183">
        <v>0.214</v>
      </c>
      <c r="J1077" s="184" t="s">
        <v>3111</v>
      </c>
      <c r="K1077" s="185" t="s">
        <v>1541</v>
      </c>
    </row>
    <row r="1078" spans="1:11" hidden="1" x14ac:dyDescent="0.3">
      <c r="A1078" s="179" t="s">
        <v>390</v>
      </c>
      <c r="B1078" s="180" t="s">
        <v>59</v>
      </c>
      <c r="C1078" s="180" t="s">
        <v>2951</v>
      </c>
      <c r="D1078" s="180" t="s">
        <v>3044</v>
      </c>
      <c r="E1078" s="181">
        <v>45982</v>
      </c>
      <c r="F1078" s="180" t="s">
        <v>371</v>
      </c>
      <c r="G1078" s="180" t="s">
        <v>864</v>
      </c>
      <c r="H1078" s="182">
        <v>26982.97</v>
      </c>
      <c r="I1078" s="183">
        <v>0.18099999999999999</v>
      </c>
      <c r="J1078" s="184" t="s">
        <v>3111</v>
      </c>
      <c r="K1078" s="185" t="s">
        <v>1541</v>
      </c>
    </row>
    <row r="1079" spans="1:11" hidden="1" x14ac:dyDescent="0.3">
      <c r="A1079" s="179" t="s">
        <v>390</v>
      </c>
      <c r="B1079" s="180" t="s">
        <v>59</v>
      </c>
      <c r="C1079" s="180" t="s">
        <v>2952</v>
      </c>
      <c r="D1079" s="180" t="s">
        <v>3045</v>
      </c>
      <c r="E1079" s="181">
        <v>45982</v>
      </c>
      <c r="F1079" s="180" t="s">
        <v>371</v>
      </c>
      <c r="G1079" s="180" t="s">
        <v>864</v>
      </c>
      <c r="H1079" s="182">
        <v>25120.97</v>
      </c>
      <c r="I1079" s="183">
        <v>0.185</v>
      </c>
      <c r="J1079" s="184" t="s">
        <v>3111</v>
      </c>
      <c r="K1079" s="185" t="s">
        <v>1541</v>
      </c>
    </row>
    <row r="1080" spans="1:11" hidden="1" x14ac:dyDescent="0.3">
      <c r="A1080" s="179" t="s">
        <v>390</v>
      </c>
      <c r="B1080" s="180" t="s">
        <v>59</v>
      </c>
      <c r="C1080" s="180" t="s">
        <v>2953</v>
      </c>
      <c r="D1080" s="180" t="s">
        <v>3046</v>
      </c>
      <c r="E1080" s="181">
        <v>45982</v>
      </c>
      <c r="F1080" s="180" t="s">
        <v>371</v>
      </c>
      <c r="G1080" s="180" t="s">
        <v>864</v>
      </c>
      <c r="H1080" s="182">
        <v>16412.3</v>
      </c>
      <c r="I1080" s="183">
        <v>0.311</v>
      </c>
      <c r="J1080" s="184" t="s">
        <v>3111</v>
      </c>
      <c r="K1080" s="185" t="s">
        <v>1541</v>
      </c>
    </row>
    <row r="1081" spans="1:11" hidden="1" x14ac:dyDescent="0.3">
      <c r="A1081" s="179" t="s">
        <v>390</v>
      </c>
      <c r="B1081" s="180" t="s">
        <v>59</v>
      </c>
      <c r="C1081" s="180" t="s">
        <v>2954</v>
      </c>
      <c r="D1081" s="180" t="s">
        <v>3047</v>
      </c>
      <c r="E1081" s="181">
        <v>45982</v>
      </c>
      <c r="F1081" s="180" t="s">
        <v>371</v>
      </c>
      <c r="G1081" s="180" t="s">
        <v>864</v>
      </c>
      <c r="H1081" s="182">
        <v>50512.14</v>
      </c>
      <c r="I1081" s="183">
        <v>0.17499999999999999</v>
      </c>
      <c r="J1081" s="184" t="s">
        <v>3111</v>
      </c>
      <c r="K1081" s="185" t="s">
        <v>1541</v>
      </c>
    </row>
    <row r="1082" spans="1:11" hidden="1" x14ac:dyDescent="0.3">
      <c r="A1082" s="179" t="s">
        <v>390</v>
      </c>
      <c r="B1082" s="180" t="s">
        <v>59</v>
      </c>
      <c r="C1082" s="180" t="s">
        <v>2955</v>
      </c>
      <c r="D1082" s="180" t="s">
        <v>3048</v>
      </c>
      <c r="E1082" s="181">
        <v>45982</v>
      </c>
      <c r="F1082" s="180" t="s">
        <v>854</v>
      </c>
      <c r="G1082" s="180" t="s">
        <v>2302</v>
      </c>
      <c r="H1082" s="182">
        <v>10080</v>
      </c>
      <c r="I1082" s="183">
        <v>0.27900000000000003</v>
      </c>
      <c r="J1082" s="184" t="s">
        <v>831</v>
      </c>
      <c r="K1082" s="185" t="s">
        <v>1542</v>
      </c>
    </row>
    <row r="1083" spans="1:11" hidden="1" x14ac:dyDescent="0.3">
      <c r="A1083" s="179" t="s">
        <v>392</v>
      </c>
      <c r="B1083" s="180" t="s">
        <v>59</v>
      </c>
      <c r="C1083" s="180" t="s">
        <v>2956</v>
      </c>
      <c r="D1083" s="180" t="s">
        <v>3049</v>
      </c>
      <c r="E1083" s="181">
        <v>45982</v>
      </c>
      <c r="F1083" s="180" t="s">
        <v>842</v>
      </c>
      <c r="G1083" s="180" t="s">
        <v>843</v>
      </c>
      <c r="H1083" s="182">
        <v>22000</v>
      </c>
      <c r="I1083" s="183">
        <v>0.46</v>
      </c>
      <c r="J1083" s="184" t="s">
        <v>1977</v>
      </c>
      <c r="K1083" s="185" t="s">
        <v>1540</v>
      </c>
    </row>
    <row r="1084" spans="1:11" hidden="1" x14ac:dyDescent="0.3">
      <c r="A1084" s="179" t="s">
        <v>390</v>
      </c>
      <c r="B1084" s="180" t="s">
        <v>59</v>
      </c>
      <c r="C1084" s="180" t="s">
        <v>2957</v>
      </c>
      <c r="D1084" s="180" t="s">
        <v>3050</v>
      </c>
      <c r="E1084" s="181">
        <v>45982</v>
      </c>
      <c r="F1084" s="180" t="s">
        <v>371</v>
      </c>
      <c r="G1084" s="180" t="s">
        <v>864</v>
      </c>
      <c r="H1084" s="182">
        <v>29711.67</v>
      </c>
      <c r="I1084" s="183">
        <v>0.20300000000000001</v>
      </c>
      <c r="J1084" s="184" t="s">
        <v>3111</v>
      </c>
      <c r="K1084" s="185" t="s">
        <v>1541</v>
      </c>
    </row>
    <row r="1085" spans="1:11" hidden="1" x14ac:dyDescent="0.3">
      <c r="A1085" s="179" t="s">
        <v>392</v>
      </c>
      <c r="B1085" s="180" t="s">
        <v>59</v>
      </c>
      <c r="C1085" s="180" t="s">
        <v>2958</v>
      </c>
      <c r="D1085" s="180" t="s">
        <v>3051</v>
      </c>
      <c r="E1085" s="181">
        <v>45982</v>
      </c>
      <c r="F1085" s="180" t="s">
        <v>370</v>
      </c>
      <c r="G1085" s="180" t="s">
        <v>63</v>
      </c>
      <c r="H1085" s="182">
        <v>4200</v>
      </c>
      <c r="I1085" s="183">
        <v>0.61899999999999999</v>
      </c>
      <c r="J1085" s="184" t="s">
        <v>1977</v>
      </c>
      <c r="K1085" s="185" t="s">
        <v>1540</v>
      </c>
    </row>
    <row r="1086" spans="1:11" hidden="1" x14ac:dyDescent="0.3">
      <c r="A1086" s="179" t="s">
        <v>390</v>
      </c>
      <c r="B1086" s="180" t="s">
        <v>59</v>
      </c>
      <c r="C1086" s="180" t="s">
        <v>2959</v>
      </c>
      <c r="D1086" s="180" t="s">
        <v>3052</v>
      </c>
      <c r="E1086" s="181">
        <v>45982</v>
      </c>
      <c r="F1086" s="180" t="s">
        <v>371</v>
      </c>
      <c r="G1086" s="180" t="s">
        <v>864</v>
      </c>
      <c r="H1086" s="182">
        <v>106932.05</v>
      </c>
      <c r="I1086" s="183">
        <v>0.191</v>
      </c>
      <c r="J1086" s="184" t="s">
        <v>833</v>
      </c>
      <c r="K1086" s="185" t="s">
        <v>1542</v>
      </c>
    </row>
    <row r="1087" spans="1:11" hidden="1" x14ac:dyDescent="0.3">
      <c r="A1087" s="179" t="s">
        <v>392</v>
      </c>
      <c r="B1087" s="180" t="s">
        <v>59</v>
      </c>
      <c r="C1087" s="180" t="s">
        <v>2960</v>
      </c>
      <c r="D1087" s="180" t="s">
        <v>3053</v>
      </c>
      <c r="E1087" s="181">
        <v>45982</v>
      </c>
      <c r="F1087" s="180" t="s">
        <v>370</v>
      </c>
      <c r="G1087" s="180" t="s">
        <v>63</v>
      </c>
      <c r="H1087" s="182">
        <v>4200</v>
      </c>
      <c r="I1087" s="183">
        <v>0.61899999999999999</v>
      </c>
      <c r="J1087" s="184" t="s">
        <v>1977</v>
      </c>
      <c r="K1087" s="185" t="s">
        <v>1540</v>
      </c>
    </row>
    <row r="1088" spans="1:11" hidden="1" x14ac:dyDescent="0.3">
      <c r="A1088" s="179" t="s">
        <v>392</v>
      </c>
      <c r="B1088" s="180" t="s">
        <v>59</v>
      </c>
      <c r="C1088" s="180" t="s">
        <v>2961</v>
      </c>
      <c r="D1088" s="180" t="s">
        <v>3054</v>
      </c>
      <c r="E1088" s="181">
        <v>45982</v>
      </c>
      <c r="F1088" s="180" t="s">
        <v>842</v>
      </c>
      <c r="G1088" s="180" t="s">
        <v>843</v>
      </c>
      <c r="H1088" s="182">
        <v>22000</v>
      </c>
      <c r="I1088" s="183">
        <v>0.45900000000000002</v>
      </c>
      <c r="J1088" s="184" t="s">
        <v>1977</v>
      </c>
      <c r="K1088" s="185" t="s">
        <v>1540</v>
      </c>
    </row>
    <row r="1089" spans="1:11" hidden="1" x14ac:dyDescent="0.3">
      <c r="A1089" s="179" t="s">
        <v>392</v>
      </c>
      <c r="B1089" s="180" t="s">
        <v>59</v>
      </c>
      <c r="C1089" s="180" t="s">
        <v>2962</v>
      </c>
      <c r="D1089" s="180" t="s">
        <v>3055</v>
      </c>
      <c r="E1089" s="181">
        <v>45982</v>
      </c>
      <c r="F1089" s="180" t="s">
        <v>370</v>
      </c>
      <c r="G1089" s="180" t="s">
        <v>63</v>
      </c>
      <c r="H1089" s="182">
        <v>4200</v>
      </c>
      <c r="I1089" s="183">
        <v>0.61899999999999999</v>
      </c>
      <c r="J1089" s="184" t="s">
        <v>3109</v>
      </c>
      <c r="K1089" s="185" t="s">
        <v>1540</v>
      </c>
    </row>
    <row r="1090" spans="1:11" hidden="1" x14ac:dyDescent="0.3">
      <c r="A1090" s="179" t="s">
        <v>390</v>
      </c>
      <c r="B1090" s="180" t="s">
        <v>59</v>
      </c>
      <c r="C1090" s="180" t="s">
        <v>2963</v>
      </c>
      <c r="D1090" s="180" t="s">
        <v>3056</v>
      </c>
      <c r="E1090" s="181">
        <v>45982</v>
      </c>
      <c r="F1090" s="180" t="s">
        <v>372</v>
      </c>
      <c r="G1090" s="180" t="s">
        <v>10</v>
      </c>
      <c r="H1090" s="182">
        <v>77999.350000000006</v>
      </c>
      <c r="I1090" s="183">
        <v>0.252</v>
      </c>
      <c r="J1090" s="184" t="s">
        <v>831</v>
      </c>
      <c r="K1090" s="185" t="s">
        <v>1542</v>
      </c>
    </row>
    <row r="1091" spans="1:11" hidden="1" x14ac:dyDescent="0.3">
      <c r="A1091" s="179" t="s">
        <v>392</v>
      </c>
      <c r="B1091" s="180" t="s">
        <v>59</v>
      </c>
      <c r="C1091" s="180" t="s">
        <v>2964</v>
      </c>
      <c r="D1091" s="180" t="s">
        <v>3057</v>
      </c>
      <c r="E1091" s="181">
        <v>45985</v>
      </c>
      <c r="F1091" s="180" t="s">
        <v>370</v>
      </c>
      <c r="G1091" s="180" t="s">
        <v>63</v>
      </c>
      <c r="H1091" s="182">
        <v>4500</v>
      </c>
      <c r="I1091" s="183">
        <v>0.6</v>
      </c>
      <c r="J1091" s="184" t="s">
        <v>1977</v>
      </c>
      <c r="K1091" s="185" t="s">
        <v>1540</v>
      </c>
    </row>
    <row r="1092" spans="1:11" hidden="1" x14ac:dyDescent="0.3">
      <c r="A1092" s="179" t="s">
        <v>392</v>
      </c>
      <c r="B1092" s="180" t="s">
        <v>59</v>
      </c>
      <c r="C1092" s="180" t="s">
        <v>2965</v>
      </c>
      <c r="D1092" s="180" t="s">
        <v>3058</v>
      </c>
      <c r="E1092" s="181">
        <v>45985</v>
      </c>
      <c r="F1092" s="180" t="s">
        <v>370</v>
      </c>
      <c r="G1092" s="180" t="s">
        <v>63</v>
      </c>
      <c r="H1092" s="182">
        <v>4500</v>
      </c>
      <c r="I1092" s="183">
        <v>0.6</v>
      </c>
      <c r="J1092" s="184" t="s">
        <v>1977</v>
      </c>
      <c r="K1092" s="185" t="s">
        <v>1540</v>
      </c>
    </row>
    <row r="1093" spans="1:11" hidden="1" x14ac:dyDescent="0.3">
      <c r="A1093" s="179" t="s">
        <v>390</v>
      </c>
      <c r="B1093" s="180" t="s">
        <v>59</v>
      </c>
      <c r="C1093" s="180" t="s">
        <v>2966</v>
      </c>
      <c r="D1093" s="180" t="s">
        <v>2899</v>
      </c>
      <c r="E1093" s="181">
        <v>45986</v>
      </c>
      <c r="F1093" s="180" t="s">
        <v>372</v>
      </c>
      <c r="G1093" s="180" t="s">
        <v>10</v>
      </c>
      <c r="H1093" s="182">
        <v>131340.57</v>
      </c>
      <c r="I1093" s="183">
        <v>0.22600000000000001</v>
      </c>
      <c r="J1093" s="184" t="s">
        <v>831</v>
      </c>
      <c r="K1093" s="185" t="s">
        <v>1542</v>
      </c>
    </row>
    <row r="1094" spans="1:11" hidden="1" x14ac:dyDescent="0.3">
      <c r="A1094" s="179" t="s">
        <v>390</v>
      </c>
      <c r="B1094" s="180" t="s">
        <v>59</v>
      </c>
      <c r="C1094" s="180" t="s">
        <v>2967</v>
      </c>
      <c r="D1094" s="180" t="s">
        <v>3059</v>
      </c>
      <c r="E1094" s="181">
        <v>45987</v>
      </c>
      <c r="F1094" s="180" t="s">
        <v>372</v>
      </c>
      <c r="G1094" s="180" t="s">
        <v>10</v>
      </c>
      <c r="H1094" s="182">
        <v>103994.03</v>
      </c>
      <c r="I1094" s="183">
        <v>0.26500000000000001</v>
      </c>
      <c r="J1094" s="184" t="s">
        <v>831</v>
      </c>
      <c r="K1094" s="185" t="s">
        <v>1542</v>
      </c>
    </row>
    <row r="1095" spans="1:11" hidden="1" x14ac:dyDescent="0.3">
      <c r="A1095" s="179" t="s">
        <v>392</v>
      </c>
      <c r="B1095" s="180" t="s">
        <v>59</v>
      </c>
      <c r="C1095" s="180" t="s">
        <v>2968</v>
      </c>
      <c r="D1095" s="180" t="s">
        <v>3060</v>
      </c>
      <c r="E1095" s="181">
        <v>45987</v>
      </c>
      <c r="F1095" s="180" t="s">
        <v>372</v>
      </c>
      <c r="G1095" s="180" t="s">
        <v>10</v>
      </c>
      <c r="H1095" s="182">
        <v>23250</v>
      </c>
      <c r="I1095" s="183">
        <v>0.36799999999999999</v>
      </c>
      <c r="J1095" s="184" t="s">
        <v>3109</v>
      </c>
      <c r="K1095" s="185" t="s">
        <v>1540</v>
      </c>
    </row>
    <row r="1096" spans="1:11" hidden="1" x14ac:dyDescent="0.3">
      <c r="A1096" s="179" t="s">
        <v>392</v>
      </c>
      <c r="B1096" s="180" t="s">
        <v>59</v>
      </c>
      <c r="C1096" s="180" t="s">
        <v>2969</v>
      </c>
      <c r="D1096" s="180" t="s">
        <v>3061</v>
      </c>
      <c r="E1096" s="181">
        <v>45987</v>
      </c>
      <c r="F1096" s="180" t="s">
        <v>372</v>
      </c>
      <c r="G1096" s="180" t="s">
        <v>10</v>
      </c>
      <c r="H1096" s="182">
        <v>23250</v>
      </c>
      <c r="I1096" s="183">
        <v>0.36799999999999999</v>
      </c>
      <c r="J1096" s="184" t="s">
        <v>3109</v>
      </c>
      <c r="K1096" s="185" t="s">
        <v>1540</v>
      </c>
    </row>
    <row r="1097" spans="1:11" hidden="1" x14ac:dyDescent="0.3">
      <c r="A1097" s="179" t="s">
        <v>392</v>
      </c>
      <c r="B1097" s="180" t="s">
        <v>59</v>
      </c>
      <c r="C1097" s="180" t="s">
        <v>2970</v>
      </c>
      <c r="D1097" s="180" t="s">
        <v>3062</v>
      </c>
      <c r="E1097" s="181">
        <v>45987</v>
      </c>
      <c r="F1097" s="180" t="s">
        <v>372</v>
      </c>
      <c r="G1097" s="180" t="s">
        <v>10</v>
      </c>
      <c r="H1097" s="182">
        <v>42000</v>
      </c>
      <c r="I1097" s="183">
        <v>0.39800000000000002</v>
      </c>
      <c r="J1097" s="184" t="s">
        <v>3109</v>
      </c>
      <c r="K1097" s="185" t="s">
        <v>1540</v>
      </c>
    </row>
    <row r="1098" spans="1:11" hidden="1" x14ac:dyDescent="0.3">
      <c r="A1098" s="179" t="s">
        <v>392</v>
      </c>
      <c r="B1098" s="180" t="s">
        <v>59</v>
      </c>
      <c r="C1098" s="180" t="s">
        <v>2971</v>
      </c>
      <c r="D1098" s="180" t="s">
        <v>3063</v>
      </c>
      <c r="E1098" s="181">
        <v>45988</v>
      </c>
      <c r="F1098" s="180" t="s">
        <v>371</v>
      </c>
      <c r="G1098" s="180" t="s">
        <v>864</v>
      </c>
      <c r="H1098" s="182">
        <v>29600</v>
      </c>
      <c r="I1098" s="183">
        <v>0.72</v>
      </c>
      <c r="J1098" s="184" t="s">
        <v>3111</v>
      </c>
      <c r="K1098" s="185" t="s">
        <v>1540</v>
      </c>
    </row>
    <row r="1099" spans="1:11" hidden="1" x14ac:dyDescent="0.3">
      <c r="A1099" s="179" t="s">
        <v>392</v>
      </c>
      <c r="B1099" s="180" t="s">
        <v>59</v>
      </c>
      <c r="C1099" s="180" t="s">
        <v>2972</v>
      </c>
      <c r="D1099" s="180" t="s">
        <v>3064</v>
      </c>
      <c r="E1099" s="181">
        <v>45988</v>
      </c>
      <c r="F1099" s="180" t="s">
        <v>371</v>
      </c>
      <c r="G1099" s="180" t="s">
        <v>864</v>
      </c>
      <c r="H1099" s="182">
        <v>28800</v>
      </c>
      <c r="I1099" s="183">
        <v>0.78200000000000003</v>
      </c>
      <c r="J1099" s="184" t="s">
        <v>3111</v>
      </c>
      <c r="K1099" s="185" t="s">
        <v>1540</v>
      </c>
    </row>
    <row r="1100" spans="1:11" hidden="1" x14ac:dyDescent="0.3">
      <c r="A1100" s="179" t="s">
        <v>392</v>
      </c>
      <c r="B1100" s="180" t="s">
        <v>59</v>
      </c>
      <c r="C1100" s="180" t="s">
        <v>2973</v>
      </c>
      <c r="D1100" s="180" t="s">
        <v>3065</v>
      </c>
      <c r="E1100" s="181">
        <v>45988</v>
      </c>
      <c r="F1100" s="180" t="s">
        <v>371</v>
      </c>
      <c r="G1100" s="180" t="s">
        <v>864</v>
      </c>
      <c r="H1100" s="182">
        <v>29600</v>
      </c>
      <c r="I1100" s="183">
        <v>0.78800000000000003</v>
      </c>
      <c r="J1100" s="184" t="s">
        <v>3111</v>
      </c>
      <c r="K1100" s="185" t="s">
        <v>1540</v>
      </c>
    </row>
    <row r="1101" spans="1:11" hidden="1" x14ac:dyDescent="0.3">
      <c r="A1101" s="179" t="s">
        <v>392</v>
      </c>
      <c r="B1101" s="180" t="s">
        <v>59</v>
      </c>
      <c r="C1101" s="180" t="s">
        <v>2974</v>
      </c>
      <c r="D1101" s="180" t="s">
        <v>3066</v>
      </c>
      <c r="E1101" s="181">
        <v>45988</v>
      </c>
      <c r="F1101" s="180" t="s">
        <v>371</v>
      </c>
      <c r="G1101" s="180" t="s">
        <v>864</v>
      </c>
      <c r="H1101" s="182">
        <v>14800</v>
      </c>
      <c r="I1101" s="183">
        <v>0.84599999999999997</v>
      </c>
      <c r="J1101" s="184" t="s">
        <v>3111</v>
      </c>
      <c r="K1101" s="185" t="s">
        <v>1540</v>
      </c>
    </row>
    <row r="1102" spans="1:11" hidden="1" x14ac:dyDescent="0.3">
      <c r="A1102" s="179" t="s">
        <v>392</v>
      </c>
      <c r="B1102" s="180" t="s">
        <v>59</v>
      </c>
      <c r="C1102" s="180" t="s">
        <v>2975</v>
      </c>
      <c r="D1102" s="180" t="s">
        <v>3067</v>
      </c>
      <c r="E1102" s="181">
        <v>45988</v>
      </c>
      <c r="F1102" s="180" t="s">
        <v>371</v>
      </c>
      <c r="G1102" s="180" t="s">
        <v>864</v>
      </c>
      <c r="H1102" s="182">
        <v>7400</v>
      </c>
      <c r="I1102" s="183">
        <v>0.75900000000000001</v>
      </c>
      <c r="J1102" s="184" t="s">
        <v>3111</v>
      </c>
      <c r="K1102" s="185" t="s">
        <v>1540</v>
      </c>
    </row>
    <row r="1103" spans="1:11" hidden="1" x14ac:dyDescent="0.3">
      <c r="A1103" s="179" t="s">
        <v>392</v>
      </c>
      <c r="B1103" s="180" t="s">
        <v>59</v>
      </c>
      <c r="C1103" s="180" t="s">
        <v>2976</v>
      </c>
      <c r="D1103" s="180" t="s">
        <v>3068</v>
      </c>
      <c r="E1103" s="181">
        <v>45988</v>
      </c>
      <c r="F1103" s="180" t="s">
        <v>371</v>
      </c>
      <c r="G1103" s="180" t="s">
        <v>864</v>
      </c>
      <c r="H1103" s="182">
        <v>22200</v>
      </c>
      <c r="I1103" s="183">
        <v>0.68100000000000005</v>
      </c>
      <c r="J1103" s="184" t="s">
        <v>3111</v>
      </c>
      <c r="K1103" s="185" t="s">
        <v>1540</v>
      </c>
    </row>
    <row r="1104" spans="1:11" hidden="1" x14ac:dyDescent="0.3">
      <c r="A1104" s="179" t="s">
        <v>392</v>
      </c>
      <c r="B1104" s="180" t="s">
        <v>59</v>
      </c>
      <c r="C1104" s="180" t="s">
        <v>2977</v>
      </c>
      <c r="D1104" s="180" t="s">
        <v>3069</v>
      </c>
      <c r="E1104" s="181">
        <v>45988</v>
      </c>
      <c r="F1104" s="180" t="s">
        <v>371</v>
      </c>
      <c r="G1104" s="180" t="s">
        <v>864</v>
      </c>
      <c r="H1104" s="182">
        <v>14800</v>
      </c>
      <c r="I1104" s="183">
        <v>0.77800000000000002</v>
      </c>
      <c r="J1104" s="184" t="s">
        <v>3111</v>
      </c>
      <c r="K1104" s="185" t="s">
        <v>1540</v>
      </c>
    </row>
    <row r="1105" spans="1:11" hidden="1" x14ac:dyDescent="0.3">
      <c r="A1105" s="179" t="s">
        <v>392</v>
      </c>
      <c r="B1105" s="180" t="s">
        <v>59</v>
      </c>
      <c r="C1105" s="180" t="s">
        <v>2978</v>
      </c>
      <c r="D1105" s="180" t="s">
        <v>3070</v>
      </c>
      <c r="E1105" s="181">
        <v>45988</v>
      </c>
      <c r="F1105" s="180" t="s">
        <v>371</v>
      </c>
      <c r="G1105" s="180" t="s">
        <v>864</v>
      </c>
      <c r="H1105" s="182">
        <v>37000</v>
      </c>
      <c r="I1105" s="183">
        <v>0.80300000000000005</v>
      </c>
      <c r="J1105" s="184" t="s">
        <v>3111</v>
      </c>
      <c r="K1105" s="185" t="s">
        <v>1540</v>
      </c>
    </row>
    <row r="1106" spans="1:11" hidden="1" x14ac:dyDescent="0.3">
      <c r="A1106" s="179" t="s">
        <v>390</v>
      </c>
      <c r="B1106" s="180" t="s">
        <v>59</v>
      </c>
      <c r="C1106" s="180" t="s">
        <v>2979</v>
      </c>
      <c r="D1106" s="180" t="s">
        <v>3071</v>
      </c>
      <c r="E1106" s="181">
        <v>45988</v>
      </c>
      <c r="F1106" s="180" t="s">
        <v>371</v>
      </c>
      <c r="G1106" s="180" t="s">
        <v>864</v>
      </c>
      <c r="H1106" s="182">
        <v>42982.79</v>
      </c>
      <c r="I1106" s="183">
        <v>0.19800000000000001</v>
      </c>
      <c r="J1106" s="184" t="s">
        <v>3111</v>
      </c>
      <c r="K1106" s="185" t="s">
        <v>1541</v>
      </c>
    </row>
    <row r="1107" spans="1:11" hidden="1" x14ac:dyDescent="0.3">
      <c r="A1107" s="179" t="s">
        <v>390</v>
      </c>
      <c r="B1107" s="180" t="s">
        <v>59</v>
      </c>
      <c r="C1107" s="180" t="s">
        <v>2980</v>
      </c>
      <c r="D1107" s="180" t="s">
        <v>3072</v>
      </c>
      <c r="E1107" s="181">
        <v>45988</v>
      </c>
      <c r="F1107" s="180" t="s">
        <v>371</v>
      </c>
      <c r="G1107" s="180" t="s">
        <v>864</v>
      </c>
      <c r="H1107" s="182">
        <v>30630.720000000001</v>
      </c>
      <c r="I1107" s="183">
        <v>0.22700000000000001</v>
      </c>
      <c r="J1107" s="184" t="s">
        <v>3111</v>
      </c>
      <c r="K1107" s="185" t="s">
        <v>1541</v>
      </c>
    </row>
    <row r="1108" spans="1:11" hidden="1" x14ac:dyDescent="0.3">
      <c r="A1108" s="179" t="s">
        <v>390</v>
      </c>
      <c r="B1108" s="180" t="s">
        <v>59</v>
      </c>
      <c r="C1108" s="180" t="s">
        <v>2981</v>
      </c>
      <c r="D1108" s="180" t="s">
        <v>3073</v>
      </c>
      <c r="E1108" s="181">
        <v>45988</v>
      </c>
      <c r="F1108" s="180" t="s">
        <v>371</v>
      </c>
      <c r="G1108" s="180" t="s">
        <v>864</v>
      </c>
      <c r="H1108" s="182">
        <v>62837.279999999999</v>
      </c>
      <c r="I1108" s="183">
        <v>0.16800000000000001</v>
      </c>
      <c r="J1108" s="184" t="s">
        <v>3111</v>
      </c>
      <c r="K1108" s="185" t="s">
        <v>1541</v>
      </c>
    </row>
    <row r="1109" spans="1:11" hidden="1" x14ac:dyDescent="0.3">
      <c r="A1109" s="179" t="s">
        <v>390</v>
      </c>
      <c r="B1109" s="180" t="s">
        <v>59</v>
      </c>
      <c r="C1109" s="180" t="s">
        <v>2982</v>
      </c>
      <c r="D1109" s="180" t="s">
        <v>3074</v>
      </c>
      <c r="E1109" s="181">
        <v>45988</v>
      </c>
      <c r="F1109" s="180" t="s">
        <v>371</v>
      </c>
      <c r="G1109" s="180" t="s">
        <v>864</v>
      </c>
      <c r="H1109" s="182">
        <v>29370.13</v>
      </c>
      <c r="I1109" s="183">
        <v>0.19700000000000001</v>
      </c>
      <c r="J1109" s="184" t="s">
        <v>3111</v>
      </c>
      <c r="K1109" s="185" t="s">
        <v>1541</v>
      </c>
    </row>
    <row r="1110" spans="1:11" hidden="1" x14ac:dyDescent="0.3">
      <c r="A1110" s="179" t="s">
        <v>390</v>
      </c>
      <c r="B1110" s="180" t="s">
        <v>59</v>
      </c>
      <c r="C1110" s="180" t="s">
        <v>2983</v>
      </c>
      <c r="D1110" s="180" t="s">
        <v>3075</v>
      </c>
      <c r="E1110" s="181">
        <v>45988</v>
      </c>
      <c r="F1110" s="180" t="s">
        <v>371</v>
      </c>
      <c r="G1110" s="180" t="s">
        <v>864</v>
      </c>
      <c r="H1110" s="182">
        <v>32172.41</v>
      </c>
      <c r="I1110" s="183">
        <v>0.223</v>
      </c>
      <c r="J1110" s="184" t="s">
        <v>3111</v>
      </c>
      <c r="K1110" s="185" t="s">
        <v>1541</v>
      </c>
    </row>
    <row r="1111" spans="1:11" hidden="1" x14ac:dyDescent="0.3">
      <c r="A1111" s="179" t="s">
        <v>390</v>
      </c>
      <c r="B1111" s="180" t="s">
        <v>59</v>
      </c>
      <c r="C1111" s="180" t="s">
        <v>2984</v>
      </c>
      <c r="D1111" s="180" t="s">
        <v>3076</v>
      </c>
      <c r="E1111" s="181">
        <v>45988</v>
      </c>
      <c r="F1111" s="180" t="s">
        <v>371</v>
      </c>
      <c r="G1111" s="180" t="s">
        <v>864</v>
      </c>
      <c r="H1111" s="182">
        <v>39993.949999999997</v>
      </c>
      <c r="I1111" s="183">
        <v>0.20499999999999999</v>
      </c>
      <c r="J1111" s="184" t="s">
        <v>3112</v>
      </c>
      <c r="K1111" s="185" t="s">
        <v>1541</v>
      </c>
    </row>
    <row r="1112" spans="1:11" hidden="1" x14ac:dyDescent="0.3">
      <c r="A1112" s="179" t="s">
        <v>390</v>
      </c>
      <c r="B1112" s="180" t="s">
        <v>59</v>
      </c>
      <c r="C1112" s="180" t="s">
        <v>2985</v>
      </c>
      <c r="D1112" s="180" t="s">
        <v>3077</v>
      </c>
      <c r="E1112" s="181">
        <v>45988</v>
      </c>
      <c r="F1112" s="180" t="s">
        <v>371</v>
      </c>
      <c r="G1112" s="180" t="s">
        <v>864</v>
      </c>
      <c r="H1112" s="182">
        <v>14183.29</v>
      </c>
      <c r="I1112" s="183">
        <v>0.498</v>
      </c>
      <c r="J1112" s="184" t="s">
        <v>3111</v>
      </c>
      <c r="K1112" s="185" t="s">
        <v>1541</v>
      </c>
    </row>
    <row r="1113" spans="1:11" hidden="1" x14ac:dyDescent="0.3">
      <c r="A1113" s="179" t="s">
        <v>392</v>
      </c>
      <c r="B1113" s="180" t="s">
        <v>59</v>
      </c>
      <c r="C1113" s="180" t="s">
        <v>2986</v>
      </c>
      <c r="D1113" s="180" t="s">
        <v>3078</v>
      </c>
      <c r="E1113" s="181">
        <v>45988</v>
      </c>
      <c r="F1113" s="180" t="s">
        <v>844</v>
      </c>
      <c r="G1113" s="180" t="s">
        <v>863</v>
      </c>
      <c r="H1113" s="182">
        <v>13000</v>
      </c>
      <c r="I1113" s="183">
        <v>0.29899999999999999</v>
      </c>
      <c r="J1113" s="184" t="s">
        <v>1977</v>
      </c>
      <c r="K1113" s="185" t="s">
        <v>1540</v>
      </c>
    </row>
    <row r="1114" spans="1:11" hidden="1" x14ac:dyDescent="0.3">
      <c r="A1114" s="179" t="s">
        <v>392</v>
      </c>
      <c r="B1114" s="180" t="s">
        <v>59</v>
      </c>
      <c r="C1114" s="180" t="s">
        <v>2987</v>
      </c>
      <c r="D1114" s="180" t="s">
        <v>3079</v>
      </c>
      <c r="E1114" s="181">
        <v>45988</v>
      </c>
      <c r="F1114" s="180" t="s">
        <v>844</v>
      </c>
      <c r="G1114" s="180" t="s">
        <v>863</v>
      </c>
      <c r="H1114" s="182">
        <v>18600</v>
      </c>
      <c r="I1114" s="183">
        <v>0.23100000000000001</v>
      </c>
      <c r="J1114" s="184" t="s">
        <v>1977</v>
      </c>
      <c r="K1114" s="185" t="s">
        <v>1540</v>
      </c>
    </row>
    <row r="1115" spans="1:11" hidden="1" x14ac:dyDescent="0.3">
      <c r="A1115" s="179" t="s">
        <v>392</v>
      </c>
      <c r="B1115" s="180" t="s">
        <v>59</v>
      </c>
      <c r="C1115" s="180" t="s">
        <v>2988</v>
      </c>
      <c r="D1115" s="180" t="s">
        <v>3080</v>
      </c>
      <c r="E1115" s="181">
        <v>45989</v>
      </c>
      <c r="F1115" s="180" t="s">
        <v>370</v>
      </c>
      <c r="G1115" s="180" t="s">
        <v>63</v>
      </c>
      <c r="H1115" s="182">
        <v>4200</v>
      </c>
      <c r="I1115" s="183">
        <v>0.61899999999999999</v>
      </c>
      <c r="J1115" s="184" t="s">
        <v>3109</v>
      </c>
      <c r="K1115" s="185" t="s">
        <v>1540</v>
      </c>
    </row>
    <row r="1116" spans="1:11" hidden="1" x14ac:dyDescent="0.3">
      <c r="A1116" s="179" t="s">
        <v>392</v>
      </c>
      <c r="B1116" s="180" t="s">
        <v>59</v>
      </c>
      <c r="C1116" s="180" t="s">
        <v>2989</v>
      </c>
      <c r="D1116" s="180" t="s">
        <v>3081</v>
      </c>
      <c r="E1116" s="181">
        <v>45989</v>
      </c>
      <c r="F1116" s="180" t="s">
        <v>370</v>
      </c>
      <c r="G1116" s="180" t="s">
        <v>63</v>
      </c>
      <c r="H1116" s="182">
        <v>7427.5</v>
      </c>
      <c r="I1116" s="183">
        <v>0.72099999999999997</v>
      </c>
      <c r="J1116" s="184" t="s">
        <v>1977</v>
      </c>
      <c r="K1116" s="185" t="s">
        <v>1540</v>
      </c>
    </row>
    <row r="1117" spans="1:11" hidden="1" x14ac:dyDescent="0.3">
      <c r="A1117" s="179" t="s">
        <v>390</v>
      </c>
      <c r="B1117" s="180" t="s">
        <v>59</v>
      </c>
      <c r="C1117" s="180" t="s">
        <v>2990</v>
      </c>
      <c r="D1117" s="180" t="s">
        <v>3082</v>
      </c>
      <c r="E1117" s="181">
        <v>45989</v>
      </c>
      <c r="F1117" s="180" t="s">
        <v>375</v>
      </c>
      <c r="G1117" s="180" t="s">
        <v>2303</v>
      </c>
      <c r="H1117" s="182">
        <v>10475.049999999999</v>
      </c>
      <c r="I1117" s="183">
        <v>0.30299999999999999</v>
      </c>
      <c r="J1117" s="184" t="s">
        <v>831</v>
      </c>
      <c r="K1117" s="185" t="s">
        <v>1541</v>
      </c>
    </row>
    <row r="1118" spans="1:11" hidden="1" x14ac:dyDescent="0.3">
      <c r="A1118" s="179" t="s">
        <v>390</v>
      </c>
      <c r="B1118" s="180" t="s">
        <v>59</v>
      </c>
      <c r="C1118" s="180" t="s">
        <v>2991</v>
      </c>
      <c r="D1118" s="180" t="s">
        <v>3083</v>
      </c>
      <c r="E1118" s="181">
        <v>45989</v>
      </c>
      <c r="F1118" s="180" t="s">
        <v>371</v>
      </c>
      <c r="G1118" s="180" t="s">
        <v>864</v>
      </c>
      <c r="H1118" s="182">
        <v>244506.63</v>
      </c>
      <c r="I1118" s="183">
        <v>0.19700000000000001</v>
      </c>
      <c r="J1118" s="184" t="s">
        <v>833</v>
      </c>
      <c r="K1118" s="185" t="s">
        <v>1542</v>
      </c>
    </row>
    <row r="1119" spans="1:11" hidden="1" x14ac:dyDescent="0.3">
      <c r="A1119" s="179" t="s">
        <v>392</v>
      </c>
      <c r="B1119" s="180" t="s">
        <v>59</v>
      </c>
      <c r="C1119" s="180" t="s">
        <v>2992</v>
      </c>
      <c r="D1119" s="180" t="s">
        <v>3084</v>
      </c>
      <c r="E1119" s="181">
        <v>45989</v>
      </c>
      <c r="F1119" s="180" t="s">
        <v>370</v>
      </c>
      <c r="G1119" s="180" t="s">
        <v>63</v>
      </c>
      <c r="H1119" s="182">
        <v>7427.5</v>
      </c>
      <c r="I1119" s="183">
        <v>0.72099999999999997</v>
      </c>
      <c r="J1119" s="184" t="s">
        <v>1977</v>
      </c>
      <c r="K1119" s="185" t="s">
        <v>1540</v>
      </c>
    </row>
    <row r="1120" spans="1:11" hidden="1" x14ac:dyDescent="0.3">
      <c r="A1120" s="179" t="s">
        <v>390</v>
      </c>
      <c r="B1120" s="180" t="s">
        <v>59</v>
      </c>
      <c r="C1120" s="180" t="s">
        <v>2993</v>
      </c>
      <c r="D1120" s="180" t="s">
        <v>3085</v>
      </c>
      <c r="E1120" s="181">
        <v>45989</v>
      </c>
      <c r="F1120" s="180" t="s">
        <v>371</v>
      </c>
      <c r="G1120" s="180" t="s">
        <v>864</v>
      </c>
      <c r="H1120" s="182">
        <v>18141.47</v>
      </c>
      <c r="I1120" s="183">
        <v>0.442</v>
      </c>
      <c r="J1120" s="184" t="s">
        <v>3112</v>
      </c>
      <c r="K1120" s="185" t="s">
        <v>1541</v>
      </c>
    </row>
    <row r="1121" spans="1:11" hidden="1" x14ac:dyDescent="0.3">
      <c r="A1121" s="179" t="s">
        <v>390</v>
      </c>
      <c r="B1121" s="180" t="s">
        <v>59</v>
      </c>
      <c r="C1121" s="180" t="s">
        <v>2994</v>
      </c>
      <c r="D1121" s="180" t="s">
        <v>3086</v>
      </c>
      <c r="E1121" s="181">
        <v>45989</v>
      </c>
      <c r="F1121" s="180" t="s">
        <v>371</v>
      </c>
      <c r="G1121" s="180" t="s">
        <v>864</v>
      </c>
      <c r="H1121" s="182">
        <v>241262.24</v>
      </c>
      <c r="I1121" s="183">
        <v>0.25800000000000001</v>
      </c>
      <c r="J1121" s="184" t="s">
        <v>833</v>
      </c>
      <c r="K1121" s="185" t="s">
        <v>1542</v>
      </c>
    </row>
    <row r="1122" spans="1:11" hidden="1" x14ac:dyDescent="0.3">
      <c r="A1122" s="179" t="s">
        <v>392</v>
      </c>
      <c r="B1122" s="180" t="s">
        <v>59</v>
      </c>
      <c r="C1122" s="180" t="s">
        <v>2995</v>
      </c>
      <c r="D1122" s="180" t="s">
        <v>3087</v>
      </c>
      <c r="E1122" s="181">
        <v>45989</v>
      </c>
      <c r="F1122" s="180" t="s">
        <v>370</v>
      </c>
      <c r="G1122" s="180" t="s">
        <v>63</v>
      </c>
      <c r="H1122" s="182">
        <v>6500</v>
      </c>
      <c r="I1122" s="183">
        <v>0.64600000000000002</v>
      </c>
      <c r="J1122" s="184" t="s">
        <v>3109</v>
      </c>
      <c r="K1122" s="185" t="s">
        <v>1540</v>
      </c>
    </row>
    <row r="1123" spans="1:11" hidden="1" x14ac:dyDescent="0.3">
      <c r="A1123" s="179" t="s">
        <v>392</v>
      </c>
      <c r="B1123" s="180" t="s">
        <v>59</v>
      </c>
      <c r="C1123" s="180" t="s">
        <v>2996</v>
      </c>
      <c r="D1123" s="180" t="s">
        <v>3088</v>
      </c>
      <c r="E1123" s="181">
        <v>45989</v>
      </c>
      <c r="F1123" s="180" t="s">
        <v>370</v>
      </c>
      <c r="G1123" s="180" t="s">
        <v>63</v>
      </c>
      <c r="H1123" s="182">
        <v>10500</v>
      </c>
      <c r="I1123" s="183">
        <v>0.59</v>
      </c>
      <c r="J1123" s="184" t="s">
        <v>1977</v>
      </c>
      <c r="K1123" s="185" t="s">
        <v>1540</v>
      </c>
    </row>
    <row r="1124" spans="1:11" hidden="1" x14ac:dyDescent="0.3">
      <c r="A1124" s="179" t="s">
        <v>390</v>
      </c>
      <c r="B1124" s="180" t="s">
        <v>59</v>
      </c>
      <c r="C1124" s="180" t="s">
        <v>2997</v>
      </c>
      <c r="D1124" s="180" t="s">
        <v>3089</v>
      </c>
      <c r="E1124" s="181">
        <v>45989</v>
      </c>
      <c r="F1124" s="180" t="s">
        <v>2131</v>
      </c>
      <c r="G1124" s="180" t="s">
        <v>2132</v>
      </c>
      <c r="H1124" s="182">
        <v>11580.98</v>
      </c>
      <c r="I1124" s="183">
        <v>0.58599999999999997</v>
      </c>
      <c r="J1124" s="184" t="s">
        <v>831</v>
      </c>
      <c r="K1124" s="185" t="s">
        <v>1541</v>
      </c>
    </row>
    <row r="1125" spans="1:11" hidden="1" x14ac:dyDescent="0.3">
      <c r="A1125" s="179" t="s">
        <v>390</v>
      </c>
      <c r="B1125" s="180" t="s">
        <v>59</v>
      </c>
      <c r="C1125" s="180" t="s">
        <v>2998</v>
      </c>
      <c r="D1125" s="180" t="s">
        <v>3090</v>
      </c>
      <c r="E1125" s="181">
        <v>45989</v>
      </c>
      <c r="F1125" s="180" t="s">
        <v>370</v>
      </c>
      <c r="G1125" s="180" t="s">
        <v>63</v>
      </c>
      <c r="H1125" s="182">
        <v>10747.24</v>
      </c>
      <c r="I1125" s="183">
        <v>0.53300000000000003</v>
      </c>
      <c r="J1125" s="184" t="s">
        <v>1977</v>
      </c>
      <c r="K1125" s="185" t="s">
        <v>1541</v>
      </c>
    </row>
    <row r="1126" spans="1:11" hidden="1" x14ac:dyDescent="0.3">
      <c r="A1126" s="179" t="s">
        <v>390</v>
      </c>
      <c r="B1126" s="180" t="s">
        <v>59</v>
      </c>
      <c r="C1126" s="180" t="s">
        <v>2999</v>
      </c>
      <c r="D1126" s="180" t="s">
        <v>3091</v>
      </c>
      <c r="E1126" s="181">
        <v>45989</v>
      </c>
      <c r="F1126" s="180" t="s">
        <v>371</v>
      </c>
      <c r="G1126" s="180" t="s">
        <v>864</v>
      </c>
      <c r="H1126" s="182">
        <v>12146.75</v>
      </c>
      <c r="I1126" s="183">
        <v>0.45900000000000002</v>
      </c>
      <c r="J1126" s="184" t="s">
        <v>3111</v>
      </c>
      <c r="K1126" s="185" t="s">
        <v>1541</v>
      </c>
    </row>
    <row r="1127" spans="1:11" hidden="1" x14ac:dyDescent="0.3">
      <c r="A1127" s="179" t="s">
        <v>390</v>
      </c>
      <c r="B1127" s="180" t="s">
        <v>59</v>
      </c>
      <c r="C1127" s="180" t="s">
        <v>3000</v>
      </c>
      <c r="D1127" s="180" t="s">
        <v>3092</v>
      </c>
      <c r="E1127" s="181">
        <v>45989</v>
      </c>
      <c r="F1127" s="180" t="s">
        <v>371</v>
      </c>
      <c r="G1127" s="180" t="s">
        <v>864</v>
      </c>
      <c r="H1127" s="182">
        <v>22450.27</v>
      </c>
      <c r="I1127" s="183">
        <v>0.26</v>
      </c>
      <c r="J1127" s="184" t="s">
        <v>3111</v>
      </c>
      <c r="K1127" s="185" t="s">
        <v>1541</v>
      </c>
    </row>
    <row r="1128" spans="1:11" hidden="1" x14ac:dyDescent="0.3">
      <c r="A1128" s="179" t="s">
        <v>390</v>
      </c>
      <c r="B1128" s="180" t="s">
        <v>59</v>
      </c>
      <c r="C1128" s="180" t="s">
        <v>3001</v>
      </c>
      <c r="D1128" s="180" t="s">
        <v>3093</v>
      </c>
      <c r="E1128" s="181">
        <v>45989</v>
      </c>
      <c r="F1128" s="180" t="s">
        <v>619</v>
      </c>
      <c r="G1128" s="180" t="s">
        <v>2086</v>
      </c>
      <c r="H1128" s="182">
        <v>20441.160000000003</v>
      </c>
      <c r="I1128" s="183">
        <v>0.30599999999999999</v>
      </c>
      <c r="J1128" s="184" t="s">
        <v>831</v>
      </c>
      <c r="K1128" s="185" t="s">
        <v>1541</v>
      </c>
    </row>
    <row r="1129" spans="1:11" hidden="1" x14ac:dyDescent="0.3">
      <c r="A1129" s="179" t="s">
        <v>390</v>
      </c>
      <c r="B1129" s="180" t="s">
        <v>59</v>
      </c>
      <c r="C1129" s="180" t="s">
        <v>3002</v>
      </c>
      <c r="D1129" s="180" t="s">
        <v>3094</v>
      </c>
      <c r="E1129" s="181">
        <v>45989</v>
      </c>
      <c r="F1129" s="180" t="s">
        <v>619</v>
      </c>
      <c r="G1129" s="180" t="s">
        <v>2086</v>
      </c>
      <c r="H1129" s="182">
        <v>25235</v>
      </c>
      <c r="I1129" s="183">
        <v>0.28000000000000003</v>
      </c>
      <c r="J1129" s="184" t="s">
        <v>831</v>
      </c>
      <c r="K1129" s="185" t="s">
        <v>1541</v>
      </c>
    </row>
    <row r="1130" spans="1:11" hidden="1" x14ac:dyDescent="0.3">
      <c r="A1130" s="179" t="s">
        <v>390</v>
      </c>
      <c r="B1130" s="180" t="s">
        <v>59</v>
      </c>
      <c r="C1130" s="180" t="s">
        <v>3003</v>
      </c>
      <c r="D1130" s="180" t="s">
        <v>3095</v>
      </c>
      <c r="E1130" s="181">
        <v>45990</v>
      </c>
      <c r="F1130" s="180" t="s">
        <v>371</v>
      </c>
      <c r="G1130" s="180" t="s">
        <v>864</v>
      </c>
      <c r="H1130" s="182">
        <v>47559.77</v>
      </c>
      <c r="I1130" s="183">
        <v>0.18</v>
      </c>
      <c r="J1130" s="184" t="s">
        <v>3111</v>
      </c>
      <c r="K1130" s="185" t="s">
        <v>1541</v>
      </c>
    </row>
    <row r="1131" spans="1:11" hidden="1" x14ac:dyDescent="0.3">
      <c r="A1131" s="179" t="s">
        <v>390</v>
      </c>
      <c r="B1131" s="180" t="s">
        <v>59</v>
      </c>
      <c r="C1131" s="180" t="s">
        <v>3004</v>
      </c>
      <c r="D1131" s="180" t="s">
        <v>3096</v>
      </c>
      <c r="E1131" s="181">
        <v>45990</v>
      </c>
      <c r="F1131" s="180" t="s">
        <v>619</v>
      </c>
      <c r="G1131" s="180" t="s">
        <v>2086</v>
      </c>
      <c r="H1131" s="182">
        <v>159653.87</v>
      </c>
      <c r="I1131" s="183">
        <v>0.21199999999999999</v>
      </c>
      <c r="J1131" s="184" t="s">
        <v>831</v>
      </c>
      <c r="K1131" s="185" t="s">
        <v>1542</v>
      </c>
    </row>
    <row r="1132" spans="1:11" hidden="1" x14ac:dyDescent="0.3">
      <c r="A1132" s="179" t="s">
        <v>392</v>
      </c>
      <c r="B1132" s="180" t="s">
        <v>59</v>
      </c>
      <c r="C1132" s="180" t="s">
        <v>3097</v>
      </c>
      <c r="D1132" s="180" t="s">
        <v>3009</v>
      </c>
      <c r="E1132" s="181">
        <v>45971</v>
      </c>
      <c r="F1132" s="180" t="s">
        <v>372</v>
      </c>
      <c r="G1132" s="180" t="s">
        <v>10</v>
      </c>
      <c r="H1132" s="182">
        <v>7400</v>
      </c>
      <c r="I1132" s="183">
        <v>0.47</v>
      </c>
      <c r="J1132" s="184" t="s">
        <v>3109</v>
      </c>
      <c r="K1132" s="185" t="s">
        <v>1540</v>
      </c>
    </row>
    <row r="1133" spans="1:11" hidden="1" x14ac:dyDescent="0.3">
      <c r="A1133" s="179" t="s">
        <v>390</v>
      </c>
      <c r="B1133" s="180" t="s">
        <v>59</v>
      </c>
      <c r="C1133" s="180" t="s">
        <v>3098</v>
      </c>
      <c r="D1133" s="180" t="s">
        <v>3103</v>
      </c>
      <c r="E1133" s="181">
        <v>45972</v>
      </c>
      <c r="F1133" s="180" t="s">
        <v>372</v>
      </c>
      <c r="G1133" s="180" t="s">
        <v>10</v>
      </c>
      <c r="H1133" s="182">
        <v>74215.285829999993</v>
      </c>
      <c r="I1133" s="183">
        <v>0.23599999999999999</v>
      </c>
      <c r="J1133" s="184" t="s">
        <v>831</v>
      </c>
      <c r="K1133" s="185" t="s">
        <v>1542</v>
      </c>
    </row>
    <row r="1134" spans="1:11" hidden="1" x14ac:dyDescent="0.3">
      <c r="A1134" s="179" t="s">
        <v>392</v>
      </c>
      <c r="B1134" s="180" t="s">
        <v>59</v>
      </c>
      <c r="C1134" s="180" t="s">
        <v>3099</v>
      </c>
      <c r="D1134" s="180" t="s">
        <v>3104</v>
      </c>
      <c r="E1134" s="181">
        <v>45982</v>
      </c>
      <c r="F1134" s="180" t="s">
        <v>3108</v>
      </c>
      <c r="G1134" s="180" t="s">
        <v>2910</v>
      </c>
      <c r="H1134" s="182">
        <v>56900.5</v>
      </c>
      <c r="I1134" s="183">
        <v>0.29699999999999999</v>
      </c>
      <c r="J1134" s="184" t="s">
        <v>3110</v>
      </c>
      <c r="K1134" s="185" t="s">
        <v>1540</v>
      </c>
    </row>
    <row r="1135" spans="1:11" hidden="1" x14ac:dyDescent="0.3">
      <c r="A1135" s="179" t="s">
        <v>392</v>
      </c>
      <c r="B1135" s="180" t="s">
        <v>59</v>
      </c>
      <c r="C1135" s="180" t="s">
        <v>3100</v>
      </c>
      <c r="D1135" s="180" t="s">
        <v>3105</v>
      </c>
      <c r="E1135" s="181">
        <v>45985</v>
      </c>
      <c r="F1135" s="180" t="s">
        <v>844</v>
      </c>
      <c r="G1135" s="180" t="s">
        <v>863</v>
      </c>
      <c r="H1135" s="182">
        <v>18126.57</v>
      </c>
      <c r="I1135" s="183">
        <v>0.11899999999999999</v>
      </c>
      <c r="J1135" s="184" t="s">
        <v>2909</v>
      </c>
      <c r="K1135" s="185" t="s">
        <v>1540</v>
      </c>
    </row>
    <row r="1136" spans="1:11" hidden="1" x14ac:dyDescent="0.3">
      <c r="A1136" s="179" t="s">
        <v>390</v>
      </c>
      <c r="B1136" s="180" t="s">
        <v>59</v>
      </c>
      <c r="C1136" s="180" t="s">
        <v>3101</v>
      </c>
      <c r="D1136" s="180" t="s">
        <v>3106</v>
      </c>
      <c r="E1136" s="181">
        <v>45985</v>
      </c>
      <c r="F1136" s="180" t="s">
        <v>372</v>
      </c>
      <c r="G1136" s="180" t="s">
        <v>10</v>
      </c>
      <c r="H1136" s="182">
        <v>66395.961225000006</v>
      </c>
      <c r="I1136" s="183">
        <v>0.29099999999999998</v>
      </c>
      <c r="J1136" s="184" t="s">
        <v>831</v>
      </c>
      <c r="K1136" s="185" t="s">
        <v>1542</v>
      </c>
    </row>
    <row r="1137" spans="1:11" hidden="1" x14ac:dyDescent="0.3">
      <c r="A1137" s="179" t="s">
        <v>390</v>
      </c>
      <c r="B1137" s="180" t="s">
        <v>59</v>
      </c>
      <c r="C1137" s="180" t="s">
        <v>3102</v>
      </c>
      <c r="D1137" s="180" t="s">
        <v>3107</v>
      </c>
      <c r="E1137" s="181">
        <v>45989</v>
      </c>
      <c r="F1137" s="180" t="s">
        <v>2281</v>
      </c>
      <c r="G1137" s="180" t="s">
        <v>2305</v>
      </c>
      <c r="H1137" s="182">
        <v>10274.151999999998</v>
      </c>
      <c r="I1137" s="183">
        <v>1</v>
      </c>
      <c r="J1137" s="184" t="s">
        <v>831</v>
      </c>
      <c r="K1137" s="185" t="s">
        <v>1542</v>
      </c>
    </row>
    <row r="1138" spans="1:11" x14ac:dyDescent="0.3">
      <c r="A1138" s="179" t="s">
        <v>390</v>
      </c>
      <c r="B1138" s="180" t="s">
        <v>3297</v>
      </c>
      <c r="C1138" s="180" t="s">
        <v>3117</v>
      </c>
      <c r="D1138" s="180" t="s">
        <v>3118</v>
      </c>
      <c r="E1138" s="181">
        <v>45995</v>
      </c>
      <c r="F1138" s="180" t="s">
        <v>372</v>
      </c>
      <c r="G1138" s="180" t="s">
        <v>10</v>
      </c>
      <c r="H1138" s="182">
        <v>73252.3</v>
      </c>
      <c r="I1138" s="183">
        <v>0.214</v>
      </c>
      <c r="J1138" s="184" t="s">
        <v>831</v>
      </c>
      <c r="K1138" s="185" t="s">
        <v>1542</v>
      </c>
    </row>
    <row r="1139" spans="1:11" hidden="1" x14ac:dyDescent="0.3">
      <c r="A1139" s="179" t="s">
        <v>392</v>
      </c>
      <c r="B1139" s="180" t="s">
        <v>3297</v>
      </c>
      <c r="C1139" s="180" t="s">
        <v>3119</v>
      </c>
      <c r="D1139" s="180" t="s">
        <v>3120</v>
      </c>
      <c r="E1139" s="181">
        <v>45996</v>
      </c>
      <c r="F1139" s="180" t="s">
        <v>372</v>
      </c>
      <c r="G1139" s="180" t="s">
        <v>10</v>
      </c>
      <c r="H1139" s="182">
        <v>42000</v>
      </c>
      <c r="I1139" s="183">
        <v>0.39800000000000002</v>
      </c>
      <c r="J1139" s="184" t="s">
        <v>2894</v>
      </c>
      <c r="K1139" s="185" t="s">
        <v>1540</v>
      </c>
    </row>
    <row r="1140" spans="1:11" x14ac:dyDescent="0.3">
      <c r="A1140" s="179" t="s">
        <v>390</v>
      </c>
      <c r="B1140" s="180" t="s">
        <v>3297</v>
      </c>
      <c r="C1140" s="180" t="s">
        <v>3121</v>
      </c>
      <c r="D1140" s="180" t="s">
        <v>3122</v>
      </c>
      <c r="E1140" s="181">
        <v>45996</v>
      </c>
      <c r="F1140" s="180" t="s">
        <v>371</v>
      </c>
      <c r="G1140" s="180" t="s">
        <v>864</v>
      </c>
      <c r="H1140" s="182">
        <v>19722.080000000002</v>
      </c>
      <c r="I1140" s="183">
        <v>0.19900000000000001</v>
      </c>
      <c r="J1140" s="184" t="s">
        <v>3111</v>
      </c>
      <c r="K1140" s="185" t="s">
        <v>1541</v>
      </c>
    </row>
    <row r="1141" spans="1:11" x14ac:dyDescent="0.3">
      <c r="A1141" s="179" t="s">
        <v>390</v>
      </c>
      <c r="B1141" s="180" t="s">
        <v>3297</v>
      </c>
      <c r="C1141" s="180" t="s">
        <v>3123</v>
      </c>
      <c r="D1141" s="180" t="s">
        <v>3124</v>
      </c>
      <c r="E1141" s="181">
        <v>45999</v>
      </c>
      <c r="F1141" s="180" t="s">
        <v>371</v>
      </c>
      <c r="G1141" s="180" t="s">
        <v>864</v>
      </c>
      <c r="H1141" s="182">
        <v>16394.97</v>
      </c>
      <c r="I1141" s="183">
        <v>0.21299999999999999</v>
      </c>
      <c r="J1141" s="184" t="s">
        <v>3111</v>
      </c>
      <c r="K1141" s="185" t="s">
        <v>1541</v>
      </c>
    </row>
    <row r="1142" spans="1:11" x14ac:dyDescent="0.3">
      <c r="A1142" s="179" t="s">
        <v>390</v>
      </c>
      <c r="B1142" s="180" t="s">
        <v>3297</v>
      </c>
      <c r="C1142" s="180" t="s">
        <v>3125</v>
      </c>
      <c r="D1142" s="180" t="s">
        <v>3126</v>
      </c>
      <c r="E1142" s="181">
        <v>45999</v>
      </c>
      <c r="F1142" s="180" t="s">
        <v>372</v>
      </c>
      <c r="G1142" s="180" t="s">
        <v>10</v>
      </c>
      <c r="H1142" s="182">
        <v>3540</v>
      </c>
      <c r="I1142" s="183">
        <v>0.25900000000000001</v>
      </c>
      <c r="J1142" s="184" t="s">
        <v>831</v>
      </c>
      <c r="K1142" s="185" t="s">
        <v>1542</v>
      </c>
    </row>
    <row r="1143" spans="1:11" x14ac:dyDescent="0.3">
      <c r="A1143" s="179" t="s">
        <v>390</v>
      </c>
      <c r="B1143" s="180" t="s">
        <v>3297</v>
      </c>
      <c r="C1143" s="180" t="s">
        <v>3127</v>
      </c>
      <c r="D1143" s="180" t="s">
        <v>3128</v>
      </c>
      <c r="E1143" s="181">
        <v>45999</v>
      </c>
      <c r="F1143" s="180" t="s">
        <v>372</v>
      </c>
      <c r="G1143" s="180" t="s">
        <v>10</v>
      </c>
      <c r="H1143" s="182">
        <v>3540</v>
      </c>
      <c r="I1143" s="183">
        <v>0.25900000000000001</v>
      </c>
      <c r="J1143" s="184" t="s">
        <v>831</v>
      </c>
      <c r="K1143" s="185" t="s">
        <v>1542</v>
      </c>
    </row>
    <row r="1144" spans="1:11" x14ac:dyDescent="0.3">
      <c r="A1144" s="179" t="s">
        <v>390</v>
      </c>
      <c r="B1144" s="180" t="s">
        <v>3297</v>
      </c>
      <c r="C1144" s="180" t="s">
        <v>3129</v>
      </c>
      <c r="D1144" s="180" t="s">
        <v>3130</v>
      </c>
      <c r="E1144" s="181">
        <v>46000</v>
      </c>
      <c r="F1144" s="180" t="s">
        <v>372</v>
      </c>
      <c r="G1144" s="180" t="s">
        <v>10</v>
      </c>
      <c r="H1144" s="182">
        <v>10087.379999999999</v>
      </c>
      <c r="I1144" s="183">
        <v>0.27100000000000002</v>
      </c>
      <c r="J1144" s="184" t="s">
        <v>831</v>
      </c>
      <c r="K1144" s="185" t="s">
        <v>1541</v>
      </c>
    </row>
    <row r="1145" spans="1:11" x14ac:dyDescent="0.3">
      <c r="A1145" s="179" t="s">
        <v>390</v>
      </c>
      <c r="B1145" s="180" t="s">
        <v>3297</v>
      </c>
      <c r="C1145" s="180" t="s">
        <v>3131</v>
      </c>
      <c r="D1145" s="180" t="s">
        <v>3132</v>
      </c>
      <c r="E1145" s="181">
        <v>46000</v>
      </c>
      <c r="F1145" s="180" t="s">
        <v>371</v>
      </c>
      <c r="G1145" s="180" t="s">
        <v>864</v>
      </c>
      <c r="H1145" s="182">
        <v>17490.11</v>
      </c>
      <c r="I1145" s="183">
        <v>0.20399999999999999</v>
      </c>
      <c r="J1145" s="184" t="s">
        <v>3111</v>
      </c>
      <c r="K1145" s="185" t="s">
        <v>1541</v>
      </c>
    </row>
    <row r="1146" spans="1:11" hidden="1" x14ac:dyDescent="0.3">
      <c r="A1146" s="179" t="s">
        <v>392</v>
      </c>
      <c r="B1146" s="180" t="s">
        <v>3297</v>
      </c>
      <c r="C1146" s="180" t="s">
        <v>3133</v>
      </c>
      <c r="D1146" s="180" t="s">
        <v>3134</v>
      </c>
      <c r="E1146" s="181">
        <v>46001</v>
      </c>
      <c r="F1146" s="180" t="s">
        <v>370</v>
      </c>
      <c r="G1146" s="180" t="s">
        <v>63</v>
      </c>
      <c r="H1146" s="182">
        <v>4500</v>
      </c>
      <c r="I1146" s="183">
        <v>0.6</v>
      </c>
      <c r="J1146" s="184" t="s">
        <v>2894</v>
      </c>
      <c r="K1146" s="185" t="s">
        <v>1540</v>
      </c>
    </row>
    <row r="1147" spans="1:11" x14ac:dyDescent="0.3">
      <c r="A1147" s="179" t="s">
        <v>390</v>
      </c>
      <c r="B1147" s="180" t="s">
        <v>3297</v>
      </c>
      <c r="C1147" s="180" t="s">
        <v>3135</v>
      </c>
      <c r="D1147" s="180" t="s">
        <v>3136</v>
      </c>
      <c r="E1147" s="181">
        <v>46001</v>
      </c>
      <c r="F1147" s="180" t="s">
        <v>370</v>
      </c>
      <c r="G1147" s="180" t="s">
        <v>63</v>
      </c>
      <c r="H1147" s="182">
        <v>9504.75</v>
      </c>
      <c r="I1147" s="183">
        <v>0.48799999999999999</v>
      </c>
      <c r="J1147" s="184" t="s">
        <v>2894</v>
      </c>
      <c r="K1147" s="185" t="s">
        <v>1541</v>
      </c>
    </row>
    <row r="1148" spans="1:11" x14ac:dyDescent="0.3">
      <c r="A1148" s="179" t="s">
        <v>390</v>
      </c>
      <c r="B1148" s="180" t="s">
        <v>3297</v>
      </c>
      <c r="C1148" s="180" t="s">
        <v>3137</v>
      </c>
      <c r="D1148" s="180" t="s">
        <v>3138</v>
      </c>
      <c r="E1148" s="181">
        <v>46001</v>
      </c>
      <c r="F1148" s="180" t="s">
        <v>370</v>
      </c>
      <c r="G1148" s="180" t="s">
        <v>63</v>
      </c>
      <c r="H1148" s="182">
        <v>9254</v>
      </c>
      <c r="I1148" s="183">
        <v>0.47599999999999998</v>
      </c>
      <c r="J1148" s="184" t="s">
        <v>1977</v>
      </c>
      <c r="K1148" s="185" t="s">
        <v>1541</v>
      </c>
    </row>
    <row r="1149" spans="1:11" hidden="1" x14ac:dyDescent="0.3">
      <c r="A1149" s="179" t="s">
        <v>392</v>
      </c>
      <c r="B1149" s="180" t="s">
        <v>3297</v>
      </c>
      <c r="C1149" s="180" t="s">
        <v>3139</v>
      </c>
      <c r="D1149" s="180" t="s">
        <v>3140</v>
      </c>
      <c r="E1149" s="181">
        <v>46001</v>
      </c>
      <c r="F1149" s="180" t="s">
        <v>370</v>
      </c>
      <c r="G1149" s="180" t="s">
        <v>63</v>
      </c>
      <c r="H1149" s="182">
        <v>4200</v>
      </c>
      <c r="I1149" s="183">
        <v>0.61899999999999999</v>
      </c>
      <c r="J1149" s="184" t="s">
        <v>1977</v>
      </c>
      <c r="K1149" s="185" t="s">
        <v>1540</v>
      </c>
    </row>
    <row r="1150" spans="1:11" hidden="1" x14ac:dyDescent="0.3">
      <c r="A1150" s="179" t="s">
        <v>392</v>
      </c>
      <c r="B1150" s="180" t="s">
        <v>3297</v>
      </c>
      <c r="C1150" s="180" t="s">
        <v>3141</v>
      </c>
      <c r="D1150" s="180" t="s">
        <v>3142</v>
      </c>
      <c r="E1150" s="181">
        <v>46001</v>
      </c>
      <c r="F1150" s="180" t="s">
        <v>370</v>
      </c>
      <c r="G1150" s="180" t="s">
        <v>63</v>
      </c>
      <c r="H1150" s="182">
        <v>4200</v>
      </c>
      <c r="I1150" s="183">
        <v>0.61899999999999999</v>
      </c>
      <c r="J1150" s="184" t="s">
        <v>1977</v>
      </c>
      <c r="K1150" s="185" t="s">
        <v>1540</v>
      </c>
    </row>
    <row r="1151" spans="1:11" hidden="1" x14ac:dyDescent="0.3">
      <c r="A1151" s="179" t="s">
        <v>392</v>
      </c>
      <c r="B1151" s="180" t="s">
        <v>3297</v>
      </c>
      <c r="C1151" s="180" t="s">
        <v>3143</v>
      </c>
      <c r="D1151" s="180" t="s">
        <v>3144</v>
      </c>
      <c r="E1151" s="181">
        <v>46001</v>
      </c>
      <c r="F1151" s="180" t="s">
        <v>372</v>
      </c>
      <c r="G1151" s="180" t="s">
        <v>10</v>
      </c>
      <c r="H1151" s="182">
        <v>42000</v>
      </c>
      <c r="I1151" s="183">
        <v>0.34300000000000003</v>
      </c>
      <c r="J1151" s="184" t="s">
        <v>2894</v>
      </c>
      <c r="K1151" s="185" t="s">
        <v>1540</v>
      </c>
    </row>
    <row r="1152" spans="1:11" hidden="1" x14ac:dyDescent="0.3">
      <c r="A1152" s="179" t="s">
        <v>392</v>
      </c>
      <c r="B1152" s="180" t="s">
        <v>3297</v>
      </c>
      <c r="C1152" s="180" t="s">
        <v>3145</v>
      </c>
      <c r="D1152" s="180" t="s">
        <v>3146</v>
      </c>
      <c r="E1152" s="181">
        <v>46001</v>
      </c>
      <c r="F1152" s="180" t="s">
        <v>372</v>
      </c>
      <c r="G1152" s="180" t="s">
        <v>10</v>
      </c>
      <c r="H1152" s="182">
        <v>42000</v>
      </c>
      <c r="I1152" s="183">
        <v>0.41</v>
      </c>
      <c r="J1152" s="184" t="s">
        <v>2894</v>
      </c>
      <c r="K1152" s="185" t="s">
        <v>1540</v>
      </c>
    </row>
    <row r="1153" spans="1:11" hidden="1" x14ac:dyDescent="0.3">
      <c r="A1153" s="179" t="s">
        <v>392</v>
      </c>
      <c r="B1153" s="180" t="s">
        <v>3297</v>
      </c>
      <c r="C1153" s="180" t="s">
        <v>3147</v>
      </c>
      <c r="D1153" s="180" t="s">
        <v>3148</v>
      </c>
      <c r="E1153" s="181">
        <v>46002</v>
      </c>
      <c r="F1153" s="180" t="s">
        <v>842</v>
      </c>
      <c r="G1153" s="180" t="s">
        <v>843</v>
      </c>
      <c r="H1153" s="182">
        <v>22000</v>
      </c>
      <c r="I1153" s="183">
        <v>0.46100000000000002</v>
      </c>
      <c r="J1153" s="184" t="s">
        <v>1977</v>
      </c>
      <c r="K1153" s="185" t="s">
        <v>1540</v>
      </c>
    </row>
    <row r="1154" spans="1:11" hidden="1" x14ac:dyDescent="0.3">
      <c r="A1154" s="179" t="s">
        <v>392</v>
      </c>
      <c r="B1154" s="180" t="s">
        <v>3297</v>
      </c>
      <c r="C1154" s="180" t="s">
        <v>3149</v>
      </c>
      <c r="D1154" s="180" t="s">
        <v>3150</v>
      </c>
      <c r="E1154" s="181">
        <v>46003</v>
      </c>
      <c r="F1154" s="180" t="s">
        <v>370</v>
      </c>
      <c r="G1154" s="180" t="s">
        <v>63</v>
      </c>
      <c r="H1154" s="182">
        <v>4200</v>
      </c>
      <c r="I1154" s="183">
        <v>0.61899999999999999</v>
      </c>
      <c r="J1154" s="184" t="s">
        <v>1977</v>
      </c>
      <c r="K1154" s="185" t="s">
        <v>1540</v>
      </c>
    </row>
    <row r="1155" spans="1:11" hidden="1" x14ac:dyDescent="0.3">
      <c r="A1155" s="179" t="s">
        <v>392</v>
      </c>
      <c r="B1155" s="180" t="s">
        <v>3297</v>
      </c>
      <c r="C1155" s="180" t="s">
        <v>3151</v>
      </c>
      <c r="D1155" s="180" t="s">
        <v>3152</v>
      </c>
      <c r="E1155" s="181">
        <v>46006</v>
      </c>
      <c r="F1155" s="180" t="s">
        <v>372</v>
      </c>
      <c r="G1155" s="180" t="s">
        <v>10</v>
      </c>
      <c r="H1155" s="182">
        <v>7200</v>
      </c>
      <c r="I1155" s="183">
        <v>0.58599999999999997</v>
      </c>
      <c r="J1155" s="184" t="s">
        <v>3298</v>
      </c>
      <c r="K1155" s="185" t="s">
        <v>1540</v>
      </c>
    </row>
    <row r="1156" spans="1:11" x14ac:dyDescent="0.3">
      <c r="A1156" s="179" t="s">
        <v>390</v>
      </c>
      <c r="B1156" s="180" t="s">
        <v>3297</v>
      </c>
      <c r="C1156" s="180" t="s">
        <v>3153</v>
      </c>
      <c r="D1156" s="180" t="s">
        <v>3154</v>
      </c>
      <c r="E1156" s="181">
        <v>46006</v>
      </c>
      <c r="F1156" s="180" t="s">
        <v>370</v>
      </c>
      <c r="G1156" s="180" t="s">
        <v>63</v>
      </c>
      <c r="H1156" s="182">
        <v>10000</v>
      </c>
      <c r="I1156" s="183">
        <v>0.44600000000000001</v>
      </c>
      <c r="J1156" s="184" t="s">
        <v>1977</v>
      </c>
      <c r="K1156" s="185" t="s">
        <v>1541</v>
      </c>
    </row>
    <row r="1157" spans="1:11" hidden="1" x14ac:dyDescent="0.3">
      <c r="A1157" s="179" t="s">
        <v>392</v>
      </c>
      <c r="B1157" s="180" t="s">
        <v>3297</v>
      </c>
      <c r="C1157" s="180" t="s">
        <v>3155</v>
      </c>
      <c r="D1157" s="180" t="s">
        <v>3156</v>
      </c>
      <c r="E1157" s="181">
        <v>46006</v>
      </c>
      <c r="F1157" s="180" t="s">
        <v>370</v>
      </c>
      <c r="G1157" s="180" t="s">
        <v>63</v>
      </c>
      <c r="H1157" s="182">
        <v>4200</v>
      </c>
      <c r="I1157" s="183">
        <v>0.61899999999999999</v>
      </c>
      <c r="J1157" s="184" t="s">
        <v>1977</v>
      </c>
      <c r="K1157" s="185" t="s">
        <v>1540</v>
      </c>
    </row>
    <row r="1158" spans="1:11" hidden="1" x14ac:dyDescent="0.3">
      <c r="A1158" s="179" t="s">
        <v>392</v>
      </c>
      <c r="B1158" s="180" t="s">
        <v>3297</v>
      </c>
      <c r="C1158" s="180" t="s">
        <v>3157</v>
      </c>
      <c r="D1158" s="180" t="s">
        <v>3158</v>
      </c>
      <c r="E1158" s="181">
        <v>46006</v>
      </c>
      <c r="F1158" s="180" t="s">
        <v>370</v>
      </c>
      <c r="G1158" s="180" t="s">
        <v>63</v>
      </c>
      <c r="H1158" s="182">
        <v>4200</v>
      </c>
      <c r="I1158" s="183">
        <v>0.61899999999999999</v>
      </c>
      <c r="J1158" s="184" t="s">
        <v>1977</v>
      </c>
      <c r="K1158" s="185" t="s">
        <v>1540</v>
      </c>
    </row>
    <row r="1159" spans="1:11" hidden="1" x14ac:dyDescent="0.3">
      <c r="A1159" s="179" t="s">
        <v>392</v>
      </c>
      <c r="B1159" s="180" t="s">
        <v>3297</v>
      </c>
      <c r="C1159" s="180" t="s">
        <v>3159</v>
      </c>
      <c r="D1159" s="180" t="s">
        <v>3160</v>
      </c>
      <c r="E1159" s="181">
        <v>46006</v>
      </c>
      <c r="F1159" s="180" t="s">
        <v>370</v>
      </c>
      <c r="G1159" s="180" t="s">
        <v>63</v>
      </c>
      <c r="H1159" s="182">
        <v>4200</v>
      </c>
      <c r="I1159" s="183">
        <v>0.61899999999999999</v>
      </c>
      <c r="J1159" s="184" t="s">
        <v>1977</v>
      </c>
      <c r="K1159" s="185" t="s">
        <v>1540</v>
      </c>
    </row>
    <row r="1160" spans="1:11" hidden="1" x14ac:dyDescent="0.3">
      <c r="A1160" s="179" t="s">
        <v>392</v>
      </c>
      <c r="B1160" s="180" t="s">
        <v>3297</v>
      </c>
      <c r="C1160" s="180" t="s">
        <v>3161</v>
      </c>
      <c r="D1160" s="180" t="s">
        <v>3162</v>
      </c>
      <c r="E1160" s="181">
        <v>46007</v>
      </c>
      <c r="F1160" s="180" t="s">
        <v>844</v>
      </c>
      <c r="G1160" s="180" t="s">
        <v>863</v>
      </c>
      <c r="H1160" s="182">
        <v>21000</v>
      </c>
      <c r="I1160" s="183">
        <v>0.27100000000000002</v>
      </c>
      <c r="J1160" s="184" t="s">
        <v>1977</v>
      </c>
      <c r="K1160" s="185" t="s">
        <v>1540</v>
      </c>
    </row>
    <row r="1161" spans="1:11" hidden="1" x14ac:dyDescent="0.3">
      <c r="A1161" s="179" t="s">
        <v>392</v>
      </c>
      <c r="B1161" s="180" t="s">
        <v>3297</v>
      </c>
      <c r="C1161" s="180" t="s">
        <v>3163</v>
      </c>
      <c r="D1161" s="180" t="s">
        <v>3164</v>
      </c>
      <c r="E1161" s="181">
        <v>46007</v>
      </c>
      <c r="F1161" s="180" t="s">
        <v>842</v>
      </c>
      <c r="G1161" s="180" t="s">
        <v>843</v>
      </c>
      <c r="H1161" s="182">
        <v>22000</v>
      </c>
      <c r="I1161" s="183">
        <v>0.46200000000000002</v>
      </c>
      <c r="J1161" s="184" t="s">
        <v>1977</v>
      </c>
      <c r="K1161" s="185" t="s">
        <v>1540</v>
      </c>
    </row>
    <row r="1162" spans="1:11" hidden="1" x14ac:dyDescent="0.3">
      <c r="A1162" s="179" t="s">
        <v>392</v>
      </c>
      <c r="B1162" s="180" t="s">
        <v>3297</v>
      </c>
      <c r="C1162" s="180" t="s">
        <v>3165</v>
      </c>
      <c r="D1162" s="180" t="s">
        <v>3166</v>
      </c>
      <c r="E1162" s="181">
        <v>46007</v>
      </c>
      <c r="F1162" s="180" t="s">
        <v>371</v>
      </c>
      <c r="G1162" s="180" t="s">
        <v>864</v>
      </c>
      <c r="H1162" s="182">
        <v>22200</v>
      </c>
      <c r="I1162" s="183">
        <v>0.69399999999999995</v>
      </c>
      <c r="J1162" s="184" t="s">
        <v>3111</v>
      </c>
      <c r="K1162" s="185" t="s">
        <v>1540</v>
      </c>
    </row>
    <row r="1163" spans="1:11" hidden="1" x14ac:dyDescent="0.3">
      <c r="A1163" s="179" t="s">
        <v>392</v>
      </c>
      <c r="B1163" s="180" t="s">
        <v>3297</v>
      </c>
      <c r="C1163" s="180" t="s">
        <v>3167</v>
      </c>
      <c r="D1163" s="180" t="s">
        <v>3168</v>
      </c>
      <c r="E1163" s="181">
        <v>46007</v>
      </c>
      <c r="F1163" s="180" t="s">
        <v>370</v>
      </c>
      <c r="G1163" s="180" t="s">
        <v>63</v>
      </c>
      <c r="H1163" s="182">
        <v>18500</v>
      </c>
      <c r="I1163" s="183">
        <v>0.52400000000000002</v>
      </c>
      <c r="J1163" s="184" t="s">
        <v>1977</v>
      </c>
      <c r="K1163" s="185" t="s">
        <v>1540</v>
      </c>
    </row>
    <row r="1164" spans="1:11" x14ac:dyDescent="0.3">
      <c r="A1164" s="179" t="s">
        <v>390</v>
      </c>
      <c r="B1164" s="180" t="s">
        <v>3297</v>
      </c>
      <c r="C1164" s="180" t="s">
        <v>3169</v>
      </c>
      <c r="D1164" s="180" t="s">
        <v>3170</v>
      </c>
      <c r="E1164" s="181">
        <v>46007</v>
      </c>
      <c r="F1164" s="180" t="s">
        <v>375</v>
      </c>
      <c r="G1164" s="180" t="s">
        <v>2303</v>
      </c>
      <c r="H1164" s="182">
        <v>11541.849999999999</v>
      </c>
      <c r="I1164" s="183">
        <v>0.41099999999999998</v>
      </c>
      <c r="J1164" s="184" t="s">
        <v>831</v>
      </c>
      <c r="K1164" s="185" t="s">
        <v>1541</v>
      </c>
    </row>
    <row r="1165" spans="1:11" x14ac:dyDescent="0.3">
      <c r="A1165" s="179" t="s">
        <v>390</v>
      </c>
      <c r="B1165" s="180" t="s">
        <v>3297</v>
      </c>
      <c r="C1165" s="180" t="s">
        <v>3171</v>
      </c>
      <c r="D1165" s="180" t="s">
        <v>3172</v>
      </c>
      <c r="E1165" s="181">
        <v>46008</v>
      </c>
      <c r="F1165" s="180" t="s">
        <v>372</v>
      </c>
      <c r="G1165" s="180" t="s">
        <v>10</v>
      </c>
      <c r="H1165" s="182">
        <v>31571.54</v>
      </c>
      <c r="I1165" s="183">
        <v>0.21</v>
      </c>
      <c r="J1165" s="184" t="s">
        <v>831</v>
      </c>
      <c r="K1165" s="185" t="s">
        <v>1541</v>
      </c>
    </row>
    <row r="1166" spans="1:11" x14ac:dyDescent="0.3">
      <c r="A1166" s="179" t="s">
        <v>390</v>
      </c>
      <c r="B1166" s="180" t="s">
        <v>3297</v>
      </c>
      <c r="C1166" s="180" t="s">
        <v>3173</v>
      </c>
      <c r="D1166" s="180" t="s">
        <v>3174</v>
      </c>
      <c r="E1166" s="181">
        <v>46008</v>
      </c>
      <c r="F1166" s="180" t="s">
        <v>372</v>
      </c>
      <c r="G1166" s="180" t="s">
        <v>10</v>
      </c>
      <c r="H1166" s="182">
        <v>73254.009999999995</v>
      </c>
      <c r="I1166" s="183">
        <v>0.20200000000000001</v>
      </c>
      <c r="J1166" s="184" t="s">
        <v>831</v>
      </c>
      <c r="K1166" s="185" t="s">
        <v>1542</v>
      </c>
    </row>
    <row r="1167" spans="1:11" hidden="1" x14ac:dyDescent="0.3">
      <c r="A1167" s="179" t="s">
        <v>392</v>
      </c>
      <c r="B1167" s="180" t="s">
        <v>3297</v>
      </c>
      <c r="C1167" s="180" t="s">
        <v>3175</v>
      </c>
      <c r="D1167" s="180" t="s">
        <v>3176</v>
      </c>
      <c r="E1167" s="181">
        <v>46008</v>
      </c>
      <c r="F1167" s="180" t="s">
        <v>372</v>
      </c>
      <c r="G1167" s="180" t="s">
        <v>10</v>
      </c>
      <c r="H1167" s="182">
        <v>42000</v>
      </c>
      <c r="I1167" s="183">
        <v>0.41</v>
      </c>
      <c r="J1167" s="184" t="s">
        <v>2894</v>
      </c>
      <c r="K1167" s="185" t="s">
        <v>1540</v>
      </c>
    </row>
    <row r="1168" spans="1:11" hidden="1" x14ac:dyDescent="0.3">
      <c r="A1168" s="179" t="s">
        <v>392</v>
      </c>
      <c r="B1168" s="180" t="s">
        <v>3297</v>
      </c>
      <c r="C1168" s="180" t="s">
        <v>3177</v>
      </c>
      <c r="D1168" s="180" t="s">
        <v>3178</v>
      </c>
      <c r="E1168" s="181">
        <v>46008</v>
      </c>
      <c r="F1168" s="180" t="s">
        <v>370</v>
      </c>
      <c r="G1168" s="180" t="s">
        <v>63</v>
      </c>
      <c r="H1168" s="182">
        <v>4200</v>
      </c>
      <c r="I1168" s="183">
        <v>0.61899999999999999</v>
      </c>
      <c r="J1168" s="184" t="s">
        <v>1977</v>
      </c>
      <c r="K1168" s="185" t="s">
        <v>1540</v>
      </c>
    </row>
    <row r="1169" spans="1:11" hidden="1" x14ac:dyDescent="0.3">
      <c r="A1169" s="179" t="s">
        <v>392</v>
      </c>
      <c r="B1169" s="180" t="s">
        <v>3297</v>
      </c>
      <c r="C1169" s="180" t="s">
        <v>3179</v>
      </c>
      <c r="D1169" s="180" t="s">
        <v>3180</v>
      </c>
      <c r="E1169" s="181">
        <v>46008</v>
      </c>
      <c r="F1169" s="180" t="s">
        <v>370</v>
      </c>
      <c r="G1169" s="180" t="s">
        <v>63</v>
      </c>
      <c r="H1169" s="182">
        <v>4200</v>
      </c>
      <c r="I1169" s="183">
        <v>0.61899999999999999</v>
      </c>
      <c r="J1169" s="184" t="s">
        <v>1977</v>
      </c>
      <c r="K1169" s="185" t="s">
        <v>1540</v>
      </c>
    </row>
    <row r="1170" spans="1:11" hidden="1" x14ac:dyDescent="0.3">
      <c r="A1170" s="179" t="s">
        <v>392</v>
      </c>
      <c r="B1170" s="180" t="s">
        <v>3297</v>
      </c>
      <c r="C1170" s="180" t="s">
        <v>3181</v>
      </c>
      <c r="D1170" s="180" t="s">
        <v>3182</v>
      </c>
      <c r="E1170" s="181">
        <v>46008</v>
      </c>
      <c r="F1170" s="180" t="s">
        <v>370</v>
      </c>
      <c r="G1170" s="180" t="s">
        <v>63</v>
      </c>
      <c r="H1170" s="182">
        <v>4200</v>
      </c>
      <c r="I1170" s="183">
        <v>0.61899999999999999</v>
      </c>
      <c r="J1170" s="184" t="s">
        <v>1977</v>
      </c>
      <c r="K1170" s="185" t="s">
        <v>1540</v>
      </c>
    </row>
    <row r="1171" spans="1:11" x14ac:dyDescent="0.3">
      <c r="A1171" s="179" t="s">
        <v>390</v>
      </c>
      <c r="B1171" s="180" t="s">
        <v>3297</v>
      </c>
      <c r="C1171" s="180" t="s">
        <v>3183</v>
      </c>
      <c r="D1171" s="180" t="s">
        <v>3184</v>
      </c>
      <c r="E1171" s="181">
        <v>46008</v>
      </c>
      <c r="F1171" s="180" t="s">
        <v>371</v>
      </c>
      <c r="G1171" s="180" t="s">
        <v>864</v>
      </c>
      <c r="H1171" s="182">
        <v>23181.32</v>
      </c>
      <c r="I1171" s="183">
        <v>0.17199999999999999</v>
      </c>
      <c r="J1171" s="184" t="s">
        <v>3111</v>
      </c>
      <c r="K1171" s="185" t="s">
        <v>1541</v>
      </c>
    </row>
    <row r="1172" spans="1:11" x14ac:dyDescent="0.3">
      <c r="A1172" s="179" t="s">
        <v>390</v>
      </c>
      <c r="B1172" s="180" t="s">
        <v>3297</v>
      </c>
      <c r="C1172" s="180" t="s">
        <v>3185</v>
      </c>
      <c r="D1172" s="180" t="s">
        <v>3186</v>
      </c>
      <c r="E1172" s="181">
        <v>46008</v>
      </c>
      <c r="F1172" s="180" t="s">
        <v>371</v>
      </c>
      <c r="G1172" s="180" t="s">
        <v>864</v>
      </c>
      <c r="H1172" s="182">
        <v>24123.82</v>
      </c>
      <c r="I1172" s="183">
        <v>0.187</v>
      </c>
      <c r="J1172" s="184" t="s">
        <v>3111</v>
      </c>
      <c r="K1172" s="185" t="s">
        <v>1541</v>
      </c>
    </row>
    <row r="1173" spans="1:11" x14ac:dyDescent="0.3">
      <c r="A1173" s="179" t="s">
        <v>390</v>
      </c>
      <c r="B1173" s="180" t="s">
        <v>3297</v>
      </c>
      <c r="C1173" s="180" t="s">
        <v>3187</v>
      </c>
      <c r="D1173" s="180" t="s">
        <v>3188</v>
      </c>
      <c r="E1173" s="181">
        <v>46008</v>
      </c>
      <c r="F1173" s="180" t="s">
        <v>371</v>
      </c>
      <c r="G1173" s="180" t="s">
        <v>864</v>
      </c>
      <c r="H1173" s="182">
        <v>34062.75</v>
      </c>
      <c r="I1173" s="183">
        <v>0.17</v>
      </c>
      <c r="J1173" s="184" t="s">
        <v>3111</v>
      </c>
      <c r="K1173" s="185" t="s">
        <v>1541</v>
      </c>
    </row>
    <row r="1174" spans="1:11" x14ac:dyDescent="0.3">
      <c r="A1174" s="179" t="s">
        <v>390</v>
      </c>
      <c r="B1174" s="180" t="s">
        <v>3297</v>
      </c>
      <c r="C1174" s="180" t="s">
        <v>3189</v>
      </c>
      <c r="D1174" s="180" t="s">
        <v>3190</v>
      </c>
      <c r="E1174" s="181">
        <v>46008</v>
      </c>
      <c r="F1174" s="180" t="s">
        <v>371</v>
      </c>
      <c r="G1174" s="180" t="s">
        <v>864</v>
      </c>
      <c r="H1174" s="182">
        <v>20627.97</v>
      </c>
      <c r="I1174" s="183">
        <v>0.19600000000000001</v>
      </c>
      <c r="J1174" s="184" t="s">
        <v>3111</v>
      </c>
      <c r="K1174" s="185" t="s">
        <v>1541</v>
      </c>
    </row>
    <row r="1175" spans="1:11" x14ac:dyDescent="0.3">
      <c r="A1175" s="179" t="s">
        <v>390</v>
      </c>
      <c r="B1175" s="180" t="s">
        <v>3297</v>
      </c>
      <c r="C1175" s="180" t="s">
        <v>3191</v>
      </c>
      <c r="D1175" s="180" t="s">
        <v>3192</v>
      </c>
      <c r="E1175" s="181">
        <v>46008</v>
      </c>
      <c r="F1175" s="180" t="s">
        <v>370</v>
      </c>
      <c r="G1175" s="180" t="s">
        <v>63</v>
      </c>
      <c r="H1175" s="182">
        <v>7382</v>
      </c>
      <c r="I1175" s="183">
        <v>0.55300000000000005</v>
      </c>
      <c r="J1175" s="184" t="s">
        <v>1977</v>
      </c>
      <c r="K1175" s="185" t="s">
        <v>1541</v>
      </c>
    </row>
    <row r="1176" spans="1:11" x14ac:dyDescent="0.3">
      <c r="A1176" s="179" t="s">
        <v>390</v>
      </c>
      <c r="B1176" s="180" t="s">
        <v>3297</v>
      </c>
      <c r="C1176" s="180" t="s">
        <v>3193</v>
      </c>
      <c r="D1176" s="180" t="s">
        <v>3194</v>
      </c>
      <c r="E1176" s="181">
        <v>46008</v>
      </c>
      <c r="F1176" s="180" t="s">
        <v>370</v>
      </c>
      <c r="G1176" s="180" t="s">
        <v>63</v>
      </c>
      <c r="H1176" s="182">
        <v>7981</v>
      </c>
      <c r="I1176" s="183">
        <v>0.53100000000000003</v>
      </c>
      <c r="J1176" s="184" t="s">
        <v>1977</v>
      </c>
      <c r="K1176" s="185" t="s">
        <v>1541</v>
      </c>
    </row>
    <row r="1177" spans="1:11" x14ac:dyDescent="0.3">
      <c r="A1177" s="179" t="s">
        <v>390</v>
      </c>
      <c r="B1177" s="180" t="s">
        <v>3297</v>
      </c>
      <c r="C1177" s="180" t="s">
        <v>3195</v>
      </c>
      <c r="D1177" s="180" t="s">
        <v>3196</v>
      </c>
      <c r="E1177" s="181">
        <v>46008</v>
      </c>
      <c r="F1177" s="180" t="s">
        <v>372</v>
      </c>
      <c r="G1177" s="180" t="s">
        <v>10</v>
      </c>
      <c r="H1177" s="182">
        <v>116383.17</v>
      </c>
      <c r="I1177" s="183">
        <v>0.157</v>
      </c>
      <c r="J1177" s="184" t="s">
        <v>831</v>
      </c>
      <c r="K1177" s="185" t="s">
        <v>1542</v>
      </c>
    </row>
    <row r="1178" spans="1:11" x14ac:dyDescent="0.3">
      <c r="A1178" s="179" t="s">
        <v>390</v>
      </c>
      <c r="B1178" s="180" t="s">
        <v>3297</v>
      </c>
      <c r="C1178" s="180" t="s">
        <v>3197</v>
      </c>
      <c r="D1178" s="180" t="s">
        <v>3198</v>
      </c>
      <c r="E1178" s="181">
        <v>46009</v>
      </c>
      <c r="F1178" s="180" t="s">
        <v>370</v>
      </c>
      <c r="G1178" s="180" t="s">
        <v>63</v>
      </c>
      <c r="H1178" s="182">
        <v>10000</v>
      </c>
      <c r="I1178" s="183">
        <v>0.434</v>
      </c>
      <c r="J1178" s="184" t="s">
        <v>1977</v>
      </c>
      <c r="K1178" s="185" t="s">
        <v>1541</v>
      </c>
    </row>
    <row r="1179" spans="1:11" x14ac:dyDescent="0.3">
      <c r="A1179" s="179" t="s">
        <v>390</v>
      </c>
      <c r="B1179" s="180" t="s">
        <v>3297</v>
      </c>
      <c r="C1179" s="180" t="s">
        <v>3199</v>
      </c>
      <c r="D1179" s="180" t="s">
        <v>3200</v>
      </c>
      <c r="E1179" s="181">
        <v>46009</v>
      </c>
      <c r="F1179" s="180" t="s">
        <v>371</v>
      </c>
      <c r="G1179" s="180" t="s">
        <v>864</v>
      </c>
      <c r="H1179" s="182">
        <v>18159.36</v>
      </c>
      <c r="I1179" s="183">
        <v>0.41799999999999998</v>
      </c>
      <c r="J1179" s="184" t="s">
        <v>3111</v>
      </c>
      <c r="K1179" s="185" t="s">
        <v>1541</v>
      </c>
    </row>
    <row r="1180" spans="1:11" x14ac:dyDescent="0.3">
      <c r="A1180" s="179" t="s">
        <v>390</v>
      </c>
      <c r="B1180" s="180" t="s">
        <v>3297</v>
      </c>
      <c r="C1180" s="180" t="s">
        <v>3201</v>
      </c>
      <c r="D1180" s="180" t="s">
        <v>3202</v>
      </c>
      <c r="E1180" s="181">
        <v>46009</v>
      </c>
      <c r="F1180" s="180" t="s">
        <v>371</v>
      </c>
      <c r="G1180" s="180" t="s">
        <v>864</v>
      </c>
      <c r="H1180" s="182">
        <v>22296.03</v>
      </c>
      <c r="I1180" s="183">
        <v>0.33900000000000002</v>
      </c>
      <c r="J1180" s="184" t="s">
        <v>3111</v>
      </c>
      <c r="K1180" s="185" t="s">
        <v>1541</v>
      </c>
    </row>
    <row r="1181" spans="1:11" x14ac:dyDescent="0.3">
      <c r="A1181" s="179" t="s">
        <v>390</v>
      </c>
      <c r="B1181" s="180" t="s">
        <v>3297</v>
      </c>
      <c r="C1181" s="180" t="s">
        <v>3203</v>
      </c>
      <c r="D1181" s="180" t="s">
        <v>3204</v>
      </c>
      <c r="E1181" s="181">
        <v>46009</v>
      </c>
      <c r="F1181" s="180" t="s">
        <v>371</v>
      </c>
      <c r="G1181" s="180" t="s">
        <v>864</v>
      </c>
      <c r="H1181" s="182">
        <v>14026.99</v>
      </c>
      <c r="I1181" s="183">
        <v>0.503</v>
      </c>
      <c r="J1181" s="184" t="s">
        <v>3111</v>
      </c>
      <c r="K1181" s="185" t="s">
        <v>1541</v>
      </c>
    </row>
    <row r="1182" spans="1:11" x14ac:dyDescent="0.3">
      <c r="A1182" s="179" t="s">
        <v>390</v>
      </c>
      <c r="B1182" s="180" t="s">
        <v>3297</v>
      </c>
      <c r="C1182" s="180" t="s">
        <v>3205</v>
      </c>
      <c r="D1182" s="180" t="s">
        <v>3206</v>
      </c>
      <c r="E1182" s="181">
        <v>46009</v>
      </c>
      <c r="F1182" s="180" t="s">
        <v>371</v>
      </c>
      <c r="G1182" s="180" t="s">
        <v>864</v>
      </c>
      <c r="H1182" s="182">
        <v>15175.1</v>
      </c>
      <c r="I1182" s="183">
        <v>0.47399999999999998</v>
      </c>
      <c r="J1182" s="184" t="s">
        <v>3111</v>
      </c>
      <c r="K1182" s="185" t="s">
        <v>1541</v>
      </c>
    </row>
    <row r="1183" spans="1:11" x14ac:dyDescent="0.3">
      <c r="A1183" s="179" t="s">
        <v>390</v>
      </c>
      <c r="B1183" s="180" t="s">
        <v>3297</v>
      </c>
      <c r="C1183" s="180" t="s">
        <v>3207</v>
      </c>
      <c r="D1183" s="180" t="s">
        <v>3208</v>
      </c>
      <c r="E1183" s="181">
        <v>46009</v>
      </c>
      <c r="F1183" s="180" t="s">
        <v>371</v>
      </c>
      <c r="G1183" s="180" t="s">
        <v>864</v>
      </c>
      <c r="H1183" s="182">
        <v>15724.310000000001</v>
      </c>
      <c r="I1183" s="183">
        <v>0.502</v>
      </c>
      <c r="J1183" s="184" t="s">
        <v>3111</v>
      </c>
      <c r="K1183" s="185" t="s">
        <v>1541</v>
      </c>
    </row>
    <row r="1184" spans="1:11" x14ac:dyDescent="0.3">
      <c r="A1184" s="179" t="s">
        <v>390</v>
      </c>
      <c r="B1184" s="180" t="s">
        <v>3297</v>
      </c>
      <c r="C1184" s="180" t="s">
        <v>3209</v>
      </c>
      <c r="D1184" s="180" t="s">
        <v>3210</v>
      </c>
      <c r="E1184" s="181">
        <v>46009</v>
      </c>
      <c r="F1184" s="180" t="s">
        <v>371</v>
      </c>
      <c r="G1184" s="180" t="s">
        <v>864</v>
      </c>
      <c r="H1184" s="182">
        <v>14471.81</v>
      </c>
      <c r="I1184" s="183">
        <v>0.49099999999999999</v>
      </c>
      <c r="J1184" s="184" t="s">
        <v>3111</v>
      </c>
      <c r="K1184" s="185" t="s">
        <v>1541</v>
      </c>
    </row>
    <row r="1185" spans="1:11" x14ac:dyDescent="0.3">
      <c r="A1185" s="179" t="s">
        <v>390</v>
      </c>
      <c r="B1185" s="180" t="s">
        <v>3297</v>
      </c>
      <c r="C1185" s="180" t="s">
        <v>3211</v>
      </c>
      <c r="D1185" s="180" t="s">
        <v>3212</v>
      </c>
      <c r="E1185" s="181">
        <v>46010</v>
      </c>
      <c r="F1185" s="180" t="s">
        <v>371</v>
      </c>
      <c r="G1185" s="180" t="s">
        <v>864</v>
      </c>
      <c r="H1185" s="182">
        <v>14026.99</v>
      </c>
      <c r="I1185" s="183">
        <v>0.503</v>
      </c>
      <c r="J1185" s="184" t="s">
        <v>3111</v>
      </c>
      <c r="K1185" s="185" t="s">
        <v>1541</v>
      </c>
    </row>
    <row r="1186" spans="1:11" x14ac:dyDescent="0.3">
      <c r="A1186" s="179" t="s">
        <v>390</v>
      </c>
      <c r="B1186" s="180" t="s">
        <v>3297</v>
      </c>
      <c r="C1186" s="180" t="s">
        <v>3213</v>
      </c>
      <c r="D1186" s="180" t="s">
        <v>3214</v>
      </c>
      <c r="E1186" s="181">
        <v>46013</v>
      </c>
      <c r="F1186" s="180" t="s">
        <v>371</v>
      </c>
      <c r="G1186" s="180" t="s">
        <v>864</v>
      </c>
      <c r="H1186" s="182">
        <v>24091.759999999998</v>
      </c>
      <c r="I1186" s="183">
        <v>0.318</v>
      </c>
      <c r="J1186" s="184" t="s">
        <v>3111</v>
      </c>
      <c r="K1186" s="185" t="s">
        <v>1541</v>
      </c>
    </row>
    <row r="1187" spans="1:11" x14ac:dyDescent="0.3">
      <c r="A1187" s="179" t="s">
        <v>390</v>
      </c>
      <c r="B1187" s="180" t="s">
        <v>3297</v>
      </c>
      <c r="C1187" s="180" t="s">
        <v>3215</v>
      </c>
      <c r="D1187" s="180" t="s">
        <v>3216</v>
      </c>
      <c r="E1187" s="181">
        <v>46013</v>
      </c>
      <c r="F1187" s="180" t="s">
        <v>371</v>
      </c>
      <c r="G1187" s="180" t="s">
        <v>864</v>
      </c>
      <c r="H1187" s="182">
        <v>24136.98</v>
      </c>
      <c r="I1187" s="183">
        <v>0.187</v>
      </c>
      <c r="J1187" s="184" t="s">
        <v>3111</v>
      </c>
      <c r="K1187" s="185" t="s">
        <v>1541</v>
      </c>
    </row>
    <row r="1188" spans="1:11" x14ac:dyDescent="0.3">
      <c r="A1188" s="179" t="s">
        <v>390</v>
      </c>
      <c r="B1188" s="180" t="s">
        <v>3297</v>
      </c>
      <c r="C1188" s="180" t="s">
        <v>3217</v>
      </c>
      <c r="D1188" s="180" t="s">
        <v>3218</v>
      </c>
      <c r="E1188" s="181">
        <v>46013</v>
      </c>
      <c r="F1188" s="180" t="s">
        <v>371</v>
      </c>
      <c r="G1188" s="180" t="s">
        <v>864</v>
      </c>
      <c r="H1188" s="182">
        <v>16525.45</v>
      </c>
      <c r="I1188" s="183">
        <v>0.21299999999999999</v>
      </c>
      <c r="J1188" s="184" t="s">
        <v>3111</v>
      </c>
      <c r="K1188" s="185" t="s">
        <v>1541</v>
      </c>
    </row>
    <row r="1189" spans="1:11" x14ac:dyDescent="0.3">
      <c r="A1189" s="179" t="s">
        <v>390</v>
      </c>
      <c r="B1189" s="180" t="s">
        <v>3297</v>
      </c>
      <c r="C1189" s="180" t="s">
        <v>3219</v>
      </c>
      <c r="D1189" s="180" t="s">
        <v>3220</v>
      </c>
      <c r="E1189" s="181">
        <v>46013</v>
      </c>
      <c r="F1189" s="180" t="s">
        <v>371</v>
      </c>
      <c r="G1189" s="180" t="s">
        <v>864</v>
      </c>
      <c r="H1189" s="182">
        <v>10022.1</v>
      </c>
      <c r="I1189" s="183">
        <v>0.26600000000000001</v>
      </c>
      <c r="J1189" s="184" t="s">
        <v>3111</v>
      </c>
      <c r="K1189" s="185" t="s">
        <v>1541</v>
      </c>
    </row>
    <row r="1190" spans="1:11" hidden="1" x14ac:dyDescent="0.3">
      <c r="A1190" s="179" t="s">
        <v>392</v>
      </c>
      <c r="B1190" s="180" t="s">
        <v>3297</v>
      </c>
      <c r="C1190" s="180" t="s">
        <v>3221</v>
      </c>
      <c r="D1190" s="180" t="s">
        <v>3222</v>
      </c>
      <c r="E1190" s="181">
        <v>46013</v>
      </c>
      <c r="F1190" s="180" t="s">
        <v>370</v>
      </c>
      <c r="G1190" s="180" t="s">
        <v>63</v>
      </c>
      <c r="H1190" s="182">
        <v>4200</v>
      </c>
      <c r="I1190" s="183">
        <v>0.61899999999999999</v>
      </c>
      <c r="J1190" s="184" t="s">
        <v>1977</v>
      </c>
      <c r="K1190" s="185" t="s">
        <v>1540</v>
      </c>
    </row>
    <row r="1191" spans="1:11" hidden="1" x14ac:dyDescent="0.3">
      <c r="A1191" s="179" t="s">
        <v>392</v>
      </c>
      <c r="B1191" s="180" t="s">
        <v>3297</v>
      </c>
      <c r="C1191" s="180" t="s">
        <v>3223</v>
      </c>
      <c r="D1191" s="180" t="s">
        <v>3224</v>
      </c>
      <c r="E1191" s="181">
        <v>46013</v>
      </c>
      <c r="F1191" s="180" t="s">
        <v>370</v>
      </c>
      <c r="G1191" s="180" t="s">
        <v>63</v>
      </c>
      <c r="H1191" s="182">
        <v>4200</v>
      </c>
      <c r="I1191" s="183">
        <v>0.61899999999999999</v>
      </c>
      <c r="J1191" s="184" t="s">
        <v>1977</v>
      </c>
      <c r="K1191" s="185" t="s">
        <v>1540</v>
      </c>
    </row>
    <row r="1192" spans="1:11" x14ac:dyDescent="0.3">
      <c r="A1192" s="179" t="s">
        <v>390</v>
      </c>
      <c r="B1192" s="180" t="s">
        <v>3297</v>
      </c>
      <c r="C1192" s="180" t="s">
        <v>3225</v>
      </c>
      <c r="D1192" s="180" t="s">
        <v>3226</v>
      </c>
      <c r="E1192" s="181">
        <v>46014</v>
      </c>
      <c r="F1192" s="180" t="s">
        <v>371</v>
      </c>
      <c r="G1192" s="180" t="s">
        <v>864</v>
      </c>
      <c r="H1192" s="182">
        <v>53878.83</v>
      </c>
      <c r="I1192" s="183">
        <v>0.156</v>
      </c>
      <c r="J1192" s="184" t="s">
        <v>3111</v>
      </c>
      <c r="K1192" s="185" t="s">
        <v>1541</v>
      </c>
    </row>
    <row r="1193" spans="1:11" hidden="1" x14ac:dyDescent="0.3">
      <c r="A1193" s="179" t="s">
        <v>392</v>
      </c>
      <c r="B1193" s="180" t="s">
        <v>3297</v>
      </c>
      <c r="C1193" s="180" t="s">
        <v>3227</v>
      </c>
      <c r="D1193" s="180" t="s">
        <v>3228</v>
      </c>
      <c r="E1193" s="181">
        <v>46014</v>
      </c>
      <c r="F1193" s="180" t="s">
        <v>842</v>
      </c>
      <c r="G1193" s="180" t="s">
        <v>843</v>
      </c>
      <c r="H1193" s="182">
        <v>22000</v>
      </c>
      <c r="I1193" s="183">
        <v>0.46800000000000003</v>
      </c>
      <c r="J1193" s="184" t="s">
        <v>1977</v>
      </c>
      <c r="K1193" s="185" t="s">
        <v>1540</v>
      </c>
    </row>
    <row r="1194" spans="1:11" hidden="1" x14ac:dyDescent="0.3">
      <c r="A1194" s="179" t="s">
        <v>392</v>
      </c>
      <c r="B1194" s="180" t="s">
        <v>3297</v>
      </c>
      <c r="C1194" s="180" t="s">
        <v>3229</v>
      </c>
      <c r="D1194" s="180" t="s">
        <v>3230</v>
      </c>
      <c r="E1194" s="181">
        <v>46014</v>
      </c>
      <c r="F1194" s="180" t="s">
        <v>371</v>
      </c>
      <c r="G1194" s="180" t="s">
        <v>864</v>
      </c>
      <c r="H1194" s="182">
        <v>7400</v>
      </c>
      <c r="I1194" s="183">
        <v>0.48899999999999999</v>
      </c>
      <c r="J1194" s="184" t="s">
        <v>3111</v>
      </c>
      <c r="K1194" s="185" t="s">
        <v>1540</v>
      </c>
    </row>
    <row r="1195" spans="1:11" hidden="1" x14ac:dyDescent="0.3">
      <c r="A1195" s="179" t="s">
        <v>392</v>
      </c>
      <c r="B1195" s="180" t="s">
        <v>3297</v>
      </c>
      <c r="C1195" s="180" t="s">
        <v>3231</v>
      </c>
      <c r="D1195" s="180" t="s">
        <v>3232</v>
      </c>
      <c r="E1195" s="181">
        <v>46014</v>
      </c>
      <c r="F1195" s="180" t="s">
        <v>371</v>
      </c>
      <c r="G1195" s="180" t="s">
        <v>864</v>
      </c>
      <c r="H1195" s="182">
        <v>7400</v>
      </c>
      <c r="I1195" s="183">
        <v>0.75900000000000001</v>
      </c>
      <c r="J1195" s="184" t="s">
        <v>3111</v>
      </c>
      <c r="K1195" s="185" t="s">
        <v>1540</v>
      </c>
    </row>
    <row r="1196" spans="1:11" x14ac:dyDescent="0.3">
      <c r="A1196" s="179" t="s">
        <v>390</v>
      </c>
      <c r="B1196" s="180" t="s">
        <v>3297</v>
      </c>
      <c r="C1196" s="180" t="s">
        <v>3233</v>
      </c>
      <c r="D1196" s="180" t="s">
        <v>3234</v>
      </c>
      <c r="E1196" s="181">
        <v>46014</v>
      </c>
      <c r="F1196" s="180" t="s">
        <v>371</v>
      </c>
      <c r="G1196" s="180" t="s">
        <v>864</v>
      </c>
      <c r="H1196" s="182">
        <v>20110.64</v>
      </c>
      <c r="I1196" s="183">
        <v>0.19500000000000001</v>
      </c>
      <c r="J1196" s="184" t="s">
        <v>3111</v>
      </c>
      <c r="K1196" s="185" t="s">
        <v>1541</v>
      </c>
    </row>
    <row r="1197" spans="1:11" hidden="1" x14ac:dyDescent="0.3">
      <c r="A1197" s="179" t="s">
        <v>392</v>
      </c>
      <c r="B1197" s="180" t="s">
        <v>3297</v>
      </c>
      <c r="C1197" s="180" t="s">
        <v>3235</v>
      </c>
      <c r="D1197" s="180" t="s">
        <v>3236</v>
      </c>
      <c r="E1197" s="181">
        <v>46017</v>
      </c>
      <c r="F1197" s="180" t="s">
        <v>370</v>
      </c>
      <c r="G1197" s="180" t="s">
        <v>63</v>
      </c>
      <c r="H1197" s="182">
        <v>4200</v>
      </c>
      <c r="I1197" s="183">
        <v>0.61899999999999999</v>
      </c>
      <c r="J1197" s="184" t="s">
        <v>1977</v>
      </c>
      <c r="K1197" s="185" t="s">
        <v>1540</v>
      </c>
    </row>
    <row r="1198" spans="1:11" x14ac:dyDescent="0.3">
      <c r="A1198" s="179" t="s">
        <v>390</v>
      </c>
      <c r="B1198" s="180" t="s">
        <v>3297</v>
      </c>
      <c r="C1198" s="180" t="s">
        <v>3237</v>
      </c>
      <c r="D1198" s="180" t="s">
        <v>3238</v>
      </c>
      <c r="E1198" s="181">
        <v>46017</v>
      </c>
      <c r="F1198" s="180" t="s">
        <v>371</v>
      </c>
      <c r="G1198" s="180" t="s">
        <v>864</v>
      </c>
      <c r="H1198" s="182">
        <v>46463.320000000007</v>
      </c>
      <c r="I1198" s="183">
        <v>0.24199999999999999</v>
      </c>
      <c r="J1198" s="184" t="s">
        <v>3111</v>
      </c>
      <c r="K1198" s="185" t="s">
        <v>1541</v>
      </c>
    </row>
    <row r="1199" spans="1:11" hidden="1" x14ac:dyDescent="0.3">
      <c r="A1199" s="179" t="s">
        <v>392</v>
      </c>
      <c r="B1199" s="180" t="s">
        <v>3297</v>
      </c>
      <c r="C1199" s="180" t="s">
        <v>3239</v>
      </c>
      <c r="D1199" s="180" t="s">
        <v>3240</v>
      </c>
      <c r="E1199" s="181">
        <v>46017</v>
      </c>
      <c r="F1199" s="180" t="s">
        <v>370</v>
      </c>
      <c r="G1199" s="180" t="s">
        <v>63</v>
      </c>
      <c r="H1199" s="182">
        <v>14228</v>
      </c>
      <c r="I1199" s="183">
        <v>0.39400000000000002</v>
      </c>
      <c r="J1199" s="184" t="s">
        <v>1977</v>
      </c>
      <c r="K1199" s="185" t="s">
        <v>1540</v>
      </c>
    </row>
    <row r="1200" spans="1:11" x14ac:dyDescent="0.3">
      <c r="A1200" s="179" t="s">
        <v>390</v>
      </c>
      <c r="B1200" s="180" t="s">
        <v>3297</v>
      </c>
      <c r="C1200" s="180" t="s">
        <v>3241</v>
      </c>
      <c r="D1200" s="180" t="s">
        <v>3242</v>
      </c>
      <c r="E1200" s="181">
        <v>46020</v>
      </c>
      <c r="F1200" s="180" t="s">
        <v>371</v>
      </c>
      <c r="G1200" s="180" t="s">
        <v>864</v>
      </c>
      <c r="H1200" s="182">
        <v>25756.82</v>
      </c>
      <c r="I1200" s="183">
        <v>0.18099999999999999</v>
      </c>
      <c r="J1200" s="184" t="s">
        <v>3111</v>
      </c>
      <c r="K1200" s="185" t="s">
        <v>1541</v>
      </c>
    </row>
    <row r="1201" spans="1:11" hidden="1" x14ac:dyDescent="0.3">
      <c r="A1201" s="179" t="s">
        <v>392</v>
      </c>
      <c r="B1201" s="180" t="s">
        <v>3297</v>
      </c>
      <c r="C1201" s="180" t="s">
        <v>3243</v>
      </c>
      <c r="D1201" s="180" t="s">
        <v>3244</v>
      </c>
      <c r="E1201" s="181">
        <v>46020</v>
      </c>
      <c r="F1201" s="180" t="s">
        <v>371</v>
      </c>
      <c r="G1201" s="180" t="s">
        <v>864</v>
      </c>
      <c r="H1201" s="182">
        <v>92200</v>
      </c>
      <c r="I1201" s="183">
        <v>0.47</v>
      </c>
      <c r="J1201" s="184" t="s">
        <v>3111</v>
      </c>
      <c r="K1201" s="185" t="s">
        <v>1540</v>
      </c>
    </row>
    <row r="1202" spans="1:11" hidden="1" x14ac:dyDescent="0.3">
      <c r="A1202" s="179" t="s">
        <v>392</v>
      </c>
      <c r="B1202" s="180" t="s">
        <v>3297</v>
      </c>
      <c r="C1202" s="180" t="s">
        <v>3245</v>
      </c>
      <c r="D1202" s="180" t="s">
        <v>3246</v>
      </c>
      <c r="E1202" s="181">
        <v>46020</v>
      </c>
      <c r="F1202" s="180" t="s">
        <v>844</v>
      </c>
      <c r="G1202" s="180" t="s">
        <v>863</v>
      </c>
      <c r="H1202" s="182">
        <v>21000</v>
      </c>
      <c r="I1202" s="183">
        <v>0.35499999999999998</v>
      </c>
      <c r="J1202" s="184" t="s">
        <v>831</v>
      </c>
      <c r="K1202" s="185" t="s">
        <v>1540</v>
      </c>
    </row>
    <row r="1203" spans="1:11" hidden="1" x14ac:dyDescent="0.3">
      <c r="A1203" s="179" t="s">
        <v>392</v>
      </c>
      <c r="B1203" s="180" t="s">
        <v>3297</v>
      </c>
      <c r="C1203" s="180" t="s">
        <v>3247</v>
      </c>
      <c r="D1203" s="180" t="s">
        <v>3248</v>
      </c>
      <c r="E1203" s="181">
        <v>46020</v>
      </c>
      <c r="F1203" s="180" t="s">
        <v>371</v>
      </c>
      <c r="G1203" s="180" t="s">
        <v>864</v>
      </c>
      <c r="H1203" s="182">
        <v>83100</v>
      </c>
      <c r="I1203" s="183">
        <v>0.53300000000000003</v>
      </c>
      <c r="J1203" s="184" t="s">
        <v>3111</v>
      </c>
      <c r="K1203" s="185" t="s">
        <v>1540</v>
      </c>
    </row>
    <row r="1204" spans="1:11" x14ac:dyDescent="0.3">
      <c r="A1204" s="179" t="s">
        <v>390</v>
      </c>
      <c r="B1204" s="180" t="s">
        <v>3297</v>
      </c>
      <c r="C1204" s="180" t="s">
        <v>3249</v>
      </c>
      <c r="D1204" s="180" t="s">
        <v>3250</v>
      </c>
      <c r="E1204" s="181">
        <v>46020</v>
      </c>
      <c r="F1204" s="180" t="s">
        <v>371</v>
      </c>
      <c r="G1204" s="180" t="s">
        <v>864</v>
      </c>
      <c r="H1204" s="182">
        <v>390303.42</v>
      </c>
      <c r="I1204" s="183">
        <v>0.22</v>
      </c>
      <c r="J1204" s="184" t="s">
        <v>833</v>
      </c>
      <c r="K1204" s="185" t="s">
        <v>1542</v>
      </c>
    </row>
    <row r="1205" spans="1:11" hidden="1" x14ac:dyDescent="0.3">
      <c r="A1205" s="179" t="s">
        <v>392</v>
      </c>
      <c r="B1205" s="180" t="s">
        <v>3297</v>
      </c>
      <c r="C1205" s="180" t="s">
        <v>3251</v>
      </c>
      <c r="D1205" s="180" t="s">
        <v>3252</v>
      </c>
      <c r="E1205" s="181">
        <v>46020</v>
      </c>
      <c r="F1205" s="180" t="s">
        <v>371</v>
      </c>
      <c r="G1205" s="180" t="s">
        <v>864</v>
      </c>
      <c r="H1205" s="182">
        <v>7400</v>
      </c>
      <c r="I1205" s="183">
        <v>0.41699999999999998</v>
      </c>
      <c r="J1205" s="184" t="s">
        <v>3111</v>
      </c>
      <c r="K1205" s="185" t="s">
        <v>1540</v>
      </c>
    </row>
    <row r="1206" spans="1:11" hidden="1" x14ac:dyDescent="0.3">
      <c r="A1206" s="179" t="s">
        <v>392</v>
      </c>
      <c r="B1206" s="180" t="s">
        <v>3297</v>
      </c>
      <c r="C1206" s="180" t="s">
        <v>3253</v>
      </c>
      <c r="D1206" s="180" t="s">
        <v>3254</v>
      </c>
      <c r="E1206" s="181">
        <v>46020</v>
      </c>
      <c r="F1206" s="180" t="s">
        <v>371</v>
      </c>
      <c r="G1206" s="180" t="s">
        <v>864</v>
      </c>
      <c r="H1206" s="182">
        <v>7400</v>
      </c>
      <c r="I1206" s="183">
        <v>0.75900000000000001</v>
      </c>
      <c r="J1206" s="184" t="s">
        <v>3111</v>
      </c>
      <c r="K1206" s="185" t="s">
        <v>1540</v>
      </c>
    </row>
    <row r="1207" spans="1:11" x14ac:dyDescent="0.3">
      <c r="A1207" s="179" t="s">
        <v>390</v>
      </c>
      <c r="B1207" s="180" t="s">
        <v>3297</v>
      </c>
      <c r="C1207" s="180" t="s">
        <v>3255</v>
      </c>
      <c r="D1207" s="180" t="s">
        <v>3256</v>
      </c>
      <c r="E1207" s="181">
        <v>46021</v>
      </c>
      <c r="F1207" s="180" t="s">
        <v>371</v>
      </c>
      <c r="G1207" s="180" t="s">
        <v>864</v>
      </c>
      <c r="H1207" s="182">
        <v>72021.950000000012</v>
      </c>
      <c r="I1207" s="183">
        <v>0.08</v>
      </c>
      <c r="J1207" s="184" t="s">
        <v>833</v>
      </c>
      <c r="K1207" s="185" t="s">
        <v>1542</v>
      </c>
    </row>
    <row r="1208" spans="1:11" hidden="1" x14ac:dyDescent="0.3">
      <c r="A1208" s="179" t="s">
        <v>392</v>
      </c>
      <c r="B1208" s="180" t="s">
        <v>3297</v>
      </c>
      <c r="C1208" s="180" t="s">
        <v>3257</v>
      </c>
      <c r="D1208" s="180" t="s">
        <v>3258</v>
      </c>
      <c r="E1208" s="181">
        <v>46021</v>
      </c>
      <c r="F1208" s="180" t="s">
        <v>370</v>
      </c>
      <c r="G1208" s="180" t="s">
        <v>63</v>
      </c>
      <c r="H1208" s="182">
        <v>4200</v>
      </c>
      <c r="I1208" s="183">
        <v>0.61899999999999999</v>
      </c>
      <c r="J1208" s="184" t="s">
        <v>1977</v>
      </c>
      <c r="K1208" s="185" t="s">
        <v>1540</v>
      </c>
    </row>
    <row r="1209" spans="1:11" hidden="1" x14ac:dyDescent="0.3">
      <c r="A1209" s="179" t="s">
        <v>392</v>
      </c>
      <c r="B1209" s="180" t="s">
        <v>3297</v>
      </c>
      <c r="C1209" s="180" t="s">
        <v>3259</v>
      </c>
      <c r="D1209" s="180" t="s">
        <v>3260</v>
      </c>
      <c r="E1209" s="181">
        <v>46021</v>
      </c>
      <c r="F1209" s="180" t="s">
        <v>370</v>
      </c>
      <c r="G1209" s="180" t="s">
        <v>63</v>
      </c>
      <c r="H1209" s="182">
        <v>7761.6</v>
      </c>
      <c r="I1209" s="183">
        <v>0.70199999999999996</v>
      </c>
      <c r="J1209" s="184" t="s">
        <v>1977</v>
      </c>
      <c r="K1209" s="185" t="s">
        <v>1540</v>
      </c>
    </row>
    <row r="1210" spans="1:11" hidden="1" x14ac:dyDescent="0.3">
      <c r="A1210" s="179" t="s">
        <v>392</v>
      </c>
      <c r="B1210" s="180" t="s">
        <v>3297</v>
      </c>
      <c r="C1210" s="180" t="s">
        <v>3261</v>
      </c>
      <c r="D1210" s="180" t="s">
        <v>3262</v>
      </c>
      <c r="E1210" s="181">
        <v>46021</v>
      </c>
      <c r="F1210" s="180" t="s">
        <v>370</v>
      </c>
      <c r="G1210" s="180" t="s">
        <v>63</v>
      </c>
      <c r="H1210" s="182">
        <v>7200</v>
      </c>
      <c r="I1210" s="183">
        <v>0.73599999999999999</v>
      </c>
      <c r="J1210" s="184" t="s">
        <v>1977</v>
      </c>
      <c r="K1210" s="185" t="s">
        <v>1540</v>
      </c>
    </row>
    <row r="1211" spans="1:11" x14ac:dyDescent="0.3">
      <c r="A1211" s="179" t="s">
        <v>390</v>
      </c>
      <c r="B1211" s="180" t="s">
        <v>3297</v>
      </c>
      <c r="C1211" s="180" t="s">
        <v>3263</v>
      </c>
      <c r="D1211" s="180" t="s">
        <v>3264</v>
      </c>
      <c r="E1211" s="181">
        <v>46021</v>
      </c>
      <c r="F1211" s="180" t="s">
        <v>371</v>
      </c>
      <c r="G1211" s="180" t="s">
        <v>864</v>
      </c>
      <c r="H1211" s="182">
        <v>312676.78999999998</v>
      </c>
      <c r="I1211" s="183">
        <v>0.24</v>
      </c>
      <c r="J1211" s="184" t="s">
        <v>833</v>
      </c>
      <c r="K1211" s="185" t="s">
        <v>1542</v>
      </c>
    </row>
    <row r="1212" spans="1:11" hidden="1" x14ac:dyDescent="0.3">
      <c r="A1212" s="179" t="s">
        <v>392</v>
      </c>
      <c r="B1212" s="180" t="s">
        <v>3297</v>
      </c>
      <c r="C1212" s="180" t="s">
        <v>3265</v>
      </c>
      <c r="D1212" s="180" t="s">
        <v>3266</v>
      </c>
      <c r="E1212" s="181">
        <v>46021</v>
      </c>
      <c r="F1212" s="180" t="s">
        <v>370</v>
      </c>
      <c r="G1212" s="180" t="s">
        <v>63</v>
      </c>
      <c r="H1212" s="182">
        <v>7673</v>
      </c>
      <c r="I1212" s="183">
        <v>0.70699999999999996</v>
      </c>
      <c r="J1212" s="184" t="s">
        <v>1977</v>
      </c>
      <c r="K1212" s="185" t="s">
        <v>1540</v>
      </c>
    </row>
    <row r="1213" spans="1:11" hidden="1" x14ac:dyDescent="0.3">
      <c r="A1213" s="179" t="s">
        <v>392</v>
      </c>
      <c r="B1213" s="180" t="s">
        <v>3297</v>
      </c>
      <c r="C1213" s="180" t="s">
        <v>3267</v>
      </c>
      <c r="D1213" s="180" t="s">
        <v>3268</v>
      </c>
      <c r="E1213" s="181">
        <v>46021</v>
      </c>
      <c r="F1213" s="180" t="s">
        <v>371</v>
      </c>
      <c r="G1213" s="180" t="s">
        <v>864</v>
      </c>
      <c r="H1213" s="182">
        <v>21400</v>
      </c>
      <c r="I1213" s="183">
        <v>0.504</v>
      </c>
      <c r="J1213" s="184" t="s">
        <v>3111</v>
      </c>
      <c r="K1213" s="185" t="s">
        <v>1540</v>
      </c>
    </row>
    <row r="1214" spans="1:11" x14ac:dyDescent="0.3">
      <c r="A1214" s="179" t="s">
        <v>390</v>
      </c>
      <c r="B1214" s="180" t="s">
        <v>3297</v>
      </c>
      <c r="C1214" s="180" t="s">
        <v>3269</v>
      </c>
      <c r="D1214" s="180" t="s">
        <v>3270</v>
      </c>
      <c r="E1214" s="181">
        <v>46021</v>
      </c>
      <c r="F1214" s="180" t="s">
        <v>619</v>
      </c>
      <c r="G1214" s="180" t="s">
        <v>2086</v>
      </c>
      <c r="H1214" s="182">
        <v>118103.45000000001</v>
      </c>
      <c r="I1214" s="183">
        <v>0.26600000000000001</v>
      </c>
      <c r="J1214" s="184" t="s">
        <v>831</v>
      </c>
      <c r="K1214" s="185" t="s">
        <v>3299</v>
      </c>
    </row>
    <row r="1215" spans="1:11" hidden="1" x14ac:dyDescent="0.3">
      <c r="A1215" s="179" t="s">
        <v>392</v>
      </c>
      <c r="B1215" s="180" t="s">
        <v>3297</v>
      </c>
      <c r="C1215" s="180" t="s">
        <v>3271</v>
      </c>
      <c r="D1215" s="180" t="s">
        <v>3272</v>
      </c>
      <c r="E1215" s="181">
        <v>46021</v>
      </c>
      <c r="F1215" s="180" t="s">
        <v>371</v>
      </c>
      <c r="G1215" s="180" t="s">
        <v>864</v>
      </c>
      <c r="H1215" s="182">
        <v>21400</v>
      </c>
      <c r="I1215" s="183">
        <v>0.504</v>
      </c>
      <c r="J1215" s="184" t="s">
        <v>3111</v>
      </c>
      <c r="K1215" s="185" t="s">
        <v>1540</v>
      </c>
    </row>
    <row r="1216" spans="1:11" x14ac:dyDescent="0.3">
      <c r="A1216" s="179" t="s">
        <v>390</v>
      </c>
      <c r="B1216" s="180" t="s">
        <v>3297</v>
      </c>
      <c r="C1216" s="180" t="s">
        <v>3273</v>
      </c>
      <c r="D1216" s="180" t="s">
        <v>3274</v>
      </c>
      <c r="E1216" s="181">
        <v>46021</v>
      </c>
      <c r="F1216" s="180" t="s">
        <v>371</v>
      </c>
      <c r="G1216" s="180" t="s">
        <v>864</v>
      </c>
      <c r="H1216" s="182">
        <v>22425.64</v>
      </c>
      <c r="I1216" s="183">
        <v>0.188</v>
      </c>
      <c r="J1216" s="184" t="s">
        <v>3111</v>
      </c>
      <c r="K1216" s="185" t="s">
        <v>1541</v>
      </c>
    </row>
    <row r="1217" spans="1:11" x14ac:dyDescent="0.3">
      <c r="A1217" s="179" t="s">
        <v>390</v>
      </c>
      <c r="B1217" s="180" t="s">
        <v>3297</v>
      </c>
      <c r="C1217" s="180" t="s">
        <v>3275</v>
      </c>
      <c r="D1217" s="180" t="s">
        <v>3276</v>
      </c>
      <c r="E1217" s="181">
        <v>46021</v>
      </c>
      <c r="F1217" s="180" t="s">
        <v>371</v>
      </c>
      <c r="G1217" s="180" t="s">
        <v>864</v>
      </c>
      <c r="H1217" s="182">
        <v>50123.799999999988</v>
      </c>
      <c r="I1217" s="183">
        <v>0.15</v>
      </c>
      <c r="J1217" s="184" t="s">
        <v>833</v>
      </c>
      <c r="K1217" s="185" t="s">
        <v>1542</v>
      </c>
    </row>
    <row r="1218" spans="1:11" x14ac:dyDescent="0.3">
      <c r="A1218" s="179" t="s">
        <v>390</v>
      </c>
      <c r="B1218" s="180" t="s">
        <v>3297</v>
      </c>
      <c r="C1218" s="180" t="s">
        <v>3277</v>
      </c>
      <c r="D1218" s="180" t="s">
        <v>3278</v>
      </c>
      <c r="E1218" s="181">
        <v>46021</v>
      </c>
      <c r="F1218" s="180" t="s">
        <v>371</v>
      </c>
      <c r="G1218" s="180" t="s">
        <v>864</v>
      </c>
      <c r="H1218" s="182">
        <v>459804</v>
      </c>
      <c r="I1218" s="183">
        <v>0.155</v>
      </c>
      <c r="J1218" s="184" t="s">
        <v>833</v>
      </c>
      <c r="K1218" s="185" t="s">
        <v>1542</v>
      </c>
    </row>
    <row r="1219" spans="1:11" x14ac:dyDescent="0.3">
      <c r="A1219" s="179" t="s">
        <v>390</v>
      </c>
      <c r="B1219" s="180" t="s">
        <v>3297</v>
      </c>
      <c r="C1219" s="180" t="s">
        <v>3279</v>
      </c>
      <c r="D1219" s="180" t="s">
        <v>3280</v>
      </c>
      <c r="E1219" s="181">
        <v>46021</v>
      </c>
      <c r="F1219" s="180" t="s">
        <v>370</v>
      </c>
      <c r="G1219" s="180" t="s">
        <v>63</v>
      </c>
      <c r="H1219" s="182">
        <v>8152</v>
      </c>
      <c r="I1219" s="183">
        <v>0.52500000000000002</v>
      </c>
      <c r="J1219" s="184" t="s">
        <v>1977</v>
      </c>
      <c r="K1219" s="185" t="s">
        <v>1541</v>
      </c>
    </row>
    <row r="1220" spans="1:11" hidden="1" x14ac:dyDescent="0.3">
      <c r="A1220" s="179" t="s">
        <v>392</v>
      </c>
      <c r="B1220" s="180" t="s">
        <v>3297</v>
      </c>
      <c r="C1220" s="180" t="s">
        <v>3281</v>
      </c>
      <c r="D1220" s="180" t="s">
        <v>3282</v>
      </c>
      <c r="E1220" s="181">
        <v>46021</v>
      </c>
      <c r="F1220" s="180" t="s">
        <v>370</v>
      </c>
      <c r="G1220" s="180" t="s">
        <v>63</v>
      </c>
      <c r="H1220" s="182">
        <v>4200</v>
      </c>
      <c r="I1220" s="183">
        <v>0.61899999999999999</v>
      </c>
      <c r="J1220" s="184" t="s">
        <v>1977</v>
      </c>
      <c r="K1220" s="185" t="s">
        <v>1540</v>
      </c>
    </row>
    <row r="1221" spans="1:11" x14ac:dyDescent="0.3">
      <c r="A1221" s="179" t="s">
        <v>390</v>
      </c>
      <c r="B1221" s="180" t="s">
        <v>3297</v>
      </c>
      <c r="C1221" s="180" t="s">
        <v>3283</v>
      </c>
      <c r="D1221" s="180" t="s">
        <v>3284</v>
      </c>
      <c r="E1221" s="181">
        <v>46021</v>
      </c>
      <c r="F1221" s="180" t="s">
        <v>370</v>
      </c>
      <c r="G1221" s="180" t="s">
        <v>63</v>
      </c>
      <c r="H1221" s="182">
        <v>8380</v>
      </c>
      <c r="I1221" s="183">
        <v>0.19700000000000001</v>
      </c>
      <c r="J1221" s="184" t="s">
        <v>1977</v>
      </c>
      <c r="K1221" s="185" t="s">
        <v>1541</v>
      </c>
    </row>
    <row r="1222" spans="1:11" hidden="1" x14ac:dyDescent="0.3">
      <c r="A1222" s="179" t="s">
        <v>392</v>
      </c>
      <c r="B1222" s="180" t="s">
        <v>3297</v>
      </c>
      <c r="C1222" s="180" t="s">
        <v>3285</v>
      </c>
      <c r="D1222" s="180" t="s">
        <v>3286</v>
      </c>
      <c r="E1222" s="181">
        <v>46022</v>
      </c>
      <c r="F1222" s="180" t="s">
        <v>370</v>
      </c>
      <c r="G1222" s="180" t="s">
        <v>63</v>
      </c>
      <c r="H1222" s="182">
        <v>4200</v>
      </c>
      <c r="I1222" s="183">
        <v>0.61899999999999999</v>
      </c>
      <c r="J1222" s="184" t="s">
        <v>1977</v>
      </c>
      <c r="K1222" s="185" t="s">
        <v>1540</v>
      </c>
    </row>
    <row r="1223" spans="1:11" hidden="1" x14ac:dyDescent="0.3">
      <c r="A1223" s="179" t="s">
        <v>392</v>
      </c>
      <c r="B1223" s="180" t="s">
        <v>3297</v>
      </c>
      <c r="C1223" s="180" t="s">
        <v>3287</v>
      </c>
      <c r="D1223" s="180" t="s">
        <v>3288</v>
      </c>
      <c r="E1223" s="181">
        <v>46022</v>
      </c>
      <c r="F1223" s="180" t="s">
        <v>370</v>
      </c>
      <c r="G1223" s="180" t="s">
        <v>63</v>
      </c>
      <c r="H1223" s="182">
        <v>4200</v>
      </c>
      <c r="I1223" s="183">
        <v>0.61899999999999999</v>
      </c>
      <c r="J1223" s="184" t="s">
        <v>1977</v>
      </c>
      <c r="K1223" s="185" t="s">
        <v>1540</v>
      </c>
    </row>
    <row r="1224" spans="1:11" hidden="1" x14ac:dyDescent="0.3">
      <c r="A1224" s="179" t="s">
        <v>392</v>
      </c>
      <c r="B1224" s="180" t="s">
        <v>3297</v>
      </c>
      <c r="C1224" s="180" t="s">
        <v>3289</v>
      </c>
      <c r="D1224" s="180" t="s">
        <v>3290</v>
      </c>
      <c r="E1224" s="181">
        <v>46022</v>
      </c>
      <c r="F1224" s="180" t="s">
        <v>370</v>
      </c>
      <c r="G1224" s="180" t="s">
        <v>63</v>
      </c>
      <c r="H1224" s="182">
        <v>4200</v>
      </c>
      <c r="I1224" s="183">
        <v>0.61899999999999999</v>
      </c>
      <c r="J1224" s="184" t="s">
        <v>1977</v>
      </c>
      <c r="K1224" s="185" t="s">
        <v>1540</v>
      </c>
    </row>
    <row r="1225" spans="1:11" x14ac:dyDescent="0.3">
      <c r="A1225" s="179" t="s">
        <v>390</v>
      </c>
      <c r="B1225" s="180" t="s">
        <v>3297</v>
      </c>
      <c r="C1225" s="180" t="s">
        <v>3291</v>
      </c>
      <c r="D1225" s="180" t="s">
        <v>3292</v>
      </c>
      <c r="E1225" s="181">
        <v>46022</v>
      </c>
      <c r="F1225" s="180" t="s">
        <v>371</v>
      </c>
      <c r="G1225" s="180" t="s">
        <v>864</v>
      </c>
      <c r="H1225" s="182">
        <v>32439.56</v>
      </c>
      <c r="I1225" s="183">
        <v>0.158</v>
      </c>
      <c r="J1225" s="184" t="s">
        <v>3111</v>
      </c>
      <c r="K1225" s="185" t="s">
        <v>1541</v>
      </c>
    </row>
    <row r="1226" spans="1:11" x14ac:dyDescent="0.3">
      <c r="A1226" s="179" t="s">
        <v>390</v>
      </c>
      <c r="B1226" s="180" t="s">
        <v>3297</v>
      </c>
      <c r="C1226" s="180" t="s">
        <v>3293</v>
      </c>
      <c r="D1226" s="180" t="s">
        <v>3294</v>
      </c>
      <c r="E1226" s="181">
        <v>46022</v>
      </c>
      <c r="F1226" s="180" t="s">
        <v>371</v>
      </c>
      <c r="G1226" s="180" t="s">
        <v>864</v>
      </c>
      <c r="H1226" s="182">
        <v>23178.120000000003</v>
      </c>
      <c r="I1226" s="183">
        <v>0.189</v>
      </c>
      <c r="J1226" s="184" t="s">
        <v>3111</v>
      </c>
      <c r="K1226" s="185" t="s">
        <v>1541</v>
      </c>
    </row>
    <row r="1227" spans="1:11" hidden="1" x14ac:dyDescent="0.3">
      <c r="A1227" s="179" t="s">
        <v>392</v>
      </c>
      <c r="B1227" s="180" t="s">
        <v>3297</v>
      </c>
      <c r="C1227" s="180" t="s">
        <v>3295</v>
      </c>
      <c r="D1227" s="180" t="s">
        <v>3296</v>
      </c>
      <c r="E1227" s="181">
        <v>46022</v>
      </c>
      <c r="F1227" s="180" t="s">
        <v>374</v>
      </c>
      <c r="G1227" s="180" t="s">
        <v>2124</v>
      </c>
      <c r="H1227" s="182">
        <v>0.01</v>
      </c>
      <c r="I1227" s="183">
        <v>1</v>
      </c>
      <c r="J1227" s="184" t="s">
        <v>3109</v>
      </c>
      <c r="K1227" s="185" t="s">
        <v>1540</v>
      </c>
    </row>
    <row r="1228" spans="1:11" x14ac:dyDescent="0.3">
      <c r="A1228" s="179" t="s">
        <v>390</v>
      </c>
      <c r="B1228" s="180" t="s">
        <v>3297</v>
      </c>
      <c r="C1228" s="180" t="s">
        <v>3300</v>
      </c>
      <c r="D1228" s="180" t="s">
        <v>3301</v>
      </c>
      <c r="E1228" s="181">
        <v>46000</v>
      </c>
      <c r="F1228" s="180" t="s">
        <v>374</v>
      </c>
      <c r="G1228" s="180" t="s">
        <v>17</v>
      </c>
      <c r="H1228" s="182">
        <v>10577.286</v>
      </c>
      <c r="I1228" s="183">
        <v>0.254</v>
      </c>
      <c r="J1228" s="184" t="s">
        <v>831</v>
      </c>
      <c r="K1228" s="185" t="s">
        <v>1542</v>
      </c>
    </row>
    <row r="1229" spans="1:11" hidden="1" x14ac:dyDescent="0.3">
      <c r="A1229" s="179" t="s">
        <v>392</v>
      </c>
      <c r="B1229" s="180" t="s">
        <v>3297</v>
      </c>
      <c r="C1229" s="180" t="s">
        <v>3302</v>
      </c>
      <c r="D1229" s="180" t="s">
        <v>3303</v>
      </c>
      <c r="E1229" s="181">
        <v>46001</v>
      </c>
      <c r="F1229" s="180" t="s">
        <v>844</v>
      </c>
      <c r="G1229" s="180" t="s">
        <v>863</v>
      </c>
      <c r="H1229" s="182">
        <v>12036.222</v>
      </c>
      <c r="I1229" s="183">
        <v>0.246</v>
      </c>
      <c r="J1229" s="184" t="s">
        <v>1977</v>
      </c>
      <c r="K1229" s="185" t="s">
        <v>1540</v>
      </c>
    </row>
    <row r="1230" spans="1:11" x14ac:dyDescent="0.3">
      <c r="A1230" s="179" t="s">
        <v>390</v>
      </c>
      <c r="B1230" s="180" t="s">
        <v>3297</v>
      </c>
      <c r="C1230" s="180" t="s">
        <v>3304</v>
      </c>
      <c r="D1230" s="180" t="s">
        <v>3270</v>
      </c>
      <c r="E1230" s="181">
        <v>46008</v>
      </c>
      <c r="F1230" s="180" t="s">
        <v>619</v>
      </c>
      <c r="G1230" s="180" t="s">
        <v>2086</v>
      </c>
      <c r="H1230" s="182">
        <v>39495.5</v>
      </c>
      <c r="I1230" s="183">
        <v>0.183</v>
      </c>
      <c r="J1230" s="184" t="s">
        <v>831</v>
      </c>
      <c r="K1230" s="185" t="s">
        <v>1542</v>
      </c>
    </row>
    <row r="1231" spans="1:11" hidden="1" x14ac:dyDescent="0.3">
      <c r="A1231" s="179" t="s">
        <v>392</v>
      </c>
      <c r="B1231" s="180" t="s">
        <v>3297</v>
      </c>
      <c r="C1231" s="180" t="s">
        <v>3305</v>
      </c>
      <c r="D1231" s="180" t="s">
        <v>3306</v>
      </c>
      <c r="E1231" s="181">
        <v>46008</v>
      </c>
      <c r="F1231" s="180" t="s">
        <v>3327</v>
      </c>
      <c r="G1231" s="180" t="s">
        <v>3115</v>
      </c>
      <c r="H1231" s="182">
        <v>31775.924999999999</v>
      </c>
      <c r="I1231" s="183">
        <v>0.21199999999999999</v>
      </c>
      <c r="J1231" s="184" t="s">
        <v>831</v>
      </c>
      <c r="K1231" s="185" t="s">
        <v>1540</v>
      </c>
    </row>
    <row r="1232" spans="1:11" hidden="1" x14ac:dyDescent="0.3">
      <c r="A1232" s="179" t="s">
        <v>392</v>
      </c>
      <c r="B1232" s="180" t="s">
        <v>3297</v>
      </c>
      <c r="C1232" s="180" t="s">
        <v>3307</v>
      </c>
      <c r="D1232" s="180" t="s">
        <v>3308</v>
      </c>
      <c r="E1232" s="181">
        <v>46008</v>
      </c>
      <c r="F1232" s="180" t="s">
        <v>3328</v>
      </c>
      <c r="G1232" s="180" t="s">
        <v>3114</v>
      </c>
      <c r="H1232" s="182">
        <v>153493.875</v>
      </c>
      <c r="I1232" s="183">
        <v>0.13300000000000001</v>
      </c>
      <c r="J1232" s="184" t="s">
        <v>831</v>
      </c>
      <c r="K1232" s="185" t="s">
        <v>1540</v>
      </c>
    </row>
    <row r="1233" spans="1:11" hidden="1" x14ac:dyDescent="0.3">
      <c r="A1233" s="179" t="s">
        <v>392</v>
      </c>
      <c r="B1233" s="180" t="s">
        <v>3297</v>
      </c>
      <c r="C1233" s="180" t="s">
        <v>3309</v>
      </c>
      <c r="D1233" s="180" t="s">
        <v>3310</v>
      </c>
      <c r="E1233" s="181">
        <v>46008</v>
      </c>
      <c r="F1233" s="180" t="s">
        <v>3328</v>
      </c>
      <c r="G1233" s="180" t="s">
        <v>3114</v>
      </c>
      <c r="H1233" s="182">
        <v>170548.75</v>
      </c>
      <c r="I1233" s="183">
        <v>0.20300000000000001</v>
      </c>
      <c r="J1233" s="184" t="s">
        <v>831</v>
      </c>
      <c r="K1233" s="185" t="s">
        <v>1540</v>
      </c>
    </row>
    <row r="1234" spans="1:11" hidden="1" x14ac:dyDescent="0.3">
      <c r="A1234" s="179" t="s">
        <v>392</v>
      </c>
      <c r="B1234" s="180" t="s">
        <v>3297</v>
      </c>
      <c r="C1234" s="180" t="s">
        <v>3311</v>
      </c>
      <c r="D1234" s="180" t="s">
        <v>3312</v>
      </c>
      <c r="E1234" s="181">
        <v>46008</v>
      </c>
      <c r="F1234" s="180" t="s">
        <v>844</v>
      </c>
      <c r="G1234" s="180" t="s">
        <v>863</v>
      </c>
      <c r="H1234" s="182">
        <v>107715</v>
      </c>
      <c r="I1234" s="183">
        <v>0.189</v>
      </c>
      <c r="J1234" s="184" t="s">
        <v>1977</v>
      </c>
      <c r="K1234" s="185" t="s">
        <v>1540</v>
      </c>
    </row>
    <row r="1235" spans="1:11" x14ac:dyDescent="0.3">
      <c r="A1235" s="179" t="s">
        <v>390</v>
      </c>
      <c r="B1235" s="180" t="s">
        <v>3297</v>
      </c>
      <c r="C1235" s="180" t="s">
        <v>3313</v>
      </c>
      <c r="D1235" s="180" t="s">
        <v>3314</v>
      </c>
      <c r="E1235" s="181">
        <v>46020</v>
      </c>
      <c r="F1235" s="180" t="s">
        <v>2281</v>
      </c>
      <c r="G1235" s="180" t="s">
        <v>2305</v>
      </c>
      <c r="H1235" s="182">
        <v>2506.5879999999997</v>
      </c>
      <c r="I1235" s="183">
        <v>1</v>
      </c>
      <c r="J1235" s="184" t="s">
        <v>831</v>
      </c>
      <c r="K1235" s="185" t="s">
        <v>1542</v>
      </c>
    </row>
    <row r="1236" spans="1:11" x14ac:dyDescent="0.3">
      <c r="A1236" s="179" t="s">
        <v>390</v>
      </c>
      <c r="B1236" s="180" t="s">
        <v>3297</v>
      </c>
      <c r="C1236" s="180" t="s">
        <v>3315</v>
      </c>
      <c r="D1236" s="180" t="s">
        <v>3316</v>
      </c>
      <c r="E1236" s="181">
        <v>46020</v>
      </c>
      <c r="F1236" s="180" t="s">
        <v>2281</v>
      </c>
      <c r="G1236" s="180" t="s">
        <v>2305</v>
      </c>
      <c r="H1236" s="182">
        <v>6266.47</v>
      </c>
      <c r="I1236" s="183">
        <v>1</v>
      </c>
      <c r="J1236" s="184" t="s">
        <v>831</v>
      </c>
      <c r="K1236" s="185" t="s">
        <v>1542</v>
      </c>
    </row>
    <row r="1237" spans="1:11" x14ac:dyDescent="0.3">
      <c r="A1237" s="179" t="s">
        <v>390</v>
      </c>
      <c r="B1237" s="180" t="s">
        <v>3297</v>
      </c>
      <c r="C1237" s="180" t="s">
        <v>3317</v>
      </c>
      <c r="D1237" s="180" t="s">
        <v>3270</v>
      </c>
      <c r="E1237" s="181">
        <v>46021</v>
      </c>
      <c r="F1237" s="180" t="s">
        <v>619</v>
      </c>
      <c r="G1237" s="180" t="s">
        <v>2086</v>
      </c>
      <c r="H1237" s="182">
        <v>5749.3440000000001</v>
      </c>
      <c r="I1237" s="183">
        <v>0.26600000000000001</v>
      </c>
      <c r="J1237" s="184" t="s">
        <v>831</v>
      </c>
      <c r="K1237" s="185" t="s">
        <v>1542</v>
      </c>
    </row>
    <row r="1238" spans="1:11" x14ac:dyDescent="0.3">
      <c r="A1238" s="179" t="s">
        <v>390</v>
      </c>
      <c r="B1238" s="180" t="s">
        <v>3297</v>
      </c>
      <c r="C1238" s="180" t="s">
        <v>3318</v>
      </c>
      <c r="D1238" s="180" t="s">
        <v>3319</v>
      </c>
      <c r="E1238" s="181">
        <v>46021</v>
      </c>
      <c r="F1238" s="180" t="s">
        <v>2292</v>
      </c>
      <c r="G1238" s="180" t="s">
        <v>3329</v>
      </c>
      <c r="H1238" s="182">
        <v>8624.0159999999996</v>
      </c>
      <c r="I1238" s="183">
        <v>0.68100000000000005</v>
      </c>
      <c r="J1238" s="184" t="s">
        <v>831</v>
      </c>
      <c r="K1238" s="185" t="s">
        <v>1542</v>
      </c>
    </row>
    <row r="1239" spans="1:11" hidden="1" x14ac:dyDescent="0.3">
      <c r="A1239" s="179" t="s">
        <v>392</v>
      </c>
      <c r="B1239" s="180" t="s">
        <v>3297</v>
      </c>
      <c r="C1239" s="180" t="s">
        <v>3320</v>
      </c>
      <c r="D1239" s="180" t="s">
        <v>3321</v>
      </c>
      <c r="E1239" s="181">
        <v>46021</v>
      </c>
      <c r="F1239" s="180" t="s">
        <v>3108</v>
      </c>
      <c r="G1239" s="180" t="s">
        <v>3330</v>
      </c>
      <c r="H1239" s="182">
        <v>16529.363999999998</v>
      </c>
      <c r="I1239" s="183">
        <v>0.51300000000000001</v>
      </c>
      <c r="J1239" s="184" t="s">
        <v>831</v>
      </c>
      <c r="K1239" s="185" t="s">
        <v>1540</v>
      </c>
    </row>
    <row r="1240" spans="1:11" hidden="1" x14ac:dyDescent="0.3">
      <c r="A1240" s="179" t="s">
        <v>392</v>
      </c>
      <c r="B1240" s="180" t="s">
        <v>3297</v>
      </c>
      <c r="C1240" s="180" t="s">
        <v>3322</v>
      </c>
      <c r="D1240" s="180" t="s">
        <v>3323</v>
      </c>
      <c r="E1240" s="181">
        <v>46022</v>
      </c>
      <c r="F1240" s="180" t="s">
        <v>3328</v>
      </c>
      <c r="G1240" s="180" t="s">
        <v>3114</v>
      </c>
      <c r="H1240" s="182">
        <v>21543.360000000001</v>
      </c>
      <c r="I1240" s="189">
        <v>-7.0000000000000007E-2</v>
      </c>
      <c r="J1240" s="190" t="s">
        <v>831</v>
      </c>
      <c r="K1240" s="191" t="s">
        <v>1540</v>
      </c>
    </row>
    <row r="1241" spans="1:11" hidden="1" x14ac:dyDescent="0.3">
      <c r="A1241" s="179" t="s">
        <v>392</v>
      </c>
      <c r="B1241" s="180" t="s">
        <v>3297</v>
      </c>
      <c r="C1241" s="180" t="s">
        <v>3324</v>
      </c>
      <c r="D1241" s="180" t="s">
        <v>3325</v>
      </c>
      <c r="E1241" s="181">
        <v>46022</v>
      </c>
      <c r="F1241" s="180" t="s">
        <v>3327</v>
      </c>
      <c r="G1241" s="180" t="s">
        <v>3115</v>
      </c>
      <c r="H1241" s="182">
        <v>36803.24</v>
      </c>
      <c r="I1241" s="183">
        <v>0.155</v>
      </c>
      <c r="J1241" s="184" t="s">
        <v>831</v>
      </c>
      <c r="K1241" s="185" t="s">
        <v>1540</v>
      </c>
    </row>
    <row r="1242" spans="1:11" hidden="1" x14ac:dyDescent="0.3">
      <c r="A1242" s="179" t="s">
        <v>392</v>
      </c>
      <c r="B1242" s="180" t="s">
        <v>3297</v>
      </c>
      <c r="C1242" s="180" t="s">
        <v>3326</v>
      </c>
      <c r="D1242" s="180" t="s">
        <v>3323</v>
      </c>
      <c r="E1242" s="181">
        <v>46022</v>
      </c>
      <c r="F1242" s="180" t="s">
        <v>3331</v>
      </c>
      <c r="G1242" s="180" t="s">
        <v>3116</v>
      </c>
      <c r="H1242" s="182">
        <v>136441.28</v>
      </c>
      <c r="I1242" s="189">
        <v>-7.0000000000000007E-2</v>
      </c>
      <c r="J1242" s="190" t="s">
        <v>831</v>
      </c>
      <c r="K1242" s="191" t="s">
        <v>1540</v>
      </c>
    </row>
    <row r="1243" spans="1:11" hidden="1" x14ac:dyDescent="0.3">
      <c r="A1243" s="179"/>
      <c r="B1243" s="180"/>
      <c r="C1243" s="180"/>
      <c r="D1243" s="180"/>
      <c r="E1243" s="181"/>
      <c r="F1243" s="180"/>
      <c r="G1243" s="180"/>
      <c r="H1243" s="182"/>
      <c r="I1243" s="183"/>
      <c r="J1243" s="184"/>
      <c r="K1243" s="185"/>
    </row>
    <row r="1244" spans="1:11" hidden="1" x14ac:dyDescent="0.3">
      <c r="A1244" s="179"/>
      <c r="B1244" s="180"/>
      <c r="C1244" s="180"/>
      <c r="D1244" s="180"/>
      <c r="E1244" s="181"/>
      <c r="F1244" s="180"/>
      <c r="G1244" s="180"/>
      <c r="H1244" s="182"/>
      <c r="I1244" s="183"/>
      <c r="J1244" s="184"/>
      <c r="K1244" s="185"/>
    </row>
    <row r="1245" spans="1:11" hidden="1" x14ac:dyDescent="0.3">
      <c r="A1245" s="179"/>
      <c r="B1245" s="180"/>
      <c r="C1245" s="180"/>
      <c r="D1245" s="180"/>
      <c r="E1245" s="181"/>
      <c r="F1245" s="180"/>
      <c r="G1245" s="180"/>
      <c r="H1245" s="182"/>
      <c r="I1245" s="183"/>
      <c r="J1245" s="184"/>
      <c r="K1245" s="185"/>
    </row>
    <row r="1246" spans="1:11" hidden="1" x14ac:dyDescent="0.3">
      <c r="A1246" s="179"/>
      <c r="B1246" s="180"/>
      <c r="C1246" s="180"/>
      <c r="D1246" s="180"/>
      <c r="E1246" s="181"/>
      <c r="F1246" s="180"/>
      <c r="G1246" s="180"/>
      <c r="H1246" s="182"/>
      <c r="I1246" s="183"/>
      <c r="J1246" s="184"/>
      <c r="K1246" s="185"/>
    </row>
    <row r="1247" spans="1:11" hidden="1" x14ac:dyDescent="0.3">
      <c r="A1247" s="179"/>
      <c r="B1247" s="180"/>
      <c r="C1247" s="180"/>
      <c r="D1247" s="180"/>
      <c r="E1247" s="181"/>
      <c r="F1247" s="180"/>
      <c r="G1247" s="180"/>
      <c r="H1247" s="182"/>
      <c r="I1247" s="183"/>
      <c r="J1247" s="184"/>
      <c r="K1247" s="185"/>
    </row>
    <row r="1248" spans="1:11" hidden="1" x14ac:dyDescent="0.3">
      <c r="A1248" s="179"/>
      <c r="B1248" s="180"/>
      <c r="C1248" s="180"/>
      <c r="D1248" s="180"/>
      <c r="E1248" s="181"/>
      <c r="F1248" s="180"/>
      <c r="G1248" s="180"/>
      <c r="H1248" s="182"/>
      <c r="I1248" s="183"/>
      <c r="J1248" s="184"/>
      <c r="K1248" s="185"/>
    </row>
    <row r="1249" spans="1:11" hidden="1" x14ac:dyDescent="0.3">
      <c r="A1249" s="179"/>
      <c r="B1249" s="180"/>
      <c r="C1249" s="180"/>
      <c r="D1249" s="180"/>
      <c r="E1249" s="181"/>
      <c r="F1249" s="180"/>
      <c r="G1249" s="180"/>
      <c r="H1249" s="182"/>
      <c r="I1249" s="183"/>
      <c r="J1249" s="184"/>
      <c r="K1249" s="185"/>
    </row>
    <row r="1250" spans="1:11" hidden="1" x14ac:dyDescent="0.3">
      <c r="A1250" s="179"/>
      <c r="B1250" s="180"/>
      <c r="C1250" s="180"/>
      <c r="D1250" s="180"/>
      <c r="E1250" s="181"/>
      <c r="F1250" s="180"/>
      <c r="G1250" s="180"/>
      <c r="H1250" s="182"/>
      <c r="I1250" s="183"/>
      <c r="J1250" s="184"/>
      <c r="K1250" s="185"/>
    </row>
    <row r="1251" spans="1:11" hidden="1" x14ac:dyDescent="0.3">
      <c r="A1251" s="179"/>
      <c r="B1251" s="180"/>
      <c r="C1251" s="180"/>
      <c r="D1251" s="180"/>
      <c r="E1251" s="181"/>
      <c r="F1251" s="180"/>
      <c r="G1251" s="180"/>
      <c r="H1251" s="182"/>
      <c r="I1251" s="183"/>
      <c r="J1251" s="184"/>
      <c r="K1251" s="185"/>
    </row>
    <row r="1252" spans="1:11" hidden="1" x14ac:dyDescent="0.3">
      <c r="A1252" s="179"/>
      <c r="B1252" s="180"/>
      <c r="C1252" s="180"/>
      <c r="D1252" s="180"/>
      <c r="E1252" s="181"/>
      <c r="F1252" s="180"/>
      <c r="G1252" s="180"/>
      <c r="H1252" s="182"/>
      <c r="I1252" s="183"/>
      <c r="J1252" s="184"/>
      <c r="K1252" s="185"/>
    </row>
    <row r="1253" spans="1:11" x14ac:dyDescent="0.3">
      <c r="A1253" s="179" t="s">
        <v>834</v>
      </c>
      <c r="B1253" s="180"/>
      <c r="C1253" s="180"/>
      <c r="D1253" s="180"/>
      <c r="E1253" s="181"/>
      <c r="F1253" s="180"/>
      <c r="G1253" s="180"/>
      <c r="H1253" s="182">
        <f>SUBTOTAL(109,Tabla2[IMPORTE])</f>
        <v>2438589.4439999997</v>
      </c>
      <c r="I1253" s="188">
        <f>SUBTOTAL(101,Tabla2[PROFIT])</f>
        <v>0.32060377358490566</v>
      </c>
      <c r="J1253" s="184">
        <f>SUBTOTAL(103,Tabla2[EJECUTIVO])</f>
        <v>53</v>
      </c>
      <c r="K1253" s="185"/>
    </row>
    <row r="1254" spans="1:11" x14ac:dyDescent="0.3">
      <c r="A1254" s="179"/>
      <c r="B1254" s="180"/>
      <c r="C1254" s="180"/>
      <c r="D1254" s="180"/>
      <c r="E1254" s="181"/>
      <c r="F1254" s="180"/>
      <c r="G1254" s="180"/>
      <c r="H1254" s="182"/>
      <c r="I1254" s="183"/>
      <c r="J1254" s="184"/>
      <c r="K1254" s="185"/>
    </row>
    <row r="1255" spans="1:11" x14ac:dyDescent="0.3">
      <c r="A1255" s="179"/>
      <c r="B1255" s="180"/>
      <c r="C1255" s="180"/>
      <c r="D1255" s="180"/>
      <c r="E1255" s="181"/>
      <c r="F1255" s="180"/>
      <c r="G1255" s="180"/>
      <c r="H1255" s="182"/>
      <c r="I1255" s="183"/>
      <c r="J1255" s="184"/>
      <c r="K1255" s="185"/>
    </row>
    <row r="1256" spans="1:11" x14ac:dyDescent="0.3">
      <c r="A1256" s="179"/>
      <c r="B1256" s="180"/>
      <c r="C1256" s="180"/>
      <c r="D1256" s="180"/>
      <c r="E1256" s="181"/>
      <c r="F1256" s="180"/>
      <c r="G1256" s="180"/>
      <c r="H1256" s="182"/>
      <c r="I1256" s="183"/>
      <c r="J1256" s="184"/>
      <c r="K1256" s="185"/>
    </row>
    <row r="1257" spans="1:11" x14ac:dyDescent="0.3">
      <c r="A1257" s="179"/>
      <c r="B1257" s="180"/>
      <c r="C1257" s="180"/>
      <c r="D1257" s="180"/>
      <c r="E1257" s="181"/>
      <c r="F1257" s="180"/>
      <c r="G1257" s="180"/>
      <c r="H1257" s="182"/>
      <c r="I1257" s="183"/>
      <c r="J1257" s="184"/>
      <c r="K1257" s="185"/>
    </row>
    <row r="1258" spans="1:11" x14ac:dyDescent="0.3">
      <c r="A1258" s="179"/>
      <c r="B1258" s="180"/>
      <c r="C1258" s="180"/>
      <c r="D1258" s="180"/>
      <c r="E1258" s="181"/>
      <c r="F1258" s="180"/>
      <c r="G1258" s="180"/>
      <c r="H1258" s="182"/>
      <c r="I1258" s="183"/>
      <c r="J1258" s="184"/>
      <c r="K1258" s="185"/>
    </row>
    <row r="1259" spans="1:11" x14ac:dyDescent="0.3">
      <c r="A1259" s="179"/>
      <c r="B1259" s="180"/>
      <c r="C1259" s="180"/>
      <c r="D1259" s="180"/>
      <c r="E1259" s="181"/>
      <c r="F1259" s="180"/>
      <c r="G1259" s="180"/>
      <c r="H1259" s="182"/>
      <c r="I1259" s="183"/>
      <c r="J1259" s="184"/>
      <c r="K1259" s="185"/>
    </row>
    <row r="1260" spans="1:11" x14ac:dyDescent="0.3">
      <c r="A1260" s="179"/>
      <c r="B1260" s="180"/>
      <c r="C1260" s="180"/>
      <c r="D1260" s="180"/>
      <c r="E1260" s="181"/>
      <c r="F1260" s="180"/>
      <c r="G1260" s="180"/>
      <c r="H1260" s="182"/>
      <c r="I1260" s="183"/>
      <c r="J1260" s="184"/>
      <c r="K1260" s="185"/>
    </row>
    <row r="1261" spans="1:11" x14ac:dyDescent="0.3">
      <c r="A1261" s="179"/>
      <c r="B1261" s="180"/>
      <c r="C1261" s="180"/>
      <c r="D1261" s="180"/>
      <c r="E1261" s="181"/>
      <c r="F1261" s="180"/>
      <c r="G1261" s="180"/>
      <c r="H1261" s="182"/>
      <c r="I1261" s="183"/>
      <c r="J1261" s="184"/>
      <c r="K1261" s="185"/>
    </row>
    <row r="1262" spans="1:11" x14ac:dyDescent="0.3">
      <c r="A1262" s="179"/>
      <c r="B1262" s="180"/>
      <c r="C1262" s="180"/>
      <c r="D1262" s="180"/>
      <c r="E1262" s="181"/>
      <c r="F1262" s="180"/>
      <c r="G1262" s="180"/>
      <c r="H1262" s="182"/>
      <c r="I1262" s="183"/>
      <c r="J1262" s="184"/>
      <c r="K1262" s="185"/>
    </row>
    <row r="1263" spans="1:11" x14ac:dyDescent="0.3">
      <c r="A1263" s="179"/>
      <c r="B1263" s="180"/>
      <c r="C1263" s="180"/>
      <c r="D1263" s="180"/>
      <c r="E1263" s="181"/>
      <c r="F1263" s="180"/>
      <c r="G1263" s="180"/>
      <c r="H1263" s="182"/>
      <c r="I1263" s="183"/>
      <c r="J1263" s="184"/>
      <c r="K1263" s="185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F0DF-F7A3-45C7-9AF1-56433F0E7B55}">
  <sheetPr>
    <tabColor rgb="FF92D050"/>
  </sheetPr>
  <dimension ref="B1:T49"/>
  <sheetViews>
    <sheetView showGridLines="0" topLeftCell="B2" zoomScale="113" zoomScaleNormal="90" workbookViewId="0">
      <pane xSplit="1" ySplit="3" topLeftCell="C25" activePane="bottomRight" state="frozen"/>
      <selection activeCell="B2" sqref="B2"/>
      <selection pane="topRight" activeCell="C2" sqref="C2"/>
      <selection pane="bottomLeft" activeCell="B5" sqref="B5"/>
      <selection pane="bottomRight" activeCell="D6" sqref="D6:D39"/>
    </sheetView>
  </sheetViews>
  <sheetFormatPr baseColWidth="10" defaultRowHeight="14.4" x14ac:dyDescent="0.3"/>
  <cols>
    <col min="1" max="1" width="5.6640625" customWidth="1"/>
    <col min="2" max="2" width="48.33203125" customWidth="1"/>
    <col min="3" max="4" width="13.6640625" customWidth="1"/>
    <col min="5" max="5" width="14.88671875" bestFit="1" customWidth="1"/>
    <col min="6" max="6" width="13.6640625" customWidth="1"/>
    <col min="7" max="7" width="15.109375" customWidth="1"/>
    <col min="8" max="8" width="14.88671875" bestFit="1" customWidth="1"/>
    <col min="9" max="14" width="13.6640625" customWidth="1"/>
    <col min="15" max="15" width="13.6640625" style="39" customWidth="1"/>
    <col min="16" max="16" width="1.6640625" customWidth="1"/>
    <col min="18" max="18" width="43.44140625" bestFit="1" customWidth="1"/>
    <col min="19" max="19" width="14.88671875" bestFit="1" customWidth="1"/>
  </cols>
  <sheetData>
    <row r="1" spans="2:20" ht="15" thickBot="1" x14ac:dyDescent="0.35"/>
    <row r="2" spans="2:20" x14ac:dyDescent="0.3">
      <c r="B2" s="82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95"/>
    </row>
    <row r="3" spans="2:20" x14ac:dyDescent="0.3">
      <c r="B3" s="92" t="s">
        <v>37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78"/>
    </row>
    <row r="4" spans="2:20" x14ac:dyDescent="0.3">
      <c r="B4" s="92" t="str">
        <f>+'Acumulado 2025'!B7</f>
        <v>FACTURACIÓN ACUMULADA DEL 1o DE ENERO AL 31 de Diciembre 2025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78"/>
    </row>
    <row r="5" spans="2:20" s="2" customFormat="1" x14ac:dyDescent="0.3">
      <c r="B5" s="89" t="s">
        <v>2</v>
      </c>
      <c r="C5" s="37" t="s">
        <v>38</v>
      </c>
      <c r="D5" s="37" t="s">
        <v>39</v>
      </c>
      <c r="E5" s="37" t="s">
        <v>40</v>
      </c>
      <c r="F5" s="37" t="s">
        <v>35</v>
      </c>
      <c r="G5" s="37" t="s">
        <v>36</v>
      </c>
      <c r="H5" s="37" t="s">
        <v>41</v>
      </c>
      <c r="I5" s="37" t="s">
        <v>42</v>
      </c>
      <c r="J5" s="37" t="s">
        <v>43</v>
      </c>
      <c r="K5" s="37" t="s">
        <v>44</v>
      </c>
      <c r="L5" s="38" t="s">
        <v>33</v>
      </c>
      <c r="M5" s="38" t="s">
        <v>34</v>
      </c>
      <c r="N5" s="38" t="s">
        <v>45</v>
      </c>
      <c r="O5" s="80" t="s">
        <v>9</v>
      </c>
    </row>
    <row r="6" spans="2:20" s="44" customFormat="1" x14ac:dyDescent="0.3">
      <c r="B6" s="108" t="s">
        <v>840</v>
      </c>
      <c r="C6" s="99"/>
      <c r="D6" s="99"/>
      <c r="E6" s="99">
        <v>68165.36</v>
      </c>
      <c r="F6" s="117">
        <v>305529.435</v>
      </c>
      <c r="G6" s="117">
        <v>2748441.4677600004</v>
      </c>
      <c r="H6" s="117">
        <v>2468042.5699999998</v>
      </c>
      <c r="I6" s="117">
        <v>981970.54178699991</v>
      </c>
      <c r="J6" s="117">
        <v>1750208.043664</v>
      </c>
      <c r="K6" s="117">
        <v>363807.05</v>
      </c>
      <c r="L6" s="117">
        <v>77438.97</v>
      </c>
      <c r="M6" s="99">
        <v>1760615.1899999997</v>
      </c>
      <c r="N6" s="99">
        <f>1855140.04-157074.9</f>
        <v>1698065.1400000001</v>
      </c>
      <c r="O6" s="76">
        <f t="shared" ref="O6:O48" si="0">+SUM(C6:N6)</f>
        <v>12222283.768211002</v>
      </c>
    </row>
    <row r="7" spans="2:20" x14ac:dyDescent="0.3">
      <c r="B7" s="70" t="s">
        <v>62</v>
      </c>
      <c r="C7" s="117">
        <v>270193.29607899999</v>
      </c>
      <c r="D7" s="117">
        <v>463048.06</v>
      </c>
      <c r="E7" s="117">
        <v>743676.60999999987</v>
      </c>
      <c r="F7" s="117">
        <v>658055.37</v>
      </c>
      <c r="G7" s="117">
        <v>1535423.0599999998</v>
      </c>
      <c r="H7" s="117">
        <v>1349163.21</v>
      </c>
      <c r="I7" s="117">
        <v>1632113.9299999997</v>
      </c>
      <c r="J7" s="117">
        <v>541275.49</v>
      </c>
      <c r="K7" s="117">
        <v>568841.59</v>
      </c>
      <c r="L7" s="117">
        <v>387674.04</v>
      </c>
      <c r="M7" s="117">
        <v>492880.93</v>
      </c>
      <c r="N7" s="98">
        <f>358921.84+157074.9</f>
        <v>515996.74</v>
      </c>
      <c r="O7" s="76">
        <f t="shared" si="0"/>
        <v>9158342.3260789998</v>
      </c>
      <c r="T7" s="44"/>
    </row>
    <row r="8" spans="2:20" x14ac:dyDescent="0.3">
      <c r="B8" s="70" t="s">
        <v>10</v>
      </c>
      <c r="C8" s="117">
        <v>457339.77951999992</v>
      </c>
      <c r="D8" s="117">
        <v>711895.55126000009</v>
      </c>
      <c r="E8" s="117">
        <v>614420.9785000002</v>
      </c>
      <c r="F8" s="117">
        <v>307536.35730000003</v>
      </c>
      <c r="G8" s="117">
        <v>776104.41120000009</v>
      </c>
      <c r="H8" s="117">
        <v>453435.68000000011</v>
      </c>
      <c r="I8" s="117">
        <v>743519.75560000003</v>
      </c>
      <c r="J8" s="117">
        <v>877319.16000000015</v>
      </c>
      <c r="K8" s="117">
        <v>897446.77</v>
      </c>
      <c r="L8" s="117">
        <v>699117.05999999994</v>
      </c>
      <c r="M8" s="117">
        <v>733715.50600000017</v>
      </c>
      <c r="N8" s="117">
        <v>202792.9</v>
      </c>
      <c r="O8" s="76">
        <f t="shared" si="0"/>
        <v>7474643.9093800001</v>
      </c>
      <c r="T8" s="44"/>
    </row>
    <row r="9" spans="2:20" x14ac:dyDescent="0.3">
      <c r="B9" s="70" t="s">
        <v>63</v>
      </c>
      <c r="C9" s="117">
        <v>271551.74</v>
      </c>
      <c r="D9" s="117">
        <v>208533.30000000002</v>
      </c>
      <c r="E9" s="117">
        <v>227575.7</v>
      </c>
      <c r="F9" s="117">
        <v>309784.13</v>
      </c>
      <c r="G9" s="117">
        <v>223935.21999999997</v>
      </c>
      <c r="H9" s="117">
        <v>265068.56</v>
      </c>
      <c r="I9" s="117">
        <v>224167.66000000003</v>
      </c>
      <c r="J9" s="117">
        <v>246719.76000000004</v>
      </c>
      <c r="K9" s="117">
        <v>233633.08999999997</v>
      </c>
      <c r="L9" s="117">
        <v>337448.47000000009</v>
      </c>
      <c r="M9" s="117">
        <v>336241.75</v>
      </c>
      <c r="N9" s="117">
        <v>289920.8000000001</v>
      </c>
      <c r="O9" s="76">
        <f t="shared" si="0"/>
        <v>3174580.1800000006</v>
      </c>
    </row>
    <row r="10" spans="2:20" x14ac:dyDescent="0.3">
      <c r="B10" s="70" t="s">
        <v>53</v>
      </c>
      <c r="C10" s="117">
        <v>12958.46</v>
      </c>
      <c r="D10" s="117">
        <v>34729.520000000004</v>
      </c>
      <c r="E10" s="117">
        <v>1281473.3204999999</v>
      </c>
      <c r="F10" s="117">
        <v>17005</v>
      </c>
      <c r="G10" s="117"/>
      <c r="H10" s="117"/>
      <c r="I10" s="117"/>
      <c r="J10" s="117"/>
      <c r="K10" s="117"/>
      <c r="L10" s="117"/>
      <c r="M10" s="117"/>
      <c r="N10" s="117"/>
      <c r="O10" s="76">
        <f t="shared" si="0"/>
        <v>1346166.3004999999</v>
      </c>
    </row>
    <row r="11" spans="2:20" x14ac:dyDescent="0.3">
      <c r="B11" s="70" t="s">
        <v>813</v>
      </c>
      <c r="C11" s="118"/>
      <c r="D11" s="118"/>
      <c r="E11" s="118"/>
      <c r="F11" s="117"/>
      <c r="G11" s="117">
        <v>71891.915000000008</v>
      </c>
      <c r="H11" s="117">
        <v>247367.58999999997</v>
      </c>
      <c r="I11" s="117">
        <v>181571.72999999998</v>
      </c>
      <c r="J11" s="117"/>
      <c r="K11" s="117">
        <v>662865.27</v>
      </c>
      <c r="L11" s="117">
        <v>4917.4249999999993</v>
      </c>
      <c r="M11" s="118">
        <v>639098.451</v>
      </c>
      <c r="N11" s="118">
        <v>207087.13097500001</v>
      </c>
      <c r="O11" s="76">
        <f t="shared" si="0"/>
        <v>2014799.5119750001</v>
      </c>
    </row>
    <row r="12" spans="2:20" x14ac:dyDescent="0.3">
      <c r="B12" s="70" t="s">
        <v>67</v>
      </c>
      <c r="C12" s="117"/>
      <c r="D12" s="117">
        <v>60995.008199999997</v>
      </c>
      <c r="E12" s="117">
        <v>130940</v>
      </c>
      <c r="F12" s="117">
        <v>868840.01168000011</v>
      </c>
      <c r="G12" s="117">
        <v>56406.8</v>
      </c>
      <c r="H12" s="117"/>
      <c r="I12" s="117">
        <v>12319.42028</v>
      </c>
      <c r="J12" s="117"/>
      <c r="K12" s="117"/>
      <c r="L12" s="117"/>
      <c r="M12" s="117"/>
      <c r="N12" s="117"/>
      <c r="O12" s="76">
        <f t="shared" si="0"/>
        <v>1129501.24016</v>
      </c>
    </row>
    <row r="13" spans="2:20" x14ac:dyDescent="0.3">
      <c r="B13" s="70" t="s">
        <v>12</v>
      </c>
      <c r="C13" s="117">
        <v>19000</v>
      </c>
      <c r="D13" s="117">
        <v>1049776.7035000001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76">
        <f t="shared" si="0"/>
        <v>1068776.7035000001</v>
      </c>
    </row>
    <row r="14" spans="2:20" x14ac:dyDescent="0.3">
      <c r="B14" s="70" t="s">
        <v>16</v>
      </c>
      <c r="C14" s="117">
        <v>72345.396875000006</v>
      </c>
      <c r="D14" s="117">
        <v>103304</v>
      </c>
      <c r="E14" s="117"/>
      <c r="F14" s="117">
        <v>59426.151199999993</v>
      </c>
      <c r="G14" s="117">
        <v>124529.54000000001</v>
      </c>
      <c r="H14" s="117"/>
      <c r="I14" s="117">
        <v>148520.50999999998</v>
      </c>
      <c r="J14" s="117">
        <v>102670</v>
      </c>
      <c r="K14" s="117">
        <v>125503.09999999999</v>
      </c>
      <c r="L14" s="117"/>
      <c r="M14" s="117">
        <v>14178</v>
      </c>
      <c r="N14" s="118">
        <v>102993.68154700001</v>
      </c>
      <c r="O14" s="76">
        <f t="shared" si="0"/>
        <v>853470.37962200004</v>
      </c>
    </row>
    <row r="15" spans="2:20" x14ac:dyDescent="0.3">
      <c r="B15" s="70" t="s">
        <v>64</v>
      </c>
      <c r="C15" s="117">
        <v>365803.99292700004</v>
      </c>
      <c r="D15" s="117">
        <v>41630.767899999999</v>
      </c>
      <c r="E15" s="117"/>
      <c r="F15" s="117"/>
      <c r="G15" s="117">
        <v>188091.60178800003</v>
      </c>
      <c r="H15" s="117"/>
      <c r="I15" s="117"/>
      <c r="J15" s="117">
        <v>221867.337481</v>
      </c>
      <c r="K15" s="117">
        <v>6407.8271400000003</v>
      </c>
      <c r="L15" s="117"/>
      <c r="M15" s="117"/>
      <c r="N15" s="117"/>
      <c r="O15" s="76">
        <f t="shared" si="0"/>
        <v>823801.52723599994</v>
      </c>
    </row>
    <row r="16" spans="2:20" x14ac:dyDescent="0.3">
      <c r="B16" s="70" t="s">
        <v>846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>
        <v>103607.64</v>
      </c>
      <c r="M16" s="118">
        <v>260500.39</v>
      </c>
      <c r="N16" s="118">
        <v>386991.35999999999</v>
      </c>
      <c r="O16" s="76">
        <f t="shared" si="0"/>
        <v>751099.39</v>
      </c>
      <c r="T16" s="44"/>
    </row>
    <row r="17" spans="2:20" x14ac:dyDescent="0.3">
      <c r="B17" s="70" t="s">
        <v>69</v>
      </c>
      <c r="C17" s="117"/>
      <c r="D17" s="117">
        <v>6866.42</v>
      </c>
      <c r="E17" s="117"/>
      <c r="F17" s="117">
        <v>121454.18409600001</v>
      </c>
      <c r="G17" s="117"/>
      <c r="H17" s="117">
        <v>268049.15999999997</v>
      </c>
      <c r="I17" s="117"/>
      <c r="J17" s="117"/>
      <c r="K17" s="117"/>
      <c r="L17" s="117"/>
      <c r="M17" s="117"/>
      <c r="N17" s="117"/>
      <c r="O17" s="76">
        <f t="shared" si="0"/>
        <v>396369.764096</v>
      </c>
    </row>
    <row r="18" spans="2:20" x14ac:dyDescent="0.3">
      <c r="B18" s="70" t="s">
        <v>55</v>
      </c>
      <c r="C18" s="117">
        <v>33847.599999999999</v>
      </c>
      <c r="D18" s="117"/>
      <c r="E18" s="117"/>
      <c r="F18" s="117"/>
      <c r="G18" s="117"/>
      <c r="H18" s="117">
        <v>144266.93</v>
      </c>
      <c r="I18" s="117"/>
      <c r="J18" s="117"/>
      <c r="K18" s="117">
        <v>105563.23659999999</v>
      </c>
      <c r="L18" s="117">
        <v>79677.119999999995</v>
      </c>
      <c r="M18" s="117"/>
      <c r="N18" s="117"/>
      <c r="O18" s="76">
        <f t="shared" si="0"/>
        <v>363354.88659999997</v>
      </c>
    </row>
    <row r="19" spans="2:20" x14ac:dyDescent="0.3">
      <c r="B19" s="73" t="s">
        <v>827</v>
      </c>
      <c r="C19" s="118"/>
      <c r="D19" s="118"/>
      <c r="E19" s="118"/>
      <c r="F19" s="117"/>
      <c r="G19" s="117"/>
      <c r="H19" s="117">
        <v>279308.26</v>
      </c>
      <c r="I19" s="117">
        <v>80701.509050000022</v>
      </c>
      <c r="J19" s="117"/>
      <c r="K19" s="117"/>
      <c r="L19" s="117"/>
      <c r="M19" s="118"/>
      <c r="N19" s="118"/>
      <c r="O19" s="76">
        <f t="shared" si="0"/>
        <v>360009.76905</v>
      </c>
    </row>
    <row r="20" spans="2:20" x14ac:dyDescent="0.3">
      <c r="B20" s="73" t="s">
        <v>843</v>
      </c>
      <c r="C20" s="117"/>
      <c r="D20" s="117"/>
      <c r="E20" s="117"/>
      <c r="F20" s="117"/>
      <c r="G20" s="117"/>
      <c r="H20" s="117"/>
      <c r="I20" s="117"/>
      <c r="J20" s="117"/>
      <c r="K20" s="117">
        <v>115500</v>
      </c>
      <c r="L20" s="117"/>
      <c r="M20" s="117"/>
      <c r="N20" s="117">
        <v>222418.7</v>
      </c>
      <c r="O20" s="76">
        <f t="shared" si="0"/>
        <v>337918.7</v>
      </c>
      <c r="T20" s="44"/>
    </row>
    <row r="21" spans="2:20" x14ac:dyDescent="0.3">
      <c r="B21" s="70" t="s">
        <v>20</v>
      </c>
      <c r="C21" s="117">
        <v>43577.307917999999</v>
      </c>
      <c r="D21" s="117">
        <v>153739.26639999999</v>
      </c>
      <c r="E21" s="117"/>
      <c r="F21" s="117"/>
      <c r="G21" s="117">
        <v>68043.37</v>
      </c>
      <c r="H21" s="117"/>
      <c r="I21" s="117"/>
      <c r="J21" s="117"/>
      <c r="K21" s="117"/>
      <c r="L21" s="117"/>
      <c r="M21" s="117">
        <v>1503</v>
      </c>
      <c r="N21" s="117"/>
      <c r="O21" s="76">
        <f t="shared" si="0"/>
        <v>266862.94431799999</v>
      </c>
    </row>
    <row r="22" spans="2:20" x14ac:dyDescent="0.3">
      <c r="B22" s="70" t="s">
        <v>65</v>
      </c>
      <c r="C22" s="117">
        <v>108308.51999999999</v>
      </c>
      <c r="D22" s="117">
        <v>131996.64000000001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76">
        <f t="shared" si="0"/>
        <v>240305.16</v>
      </c>
    </row>
    <row r="23" spans="2:20" x14ac:dyDescent="0.3">
      <c r="B23" s="70" t="s">
        <v>826</v>
      </c>
      <c r="C23" s="117">
        <v>24509.02</v>
      </c>
      <c r="D23" s="117">
        <v>16195.75</v>
      </c>
      <c r="E23" s="117">
        <v>37308.759999999995</v>
      </c>
      <c r="F23" s="117">
        <v>79919.460000000021</v>
      </c>
      <c r="G23" s="117">
        <v>41762.950000000004</v>
      </c>
      <c r="H23" s="117">
        <v>16828.68</v>
      </c>
      <c r="I23" s="117"/>
      <c r="J23" s="117">
        <v>8153.8700000000008</v>
      </c>
      <c r="K23" s="117"/>
      <c r="L23" s="117"/>
      <c r="M23" s="117"/>
      <c r="N23" s="117"/>
      <c r="O23" s="76">
        <f t="shared" si="0"/>
        <v>224678.49000000002</v>
      </c>
    </row>
    <row r="24" spans="2:20" x14ac:dyDescent="0.3">
      <c r="B24" s="70" t="s">
        <v>14</v>
      </c>
      <c r="C24" s="117">
        <v>79750.89</v>
      </c>
      <c r="D24" s="117"/>
      <c r="E24" s="117">
        <v>69731</v>
      </c>
      <c r="F24" s="117"/>
      <c r="G24" s="117"/>
      <c r="H24" s="117"/>
      <c r="I24" s="117"/>
      <c r="J24" s="117"/>
      <c r="K24" s="117"/>
      <c r="L24" s="117"/>
      <c r="M24" s="117">
        <v>16050</v>
      </c>
      <c r="N24" s="117">
        <v>57750</v>
      </c>
      <c r="O24" s="76">
        <f t="shared" si="0"/>
        <v>223281.89</v>
      </c>
      <c r="T24" s="44"/>
    </row>
    <row r="25" spans="2:20" x14ac:dyDescent="0.3">
      <c r="B25" s="70" t="s">
        <v>15</v>
      </c>
      <c r="C25" s="117">
        <v>219609.45</v>
      </c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76">
        <f t="shared" si="0"/>
        <v>219609.45</v>
      </c>
      <c r="T25" s="44"/>
    </row>
    <row r="26" spans="2:20" x14ac:dyDescent="0.3">
      <c r="B26" s="70" t="s">
        <v>13</v>
      </c>
      <c r="C26" s="117"/>
      <c r="D26" s="117">
        <v>7696.04</v>
      </c>
      <c r="E26" s="117"/>
      <c r="F26" s="117"/>
      <c r="G26" s="117"/>
      <c r="H26" s="117">
        <v>3506.7</v>
      </c>
      <c r="I26" s="117">
        <v>179866.02600000001</v>
      </c>
      <c r="J26" s="117"/>
      <c r="K26" s="117"/>
      <c r="L26" s="117"/>
      <c r="M26" s="117"/>
      <c r="N26" s="117"/>
      <c r="O26" s="76">
        <f t="shared" si="0"/>
        <v>191068.766</v>
      </c>
      <c r="T26" s="44"/>
    </row>
    <row r="27" spans="2:20" x14ac:dyDescent="0.3">
      <c r="B27" s="41" t="s">
        <v>851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>
        <v>180581</v>
      </c>
      <c r="N27" s="117">
        <v>18844.644499999999</v>
      </c>
      <c r="O27" s="76">
        <f t="shared" si="0"/>
        <v>199425.64449999999</v>
      </c>
      <c r="T27" s="44"/>
    </row>
    <row r="28" spans="2:20" x14ac:dyDescent="0.3">
      <c r="B28" s="70" t="s">
        <v>19</v>
      </c>
      <c r="C28" s="117"/>
      <c r="D28" s="117">
        <v>150348.82113199998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76">
        <f t="shared" si="0"/>
        <v>150348.82113199998</v>
      </c>
      <c r="T28" s="44"/>
    </row>
    <row r="29" spans="2:20" x14ac:dyDescent="0.3">
      <c r="B29" s="73" t="s">
        <v>839</v>
      </c>
      <c r="C29" s="117"/>
      <c r="D29" s="117"/>
      <c r="E29" s="117"/>
      <c r="F29" s="117"/>
      <c r="G29" s="117"/>
      <c r="H29" s="117"/>
      <c r="I29" s="117"/>
      <c r="J29" s="117">
        <v>142766.91</v>
      </c>
      <c r="K29" s="117"/>
      <c r="L29" s="117"/>
      <c r="M29" s="117"/>
      <c r="N29" s="117"/>
      <c r="O29" s="76">
        <f t="shared" si="0"/>
        <v>142766.91</v>
      </c>
      <c r="T29" s="44"/>
    </row>
    <row r="30" spans="2:20" x14ac:dyDescent="0.3">
      <c r="B30" s="70" t="s">
        <v>11</v>
      </c>
      <c r="C30" s="117"/>
      <c r="D30" s="117">
        <v>13390.64</v>
      </c>
      <c r="E30" s="117"/>
      <c r="F30" s="117">
        <v>25100</v>
      </c>
      <c r="G30" s="117">
        <v>12950</v>
      </c>
      <c r="H30" s="117">
        <v>34374</v>
      </c>
      <c r="I30" s="117"/>
      <c r="J30" s="117"/>
      <c r="K30" s="117"/>
      <c r="L30" s="117"/>
      <c r="M30" s="118">
        <v>27800</v>
      </c>
      <c r="N30" s="117"/>
      <c r="O30" s="76">
        <f t="shared" si="0"/>
        <v>113614.64</v>
      </c>
      <c r="T30" s="44"/>
    </row>
    <row r="31" spans="2:20" x14ac:dyDescent="0.3">
      <c r="B31" s="70" t="s">
        <v>18</v>
      </c>
      <c r="C31" s="117">
        <v>16926.71</v>
      </c>
      <c r="D31" s="117"/>
      <c r="E31" s="117"/>
      <c r="F31" s="117">
        <v>43406.71</v>
      </c>
      <c r="G31" s="117"/>
      <c r="H31" s="117"/>
      <c r="I31" s="117">
        <v>43552.3</v>
      </c>
      <c r="J31" s="117"/>
      <c r="K31" s="117"/>
      <c r="L31" s="117"/>
      <c r="M31" s="117"/>
      <c r="N31" s="117"/>
      <c r="O31" s="76">
        <f t="shared" si="0"/>
        <v>103885.72</v>
      </c>
      <c r="T31" s="44"/>
    </row>
    <row r="32" spans="2:20" x14ac:dyDescent="0.3">
      <c r="B32" s="73" t="s">
        <v>838</v>
      </c>
      <c r="C32" s="117"/>
      <c r="D32" s="117"/>
      <c r="E32" s="117"/>
      <c r="F32" s="117"/>
      <c r="G32" s="117"/>
      <c r="H32" s="117"/>
      <c r="I32" s="117"/>
      <c r="J32" s="117">
        <v>101819.78878</v>
      </c>
      <c r="K32" s="117"/>
      <c r="L32" s="117"/>
      <c r="M32" s="117"/>
      <c r="N32" s="117"/>
      <c r="O32" s="76">
        <f t="shared" si="0"/>
        <v>101819.78878</v>
      </c>
      <c r="T32" s="44"/>
    </row>
    <row r="33" spans="2:20" x14ac:dyDescent="0.3">
      <c r="B33" s="73" t="s">
        <v>845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>
        <v>98659.934999999998</v>
      </c>
      <c r="M33" s="117"/>
      <c r="N33" s="117"/>
      <c r="O33" s="76">
        <f t="shared" si="0"/>
        <v>98659.934999999998</v>
      </c>
      <c r="T33" s="44"/>
    </row>
    <row r="34" spans="2:20" x14ac:dyDescent="0.3">
      <c r="B34" s="41" t="s">
        <v>855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>
        <v>94965.75</v>
      </c>
      <c r="O34" s="76">
        <f t="shared" si="0"/>
        <v>94965.75</v>
      </c>
      <c r="T34" s="44"/>
    </row>
    <row r="35" spans="2:20" x14ac:dyDescent="0.3">
      <c r="B35" s="70" t="s">
        <v>66</v>
      </c>
      <c r="C35" s="117">
        <v>42059.885000000002</v>
      </c>
      <c r="D35" s="117">
        <v>19502.180700000001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76">
        <f t="shared" si="0"/>
        <v>61562.065700000006</v>
      </c>
      <c r="T35" s="44"/>
    </row>
    <row r="36" spans="2:20" x14ac:dyDescent="0.3">
      <c r="B36" s="73" t="s">
        <v>622</v>
      </c>
      <c r="C36" s="118"/>
      <c r="D36" s="118"/>
      <c r="E36" s="118"/>
      <c r="F36" s="117">
        <v>53941.545000000006</v>
      </c>
      <c r="G36" s="117"/>
      <c r="H36" s="117"/>
      <c r="I36" s="117"/>
      <c r="J36" s="117"/>
      <c r="K36" s="117"/>
      <c r="L36" s="117"/>
      <c r="M36" s="118"/>
      <c r="N36" s="118"/>
      <c r="O36" s="76">
        <f t="shared" si="0"/>
        <v>53941.545000000006</v>
      </c>
      <c r="T36" s="44"/>
    </row>
    <row r="37" spans="2:20" x14ac:dyDescent="0.3">
      <c r="B37" s="70" t="s">
        <v>17</v>
      </c>
      <c r="C37" s="117">
        <v>4887</v>
      </c>
      <c r="D37" s="117">
        <v>3439</v>
      </c>
      <c r="E37" s="117">
        <v>3340</v>
      </c>
      <c r="F37" s="117">
        <v>3334</v>
      </c>
      <c r="G37" s="117">
        <v>3508.62</v>
      </c>
      <c r="H37" s="117"/>
      <c r="I37" s="117">
        <v>3796.96</v>
      </c>
      <c r="J37" s="117">
        <v>7789.5</v>
      </c>
      <c r="K37" s="117">
        <v>4400</v>
      </c>
      <c r="L37" s="117"/>
      <c r="M37" s="117">
        <v>8400</v>
      </c>
      <c r="N37" s="117">
        <v>4200</v>
      </c>
      <c r="O37" s="76">
        <f t="shared" si="0"/>
        <v>47095.08</v>
      </c>
    </row>
    <row r="38" spans="2:20" x14ac:dyDescent="0.3">
      <c r="B38" s="72" t="s">
        <v>366</v>
      </c>
      <c r="C38" s="117"/>
      <c r="D38" s="117"/>
      <c r="E38" s="117">
        <v>33101</v>
      </c>
      <c r="F38" s="117"/>
      <c r="G38" s="117"/>
      <c r="H38" s="117"/>
      <c r="I38" s="117"/>
      <c r="J38" s="117"/>
      <c r="K38" s="117"/>
      <c r="L38" s="117"/>
      <c r="M38" s="117"/>
      <c r="N38" s="117"/>
      <c r="O38" s="76">
        <f t="shared" si="0"/>
        <v>33101</v>
      </c>
    </row>
    <row r="39" spans="2:20" x14ac:dyDescent="0.3">
      <c r="B39" s="72" t="s">
        <v>857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8">
        <v>30639.799800000001</v>
      </c>
      <c r="O39" s="76">
        <f t="shared" si="0"/>
        <v>30639.799800000001</v>
      </c>
    </row>
    <row r="40" spans="2:20" x14ac:dyDescent="0.3">
      <c r="B40" s="72" t="s">
        <v>835</v>
      </c>
      <c r="C40" s="117"/>
      <c r="D40" s="117"/>
      <c r="E40" s="117"/>
      <c r="F40" s="117"/>
      <c r="G40" s="117"/>
      <c r="H40" s="117"/>
      <c r="I40" s="117">
        <v>3638.44</v>
      </c>
      <c r="J40" s="117"/>
      <c r="K40" s="117"/>
      <c r="L40" s="117">
        <v>11986.26</v>
      </c>
      <c r="M40" s="117"/>
      <c r="N40" s="117"/>
      <c r="O40" s="76">
        <f t="shared" si="0"/>
        <v>15624.7</v>
      </c>
    </row>
    <row r="41" spans="2:20" x14ac:dyDescent="0.3">
      <c r="B41" s="73" t="s">
        <v>589</v>
      </c>
      <c r="C41" s="118"/>
      <c r="D41" s="118"/>
      <c r="E41" s="118"/>
      <c r="F41" s="117">
        <v>8760</v>
      </c>
      <c r="G41" s="117"/>
      <c r="H41" s="117"/>
      <c r="I41" s="117"/>
      <c r="J41" s="117"/>
      <c r="K41" s="117"/>
      <c r="L41" s="117"/>
      <c r="M41" s="118"/>
      <c r="N41" s="118"/>
      <c r="O41" s="76">
        <f t="shared" si="0"/>
        <v>8760</v>
      </c>
    </row>
    <row r="42" spans="2:20" x14ac:dyDescent="0.3">
      <c r="B42" s="41" t="s">
        <v>852</v>
      </c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>
        <v>6220</v>
      </c>
      <c r="N42" s="117"/>
      <c r="O42" s="76">
        <f t="shared" si="0"/>
        <v>6220</v>
      </c>
    </row>
    <row r="43" spans="2:20" x14ac:dyDescent="0.3">
      <c r="B43" s="73" t="s">
        <v>837</v>
      </c>
      <c r="C43" s="117"/>
      <c r="D43" s="117"/>
      <c r="E43" s="117"/>
      <c r="F43" s="117"/>
      <c r="G43" s="117"/>
      <c r="H43" s="117"/>
      <c r="I43" s="117"/>
      <c r="J43" s="117">
        <v>4999.9745400000011</v>
      </c>
      <c r="K43" s="117"/>
      <c r="L43" s="117"/>
      <c r="M43" s="117"/>
      <c r="N43" s="117"/>
      <c r="O43" s="76">
        <f t="shared" si="0"/>
        <v>4999.9745400000011</v>
      </c>
    </row>
    <row r="44" spans="2:20" x14ac:dyDescent="0.3">
      <c r="B44" s="72" t="s">
        <v>367</v>
      </c>
      <c r="C44" s="117"/>
      <c r="D44" s="117"/>
      <c r="E44" s="117">
        <v>4655</v>
      </c>
      <c r="F44" s="117"/>
      <c r="G44" s="117"/>
      <c r="H44" s="117"/>
      <c r="I44" s="117"/>
      <c r="J44" s="117"/>
      <c r="K44" s="117"/>
      <c r="L44" s="117"/>
      <c r="M44" s="117"/>
      <c r="N44" s="117"/>
      <c r="O44" s="76">
        <f t="shared" si="0"/>
        <v>4655</v>
      </c>
    </row>
    <row r="45" spans="2:20" x14ac:dyDescent="0.3">
      <c r="B45" s="41" t="s">
        <v>853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8">
        <v>4483.5886</v>
      </c>
      <c r="O45" s="76">
        <f t="shared" si="0"/>
        <v>4483.5886</v>
      </c>
    </row>
    <row r="46" spans="2:20" x14ac:dyDescent="0.3">
      <c r="B46" s="73" t="s">
        <v>590</v>
      </c>
      <c r="C46" s="117"/>
      <c r="D46" s="117"/>
      <c r="E46" s="117"/>
      <c r="F46" s="117">
        <v>2835</v>
      </c>
      <c r="G46" s="117"/>
      <c r="H46" s="117"/>
      <c r="I46" s="117"/>
      <c r="J46" s="117"/>
      <c r="K46" s="117"/>
      <c r="L46" s="117"/>
      <c r="M46" s="117"/>
      <c r="N46" s="117"/>
      <c r="O46" s="76">
        <f t="shared" si="0"/>
        <v>2835</v>
      </c>
    </row>
    <row r="47" spans="2:20" x14ac:dyDescent="0.3">
      <c r="B47" s="73" t="s">
        <v>859</v>
      </c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>
        <v>1246.4169999999999</v>
      </c>
      <c r="O47" s="76">
        <f t="shared" si="0"/>
        <v>1246.4169999999999</v>
      </c>
    </row>
    <row r="48" spans="2:20" x14ac:dyDescent="0.3">
      <c r="B48" s="73" t="s">
        <v>836</v>
      </c>
      <c r="C48" s="117"/>
      <c r="D48" s="117"/>
      <c r="E48" s="117"/>
      <c r="F48" s="117"/>
      <c r="G48" s="117"/>
      <c r="H48" s="117"/>
      <c r="I48" s="119"/>
      <c r="J48" s="117">
        <v>950</v>
      </c>
      <c r="K48" s="117"/>
      <c r="L48" s="117"/>
      <c r="M48" s="117"/>
      <c r="N48" s="117"/>
      <c r="O48" s="76">
        <f t="shared" si="0"/>
        <v>950</v>
      </c>
    </row>
    <row r="49" spans="2:15" ht="15" thickBot="1" x14ac:dyDescent="0.35">
      <c r="B49" s="77" t="s">
        <v>9</v>
      </c>
      <c r="C49" s="94">
        <f t="shared" ref="C49:N49" si="1">+SUM(C6:C48)</f>
        <v>2042669.0483190001</v>
      </c>
      <c r="D49" s="94">
        <f t="shared" si="1"/>
        <v>3177087.6690920005</v>
      </c>
      <c r="E49" s="94">
        <f t="shared" si="1"/>
        <v>3214387.7289999994</v>
      </c>
      <c r="F49" s="94">
        <f t="shared" si="1"/>
        <v>2864927.3542760001</v>
      </c>
      <c r="G49" s="94">
        <f t="shared" si="1"/>
        <v>5851088.9557480002</v>
      </c>
      <c r="H49" s="94">
        <f t="shared" si="1"/>
        <v>5529411.3399999989</v>
      </c>
      <c r="I49" s="94">
        <f t="shared" si="1"/>
        <v>4235738.7827170007</v>
      </c>
      <c r="J49" s="94">
        <f t="shared" si="1"/>
        <v>4006539.8344650008</v>
      </c>
      <c r="K49" s="94">
        <f t="shared" si="1"/>
        <v>3083967.9337400002</v>
      </c>
      <c r="L49" s="94">
        <f t="shared" si="1"/>
        <v>1800526.9200000002</v>
      </c>
      <c r="M49" s="94">
        <f t="shared" si="1"/>
        <v>4477784.2169999992</v>
      </c>
      <c r="N49" s="94">
        <f t="shared" si="1"/>
        <v>3838396.6524220002</v>
      </c>
      <c r="O49" s="90">
        <f>SUM(O6:O48)</f>
        <v>44122526.436779022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2024</vt:lpstr>
      <vt:lpstr>Acumulado 2025</vt:lpstr>
      <vt:lpstr>Por Oficina</vt:lpstr>
      <vt:lpstr>Mensual por Cliente 2025</vt:lpstr>
      <vt:lpstr>Por Trimestre 2024</vt:lpstr>
      <vt:lpstr>Por Tipo</vt:lpstr>
      <vt:lpstr>AC202</vt:lpstr>
      <vt:lpstr>ACT2025</vt:lpstr>
      <vt:lpstr>ANALISIS </vt:lpstr>
      <vt:lpstr>Mensual por Cliente 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Magnolia Chavez CGL 4</cp:lastModifiedBy>
  <dcterms:created xsi:type="dcterms:W3CDTF">2023-06-09T15:29:28Z</dcterms:created>
  <dcterms:modified xsi:type="dcterms:W3CDTF">2026-01-30T19:11:54Z</dcterms:modified>
</cp:coreProperties>
</file>
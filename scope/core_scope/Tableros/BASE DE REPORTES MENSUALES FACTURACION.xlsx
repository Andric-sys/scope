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uevo\Downloads\TABLEROS GERENCIALES\"/>
    </mc:Choice>
  </mc:AlternateContent>
  <xr:revisionPtr revIDLastSave="0" documentId="8_{6EAB3BBE-D51C-4756-8108-0E1D1AA8DF8D}" xr6:coauthVersionLast="47" xr6:coauthVersionMax="47" xr10:uidLastSave="{00000000-0000-0000-0000-000000000000}"/>
  <bookViews>
    <workbookView xWindow="-108" yWindow="-108" windowWidth="23256" windowHeight="13896" tabRatio="882" firstSheet="14" activeTab="20" xr2:uid="{00000000-000D-0000-FFFF-FFFF00000000}"/>
  </bookViews>
  <sheets>
    <sheet name="ENE MXN" sheetId="53" state="hidden" r:id="rId1"/>
    <sheet name="ENE USD " sheetId="54" state="hidden" r:id="rId2"/>
    <sheet name="FEB MXN" sheetId="55" state="hidden" r:id="rId3"/>
    <sheet name="FEB USD " sheetId="56" state="hidden" r:id="rId4"/>
    <sheet name="MAR MXN" sheetId="57" state="hidden" r:id="rId5"/>
    <sheet name="MAR USD " sheetId="58" state="hidden" r:id="rId6"/>
    <sheet name="ABR MXN " sheetId="59" state="hidden" r:id="rId7"/>
    <sheet name="ABR USD " sheetId="60" state="hidden" r:id="rId8"/>
    <sheet name="MAY MXN" sheetId="61" state="hidden" r:id="rId9"/>
    <sheet name="MAY USD " sheetId="62" state="hidden" r:id="rId10"/>
    <sheet name="JUL MXN" sheetId="63" state="hidden" r:id="rId11"/>
    <sheet name="JUL USD" sheetId="64" state="hidden" r:id="rId12"/>
    <sheet name="AGO MXN" sheetId="65" state="hidden" r:id="rId13"/>
    <sheet name="AGO USD" sheetId="66" state="hidden" r:id="rId14"/>
    <sheet name="SEP MXN " sheetId="67" r:id="rId15"/>
    <sheet name="SEP USD" sheetId="68" r:id="rId16"/>
    <sheet name="OCT MXN" sheetId="69" r:id="rId17"/>
    <sheet name="OCT USD" sheetId="70" r:id="rId18"/>
    <sheet name="NOV MXN" sheetId="71" r:id="rId19"/>
    <sheet name="NOV USD" sheetId="72" r:id="rId20"/>
    <sheet name="DIC MXN" sheetId="74" r:id="rId21"/>
    <sheet name="Hoja1" sheetId="76" r:id="rId22"/>
    <sheet name="Hoja2" sheetId="77" r:id="rId23"/>
    <sheet name="DIC USD" sheetId="75" r:id="rId24"/>
  </sheets>
  <definedNames>
    <definedName name="_xlnm._FilterDatabase" localSheetId="6" hidden="1">'ABR MXN '!$A$1:$AH$76</definedName>
    <definedName name="_xlnm._FilterDatabase" localSheetId="7" hidden="1">'ABR USD '!$A$2:$AG$19</definedName>
    <definedName name="_xlnm._FilterDatabase" localSheetId="12" hidden="1">'AGO MXN'!$A$1:$AM$150</definedName>
    <definedName name="_xlnm._FilterDatabase" localSheetId="13" hidden="1">'AGO USD'!$A$2:$AM$19</definedName>
    <definedName name="_xlnm._FilterDatabase" localSheetId="20" hidden="1">'DIC MXN'!$A$1:$AP$99</definedName>
    <definedName name="_xlnm._FilterDatabase" localSheetId="23" hidden="1">'DIC USD'!$D$2:$AP$21</definedName>
    <definedName name="_xlnm._FilterDatabase" localSheetId="0" hidden="1">'ENE MXN'!$A$1:$AL$74</definedName>
    <definedName name="_xlnm._FilterDatabase" localSheetId="1" hidden="1">'ENE USD '!$A$2:$AG$19</definedName>
    <definedName name="_xlnm._FilterDatabase" localSheetId="2" hidden="1">'FEB MXN'!$A$1:$AF$77</definedName>
    <definedName name="_xlnm._FilterDatabase" localSheetId="3" hidden="1">'FEB USD '!$A$2:$AG$19</definedName>
    <definedName name="_xlnm._FilterDatabase" localSheetId="21" hidden="1">Hoja1!$B$1:$G$106</definedName>
    <definedName name="_xlnm._FilterDatabase" localSheetId="10" hidden="1">'JUL MXN'!$A$1:$AM$153</definedName>
    <definedName name="_xlnm._FilterDatabase" localSheetId="11" hidden="1">'JUL USD'!$A$2:$AG$19</definedName>
    <definedName name="_xlnm._FilterDatabase" localSheetId="4" hidden="1">'MAR MXN'!$A$1:$AK$100</definedName>
    <definedName name="_xlnm._FilterDatabase" localSheetId="5" hidden="1">'MAR USD '!$A$2:$AG$19</definedName>
    <definedName name="_xlnm._FilterDatabase" localSheetId="8" hidden="1">'MAY MXN'!$A$1:$AK$146</definedName>
    <definedName name="_xlnm._FilterDatabase" localSheetId="9" hidden="1">'MAY USD '!$A$2:$AG$19</definedName>
    <definedName name="_xlnm._FilterDatabase" localSheetId="18" hidden="1">'NOV MXN'!$A$1:$AP$100</definedName>
    <definedName name="_xlnm._FilterDatabase" localSheetId="19" hidden="1">'NOV USD'!$D$2:$AP$19</definedName>
    <definedName name="_xlnm._FilterDatabase" localSheetId="16" hidden="1">'OCT MXN'!$A$1:$AP$100</definedName>
    <definedName name="_xlnm._FilterDatabase" localSheetId="17" hidden="1">'OCT USD'!$D$2:$AP$19</definedName>
    <definedName name="_xlnm._FilterDatabase" localSheetId="14" hidden="1">'SEP MXN '!$A$1:$AM$91</definedName>
    <definedName name="_xlnm._FilterDatabase" localSheetId="15" hidden="1">'SEP USD'!$A$2:$AM$19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76" l="1"/>
  <c r="M19" i="75"/>
  <c r="O19" i="75" s="1"/>
  <c r="U19" i="75" s="1"/>
  <c r="M18" i="75"/>
  <c r="O18" i="75" s="1"/>
  <c r="U18" i="75" s="1"/>
  <c r="Q19" i="75"/>
  <c r="Q18" i="75"/>
  <c r="R19" i="75"/>
  <c r="R18" i="75"/>
  <c r="T19" i="75"/>
  <c r="T18" i="75"/>
  <c r="AP19" i="75"/>
  <c r="AP18" i="75"/>
  <c r="AP17" i="75"/>
  <c r="AO19" i="75"/>
  <c r="AO18" i="75"/>
  <c r="AO17" i="75"/>
  <c r="AN19" i="75"/>
  <c r="AN18" i="75"/>
  <c r="AN17" i="75"/>
  <c r="AM19" i="75"/>
  <c r="AM18" i="75"/>
  <c r="AM17" i="75"/>
  <c r="AL19" i="75"/>
  <c r="AL18" i="75"/>
  <c r="AL17" i="75"/>
  <c r="AK19" i="75"/>
  <c r="AK18" i="75"/>
  <c r="AK17" i="75"/>
  <c r="AJ19" i="75"/>
  <c r="AJ18" i="75"/>
  <c r="AJ17" i="75"/>
  <c r="AI19" i="75"/>
  <c r="AI18" i="75"/>
  <c r="AI17" i="75"/>
  <c r="AH20" i="75"/>
  <c r="AH19" i="75"/>
  <c r="AH18" i="75"/>
  <c r="AH17" i="75"/>
  <c r="Q17" i="75"/>
  <c r="R17" i="75"/>
  <c r="T17" i="75"/>
  <c r="M17" i="75"/>
  <c r="S17" i="75" s="1"/>
  <c r="S18" i="75" l="1"/>
  <c r="S19" i="75"/>
  <c r="O17" i="75"/>
  <c r="U17" i="75" s="1"/>
  <c r="H90" i="74" l="1"/>
  <c r="H89" i="74"/>
  <c r="H85" i="74"/>
  <c r="H83" i="74"/>
  <c r="H82" i="74"/>
  <c r="H81" i="74"/>
  <c r="H79" i="74" l="1"/>
  <c r="H78" i="74"/>
  <c r="H77" i="74"/>
  <c r="H76" i="74"/>
  <c r="S75" i="74" l="1"/>
  <c r="Q75" i="74"/>
  <c r="H75" i="74"/>
  <c r="G75" i="74"/>
  <c r="Q71" i="74"/>
  <c r="H71" i="74"/>
  <c r="G71" i="74"/>
  <c r="Q68" i="74"/>
  <c r="G68" i="74"/>
  <c r="H68" i="74" s="1"/>
  <c r="S67" i="74"/>
  <c r="Q67" i="74"/>
  <c r="H67" i="74"/>
  <c r="G67" i="74"/>
  <c r="AB11" i="75"/>
  <c r="K11" i="75"/>
  <c r="S65" i="74"/>
  <c r="H65" i="74"/>
  <c r="H64" i="74"/>
  <c r="H63" i="74"/>
  <c r="S62" i="74"/>
  <c r="Q62" i="74"/>
  <c r="G62" i="74"/>
  <c r="H62" i="74"/>
  <c r="H60" i="74"/>
  <c r="U56" i="74"/>
  <c r="H51" i="74"/>
  <c r="Q50" i="74"/>
  <c r="G50" i="74"/>
  <c r="H50" i="74" s="1"/>
  <c r="H49" i="74"/>
  <c r="H48" i="74"/>
  <c r="H47" i="74" l="1"/>
  <c r="I47" i="74" s="1"/>
  <c r="J47" i="74" s="1"/>
  <c r="L47" i="74" s="1"/>
  <c r="H46" i="74"/>
  <c r="I46" i="74" s="1"/>
  <c r="J46" i="74" s="1"/>
  <c r="L46" i="74" s="1"/>
  <c r="H45" i="74"/>
  <c r="I45" i="74" s="1"/>
  <c r="J45" i="74" s="1"/>
  <c r="L45" i="74" s="1"/>
  <c r="H44" i="74"/>
  <c r="AI44" i="74" s="1"/>
  <c r="H43" i="74"/>
  <c r="AI43" i="74" s="1"/>
  <c r="H42" i="74"/>
  <c r="H40" i="74"/>
  <c r="I40" i="74" s="1"/>
  <c r="J40" i="74" s="1"/>
  <c r="L40" i="74" s="1"/>
  <c r="H39" i="74"/>
  <c r="AI39" i="74" s="1"/>
  <c r="H37" i="74"/>
  <c r="AF8" i="75"/>
  <c r="AF21" i="75" s="1"/>
  <c r="H32" i="74"/>
  <c r="AI32" i="74" s="1"/>
  <c r="H31" i="74"/>
  <c r="AI31" i="74" s="1"/>
  <c r="H28" i="74"/>
  <c r="AI28" i="74" s="1"/>
  <c r="S27" i="74"/>
  <c r="S99" i="74" s="1"/>
  <c r="AO2" i="74" s="1"/>
  <c r="H27" i="74"/>
  <c r="I27" i="74" s="1"/>
  <c r="H20" i="74"/>
  <c r="I20" i="74" s="1"/>
  <c r="Q19" i="74"/>
  <c r="Q99" i="74" s="1"/>
  <c r="H19" i="74"/>
  <c r="AI19" i="74" s="1"/>
  <c r="G19" i="74"/>
  <c r="H12" i="74"/>
  <c r="AI12" i="74" s="1"/>
  <c r="H11" i="74"/>
  <c r="H9" i="74"/>
  <c r="H4" i="74"/>
  <c r="H3" i="74"/>
  <c r="I98" i="74"/>
  <c r="J98" i="74" s="1"/>
  <c r="L98" i="74" s="1"/>
  <c r="I97" i="74"/>
  <c r="J97" i="74" s="1"/>
  <c r="L97" i="74" s="1"/>
  <c r="I96" i="74"/>
  <c r="J96" i="74" s="1"/>
  <c r="L96" i="74" s="1"/>
  <c r="I95" i="74"/>
  <c r="J95" i="74" s="1"/>
  <c r="L95" i="74" s="1"/>
  <c r="I94" i="74"/>
  <c r="J94" i="74" s="1"/>
  <c r="L94" i="74" s="1"/>
  <c r="I93" i="74"/>
  <c r="I92" i="74"/>
  <c r="J92" i="74" s="1"/>
  <c r="L92" i="74" s="1"/>
  <c r="I91" i="74"/>
  <c r="I90" i="74"/>
  <c r="I89" i="74"/>
  <c r="I88" i="74"/>
  <c r="I87" i="74"/>
  <c r="I86" i="74"/>
  <c r="J86" i="74" s="1"/>
  <c r="L86" i="74" s="1"/>
  <c r="I85" i="74"/>
  <c r="I84" i="74"/>
  <c r="I83" i="74"/>
  <c r="I82" i="74"/>
  <c r="I81" i="74"/>
  <c r="I80" i="74"/>
  <c r="I79" i="74"/>
  <c r="I78" i="74"/>
  <c r="I77" i="74"/>
  <c r="J77" i="74" s="1"/>
  <c r="L77" i="74" s="1"/>
  <c r="I76" i="74"/>
  <c r="I75" i="74"/>
  <c r="J75" i="74" s="1"/>
  <c r="L75" i="74" s="1"/>
  <c r="I74" i="74"/>
  <c r="I73" i="74"/>
  <c r="J73" i="74" s="1"/>
  <c r="L73" i="74" s="1"/>
  <c r="I72" i="74"/>
  <c r="J72" i="74" s="1"/>
  <c r="L72" i="74" s="1"/>
  <c r="I71" i="74"/>
  <c r="J71" i="74" s="1"/>
  <c r="L71" i="74" s="1"/>
  <c r="I70" i="74"/>
  <c r="J70" i="74" s="1"/>
  <c r="L70" i="74" s="1"/>
  <c r="I69" i="74"/>
  <c r="J69" i="74" s="1"/>
  <c r="L69" i="74" s="1"/>
  <c r="I68" i="74"/>
  <c r="I67" i="74"/>
  <c r="J67" i="74" s="1"/>
  <c r="L67" i="74" s="1"/>
  <c r="I66" i="74"/>
  <c r="J66" i="74" s="1"/>
  <c r="L66" i="74" s="1"/>
  <c r="I65" i="74"/>
  <c r="J65" i="74" s="1"/>
  <c r="L65" i="74" s="1"/>
  <c r="I64" i="74"/>
  <c r="J64" i="74" s="1"/>
  <c r="L64" i="74" s="1"/>
  <c r="I63" i="74"/>
  <c r="J63" i="74" s="1"/>
  <c r="L63" i="74" s="1"/>
  <c r="I62" i="74"/>
  <c r="J62" i="74" s="1"/>
  <c r="L62" i="74" s="1"/>
  <c r="I61" i="74"/>
  <c r="J61" i="74" s="1"/>
  <c r="L61" i="74" s="1"/>
  <c r="I60" i="74"/>
  <c r="J60" i="74" s="1"/>
  <c r="L60" i="74" s="1"/>
  <c r="I59" i="74"/>
  <c r="J59" i="74" s="1"/>
  <c r="L59" i="74" s="1"/>
  <c r="I58" i="74"/>
  <c r="J58" i="74" s="1"/>
  <c r="L58" i="74" s="1"/>
  <c r="I57" i="74"/>
  <c r="J57" i="74" s="1"/>
  <c r="L57" i="74" s="1"/>
  <c r="I56" i="74"/>
  <c r="J56" i="74" s="1"/>
  <c r="L56" i="74" s="1"/>
  <c r="I55" i="74"/>
  <c r="J55" i="74" s="1"/>
  <c r="L55" i="74" s="1"/>
  <c r="I54" i="74"/>
  <c r="J54" i="74" s="1"/>
  <c r="L54" i="74" s="1"/>
  <c r="I53" i="74"/>
  <c r="J53" i="74" s="1"/>
  <c r="L53" i="74" s="1"/>
  <c r="I52" i="74"/>
  <c r="J52" i="74" s="1"/>
  <c r="L52" i="74" s="1"/>
  <c r="I51" i="74"/>
  <c r="J51" i="74" s="1"/>
  <c r="L51" i="74" s="1"/>
  <c r="I50" i="74"/>
  <c r="J50" i="74" s="1"/>
  <c r="L50" i="74" s="1"/>
  <c r="I49" i="74"/>
  <c r="J49" i="74" s="1"/>
  <c r="L49" i="74" s="1"/>
  <c r="I48" i="74"/>
  <c r="I43" i="74"/>
  <c r="J43" i="74" s="1"/>
  <c r="L43" i="74" s="1"/>
  <c r="I41" i="74"/>
  <c r="J41" i="74" s="1"/>
  <c r="L41" i="74" s="1"/>
  <c r="I38" i="74"/>
  <c r="J38" i="74" s="1"/>
  <c r="L38" i="74" s="1"/>
  <c r="I36" i="74"/>
  <c r="J36" i="74" s="1"/>
  <c r="L36" i="74" s="1"/>
  <c r="I35" i="74"/>
  <c r="I34" i="74"/>
  <c r="I33" i="74"/>
  <c r="J33" i="74" s="1"/>
  <c r="L33" i="74" s="1"/>
  <c r="I30" i="74"/>
  <c r="I29" i="74"/>
  <c r="J29" i="74" s="1"/>
  <c r="L29" i="74" s="1"/>
  <c r="I26" i="74"/>
  <c r="I25" i="74"/>
  <c r="J25" i="74" s="1"/>
  <c r="L25" i="74" s="1"/>
  <c r="I24" i="74"/>
  <c r="J24" i="74" s="1"/>
  <c r="L24" i="74" s="1"/>
  <c r="I23" i="74"/>
  <c r="I22" i="74"/>
  <c r="J22" i="74" s="1"/>
  <c r="L22" i="74" s="1"/>
  <c r="I21" i="74"/>
  <c r="J21" i="74" s="1"/>
  <c r="L21" i="74" s="1"/>
  <c r="I18" i="74"/>
  <c r="J18" i="74" s="1"/>
  <c r="L18" i="74" s="1"/>
  <c r="I17" i="74"/>
  <c r="I16" i="74"/>
  <c r="J16" i="74" s="1"/>
  <c r="L16" i="74" s="1"/>
  <c r="I15" i="74"/>
  <c r="I14" i="74"/>
  <c r="J14" i="74" s="1"/>
  <c r="L14" i="74" s="1"/>
  <c r="I13" i="74"/>
  <c r="I11" i="74"/>
  <c r="I10" i="74"/>
  <c r="J10" i="74" s="1"/>
  <c r="L10" i="74" s="1"/>
  <c r="I9" i="74"/>
  <c r="I8" i="74"/>
  <c r="I7" i="74"/>
  <c r="I6" i="74"/>
  <c r="J6" i="74" s="1"/>
  <c r="L6" i="74" s="1"/>
  <c r="I5" i="74"/>
  <c r="I4" i="74"/>
  <c r="J4" i="74" s="1"/>
  <c r="L4" i="74" s="1"/>
  <c r="I3" i="74"/>
  <c r="J3" i="74" s="1"/>
  <c r="L3" i="74" s="1"/>
  <c r="I2" i="74"/>
  <c r="AH4" i="75"/>
  <c r="X21" i="75"/>
  <c r="AB21" i="75"/>
  <c r="AE21" i="75"/>
  <c r="AD21" i="75"/>
  <c r="AC21" i="75"/>
  <c r="AA21" i="75"/>
  <c r="Z21" i="75"/>
  <c r="Y21" i="75"/>
  <c r="N21" i="75"/>
  <c r="L21" i="75"/>
  <c r="K21" i="75"/>
  <c r="J21" i="75"/>
  <c r="AP20" i="75"/>
  <c r="AO20" i="75"/>
  <c r="AN20" i="75"/>
  <c r="AM20" i="75"/>
  <c r="AL20" i="75"/>
  <c r="AK20" i="75"/>
  <c r="AJ20" i="75"/>
  <c r="AI20" i="75"/>
  <c r="T20" i="75"/>
  <c r="R20" i="75"/>
  <c r="Q20" i="75"/>
  <c r="M20" i="75"/>
  <c r="S20" i="75" s="1"/>
  <c r="AP16" i="75"/>
  <c r="AO16" i="75"/>
  <c r="AN16" i="75"/>
  <c r="AM16" i="75"/>
  <c r="AL16" i="75"/>
  <c r="AK16" i="75"/>
  <c r="AJ16" i="75"/>
  <c r="AI16" i="75"/>
  <c r="AH16" i="75"/>
  <c r="T16" i="75"/>
  <c r="R16" i="75"/>
  <c r="Q16" i="75"/>
  <c r="M16" i="75"/>
  <c r="S16" i="75" s="1"/>
  <c r="AP15" i="75"/>
  <c r="AO15" i="75"/>
  <c r="AN15" i="75"/>
  <c r="AM15" i="75"/>
  <c r="AL15" i="75"/>
  <c r="AK15" i="75"/>
  <c r="AJ15" i="75"/>
  <c r="AI15" i="75"/>
  <c r="AH15" i="75"/>
  <c r="T15" i="75"/>
  <c r="R15" i="75"/>
  <c r="Q15" i="75"/>
  <c r="M15" i="75"/>
  <c r="O15" i="75" s="1"/>
  <c r="U15" i="75" s="1"/>
  <c r="AP14" i="75"/>
  <c r="AO14" i="75"/>
  <c r="AN14" i="75"/>
  <c r="AM14" i="75"/>
  <c r="AL14" i="75"/>
  <c r="AK14" i="75"/>
  <c r="AJ14" i="75"/>
  <c r="AI14" i="75"/>
  <c r="AH14" i="75"/>
  <c r="T14" i="75"/>
  <c r="R14" i="75"/>
  <c r="Q14" i="75"/>
  <c r="M14" i="75"/>
  <c r="O14" i="75" s="1"/>
  <c r="U14" i="75" s="1"/>
  <c r="AP13" i="75"/>
  <c r="AO13" i="75"/>
  <c r="AN13" i="75"/>
  <c r="AM13" i="75"/>
  <c r="AL13" i="75"/>
  <c r="AK13" i="75"/>
  <c r="AJ13" i="75"/>
  <c r="AI13" i="75"/>
  <c r="AH13" i="75"/>
  <c r="T13" i="75"/>
  <c r="R13" i="75"/>
  <c r="Q13" i="75"/>
  <c r="M13" i="75"/>
  <c r="S13" i="75" s="1"/>
  <c r="AP12" i="75"/>
  <c r="AO12" i="75"/>
  <c r="AN12" i="75"/>
  <c r="AM12" i="75"/>
  <c r="AL12" i="75"/>
  <c r="AK12" i="75"/>
  <c r="AJ12" i="75"/>
  <c r="AI12" i="75"/>
  <c r="AH12" i="75"/>
  <c r="T12" i="75"/>
  <c r="R12" i="75"/>
  <c r="Q12" i="75"/>
  <c r="M12" i="75"/>
  <c r="S12" i="75" s="1"/>
  <c r="AP11" i="75"/>
  <c r="AO11" i="75"/>
  <c r="AN11" i="75"/>
  <c r="AM11" i="75"/>
  <c r="AL11" i="75"/>
  <c r="AK11" i="75"/>
  <c r="AJ11" i="75"/>
  <c r="AI11" i="75"/>
  <c r="AH11" i="75"/>
  <c r="T11" i="75"/>
  <c r="R11" i="75"/>
  <c r="Q11" i="75"/>
  <c r="M11" i="75"/>
  <c r="S11" i="75" s="1"/>
  <c r="AP10" i="75"/>
  <c r="AO10" i="75"/>
  <c r="AN10" i="75"/>
  <c r="AM10" i="75"/>
  <c r="AL10" i="75"/>
  <c r="AK10" i="75"/>
  <c r="AJ10" i="75"/>
  <c r="AI10" i="75"/>
  <c r="AH10" i="75"/>
  <c r="T10" i="75"/>
  <c r="R10" i="75"/>
  <c r="Q10" i="75"/>
  <c r="M10" i="75"/>
  <c r="O10" i="75" s="1"/>
  <c r="U10" i="75" s="1"/>
  <c r="AP9" i="75"/>
  <c r="AO9" i="75"/>
  <c r="AN9" i="75"/>
  <c r="AM9" i="75"/>
  <c r="AL9" i="75"/>
  <c r="AK9" i="75"/>
  <c r="AJ9" i="75"/>
  <c r="AI9" i="75"/>
  <c r="AH9" i="75"/>
  <c r="T9" i="75"/>
  <c r="R9" i="75"/>
  <c r="Q9" i="75"/>
  <c r="M9" i="75"/>
  <c r="S9" i="75" s="1"/>
  <c r="AO8" i="75"/>
  <c r="AN8" i="75"/>
  <c r="AM8" i="75"/>
  <c r="AL8" i="75"/>
  <c r="AK8" i="75"/>
  <c r="AJ8" i="75"/>
  <c r="AI8" i="75"/>
  <c r="AH8" i="75"/>
  <c r="T8" i="75"/>
  <c r="R8" i="75"/>
  <c r="Q8" i="75"/>
  <c r="M8" i="75"/>
  <c r="O8" i="75" s="1"/>
  <c r="U8" i="75" s="1"/>
  <c r="AP7" i="75"/>
  <c r="AO7" i="75"/>
  <c r="AN7" i="75"/>
  <c r="AM7" i="75"/>
  <c r="AK7" i="75"/>
  <c r="AJ7" i="75"/>
  <c r="AI7" i="75"/>
  <c r="AH7" i="75"/>
  <c r="T7" i="75"/>
  <c r="R7" i="75"/>
  <c r="Q7" i="75"/>
  <c r="M7" i="75"/>
  <c r="S7" i="75" s="1"/>
  <c r="AP6" i="75"/>
  <c r="AO6" i="75"/>
  <c r="AN6" i="75"/>
  <c r="AM6" i="75"/>
  <c r="AL6" i="75"/>
  <c r="AK6" i="75"/>
  <c r="AJ6" i="75"/>
  <c r="AI6" i="75"/>
  <c r="AH6" i="75"/>
  <c r="T6" i="75"/>
  <c r="R6" i="75"/>
  <c r="Q6" i="75"/>
  <c r="M6" i="75"/>
  <c r="S6" i="75" s="1"/>
  <c r="AP5" i="75"/>
  <c r="AO5" i="75"/>
  <c r="AN5" i="75"/>
  <c r="AM5" i="75"/>
  <c r="AL5" i="75"/>
  <c r="AK5" i="75"/>
  <c r="AJ5" i="75"/>
  <c r="AI5" i="75"/>
  <c r="AH5" i="75"/>
  <c r="T5" i="75"/>
  <c r="R5" i="75"/>
  <c r="Q5" i="75"/>
  <c r="M5" i="75"/>
  <c r="S5" i="75" s="1"/>
  <c r="AP4" i="75"/>
  <c r="AO4" i="75"/>
  <c r="AN4" i="75"/>
  <c r="AM4" i="75"/>
  <c r="AL4" i="75"/>
  <c r="AK4" i="75"/>
  <c r="AJ4" i="75"/>
  <c r="AI4" i="75"/>
  <c r="T4" i="75"/>
  <c r="R4" i="75"/>
  <c r="Q4" i="75"/>
  <c r="M4" i="75"/>
  <c r="S4" i="75" s="1"/>
  <c r="AP3" i="75"/>
  <c r="AO3" i="75"/>
  <c r="AN3" i="75"/>
  <c r="AM3" i="75"/>
  <c r="AL3" i="75"/>
  <c r="AK3" i="75"/>
  <c r="AJ3" i="75"/>
  <c r="AI3" i="75"/>
  <c r="AH3" i="75"/>
  <c r="T3" i="75"/>
  <c r="R3" i="75"/>
  <c r="Q3" i="75"/>
  <c r="M3" i="75"/>
  <c r="S3" i="75" s="1"/>
  <c r="J76" i="74"/>
  <c r="L76" i="74" s="1"/>
  <c r="D106" i="74"/>
  <c r="AH99" i="74"/>
  <c r="AO17" i="74" s="1"/>
  <c r="AQ17" i="74" s="1"/>
  <c r="AG99" i="74"/>
  <c r="AO16" i="74" s="1"/>
  <c r="AQ16" i="74" s="1"/>
  <c r="AF99" i="74"/>
  <c r="AO15" i="74" s="1"/>
  <c r="AD99" i="74"/>
  <c r="AO13" i="74" s="1"/>
  <c r="AB99" i="74"/>
  <c r="AO11" i="74" s="1"/>
  <c r="AQ11" i="74" s="1"/>
  <c r="AA99" i="74"/>
  <c r="AO10" i="74" s="1"/>
  <c r="AQ10" i="74" s="1"/>
  <c r="Z99" i="74"/>
  <c r="AO9" i="74" s="1"/>
  <c r="Y99" i="74"/>
  <c r="AO8" i="74" s="1"/>
  <c r="AQ8" i="74" s="1"/>
  <c r="X99" i="74"/>
  <c r="AO7" i="74" s="1"/>
  <c r="AQ7" i="74" s="1"/>
  <c r="V99" i="74"/>
  <c r="AO5" i="74" s="1"/>
  <c r="AQ5" i="74" s="1"/>
  <c r="T99" i="74"/>
  <c r="AO3" i="74" s="1"/>
  <c r="K99" i="74"/>
  <c r="L101" i="74" s="1"/>
  <c r="AI98" i="74"/>
  <c r="AI97" i="74"/>
  <c r="AI96" i="74"/>
  <c r="AI95" i="74"/>
  <c r="AI94" i="74"/>
  <c r="AI92" i="74"/>
  <c r="AI90" i="74"/>
  <c r="AI89" i="74"/>
  <c r="AI87" i="74"/>
  <c r="AI86" i="74"/>
  <c r="AI85" i="74"/>
  <c r="AC99" i="74"/>
  <c r="AO12" i="74" s="1"/>
  <c r="AQ12" i="74" s="1"/>
  <c r="AI82" i="74"/>
  <c r="AI81" i="74"/>
  <c r="AI80" i="74"/>
  <c r="AI78" i="74"/>
  <c r="AI77" i="74"/>
  <c r="AI76" i="74"/>
  <c r="AI75" i="74"/>
  <c r="AI73" i="74"/>
  <c r="AI72" i="74"/>
  <c r="AI71" i="74"/>
  <c r="AI70" i="74"/>
  <c r="AI69" i="74"/>
  <c r="AI68" i="74"/>
  <c r="AI67" i="74"/>
  <c r="AI66" i="74"/>
  <c r="AI65" i="74"/>
  <c r="AI64" i="74"/>
  <c r="AI63" i="74"/>
  <c r="AI62" i="74"/>
  <c r="AI61" i="74"/>
  <c r="AI60" i="74"/>
  <c r="AI59" i="74"/>
  <c r="AI58" i="74"/>
  <c r="AI57" i="74"/>
  <c r="AI56" i="74"/>
  <c r="AI55" i="74"/>
  <c r="AI54" i="74"/>
  <c r="AI53" i="74"/>
  <c r="AI52" i="74"/>
  <c r="AI51" i="74"/>
  <c r="AI50" i="74"/>
  <c r="AI49" i="74"/>
  <c r="AI41" i="74"/>
  <c r="AI38" i="74"/>
  <c r="U99" i="74"/>
  <c r="AO4" i="74" s="1"/>
  <c r="AE99" i="74"/>
  <c r="AO14" i="74" s="1"/>
  <c r="P99" i="74"/>
  <c r="AI35" i="74"/>
  <c r="AI33" i="74"/>
  <c r="AI30" i="74"/>
  <c r="AI29" i="74"/>
  <c r="AI26" i="74"/>
  <c r="AI25" i="74"/>
  <c r="AI24" i="74"/>
  <c r="AI23" i="74"/>
  <c r="AI22" i="74"/>
  <c r="AI21" i="74"/>
  <c r="AQ20" i="74"/>
  <c r="AI18" i="74"/>
  <c r="AI16" i="74"/>
  <c r="AI15" i="74"/>
  <c r="AI14" i="74"/>
  <c r="AI13" i="74"/>
  <c r="AI10" i="74"/>
  <c r="AI8" i="74"/>
  <c r="AI7" i="74"/>
  <c r="AI6" i="74"/>
  <c r="W99" i="74"/>
  <c r="AO6" i="74" s="1"/>
  <c r="AI3" i="74"/>
  <c r="AI2" i="74"/>
  <c r="U94" i="71"/>
  <c r="H94" i="71"/>
  <c r="G94" i="71"/>
  <c r="S15" i="75" l="1"/>
  <c r="AI46" i="74"/>
  <c r="AI47" i="74"/>
  <c r="I44" i="74"/>
  <c r="J44" i="74" s="1"/>
  <c r="L44" i="74" s="1"/>
  <c r="Q25" i="75"/>
  <c r="Q24" i="75"/>
  <c r="H105" i="74" s="1"/>
  <c r="J105" i="74" s="1"/>
  <c r="I28" i="74"/>
  <c r="J28" i="74" s="1"/>
  <c r="L28" i="74" s="1"/>
  <c r="I31" i="74"/>
  <c r="J31" i="74" s="1"/>
  <c r="L31" i="74" s="1"/>
  <c r="I37" i="74"/>
  <c r="J37" i="74" s="1"/>
  <c r="L37" i="74" s="1"/>
  <c r="I32" i="74"/>
  <c r="J32" i="74" s="1"/>
  <c r="L32" i="74" s="1"/>
  <c r="AI40" i="74"/>
  <c r="AI20" i="74"/>
  <c r="AI42" i="74"/>
  <c r="I42" i="74"/>
  <c r="J42" i="74" s="1"/>
  <c r="L42" i="74" s="1"/>
  <c r="S10" i="75"/>
  <c r="AI45" i="74"/>
  <c r="I39" i="74"/>
  <c r="J39" i="74"/>
  <c r="L39" i="74" s="1"/>
  <c r="AI37" i="74"/>
  <c r="AP8" i="75"/>
  <c r="AP21" i="75" s="1"/>
  <c r="AP19" i="74" s="1"/>
  <c r="I19" i="74"/>
  <c r="J19" i="74" s="1"/>
  <c r="L19" i="74" s="1"/>
  <c r="I12" i="74"/>
  <c r="J12" i="74" s="1"/>
  <c r="L12" i="74" s="1"/>
  <c r="T21" i="75"/>
  <c r="AL7" i="75"/>
  <c r="AL21" i="75" s="1"/>
  <c r="AF22" i="75"/>
  <c r="AF23" i="75" s="1"/>
  <c r="AI21" i="75"/>
  <c r="AP2" i="74" s="1"/>
  <c r="AQ2" i="74" s="1"/>
  <c r="AJ21" i="75"/>
  <c r="AM21" i="75"/>
  <c r="AK21" i="75"/>
  <c r="AN21" i="75"/>
  <c r="AO21" i="75"/>
  <c r="R21" i="75"/>
  <c r="O5" i="75"/>
  <c r="U5" i="75" s="1"/>
  <c r="Q21" i="75"/>
  <c r="O9" i="75"/>
  <c r="U9" i="75" s="1"/>
  <c r="O4" i="75"/>
  <c r="U4" i="75" s="1"/>
  <c r="S14" i="75"/>
  <c r="O13" i="75"/>
  <c r="U13" i="75" s="1"/>
  <c r="S8" i="75"/>
  <c r="O20" i="75"/>
  <c r="U20" i="75" s="1"/>
  <c r="O3" i="75"/>
  <c r="M21" i="75"/>
  <c r="O7" i="75"/>
  <c r="U7" i="75" s="1"/>
  <c r="O12" i="75"/>
  <c r="U12" i="75" s="1"/>
  <c r="O16" i="75"/>
  <c r="U16" i="75" s="1"/>
  <c r="I105" i="74"/>
  <c r="I106" i="74" s="1"/>
  <c r="O11" i="75"/>
  <c r="U11" i="75" s="1"/>
  <c r="O6" i="75"/>
  <c r="U6" i="75" s="1"/>
  <c r="J2" i="74"/>
  <c r="L2" i="74" s="1"/>
  <c r="J20" i="74"/>
  <c r="L20" i="74" s="1"/>
  <c r="J91" i="74"/>
  <c r="L91" i="74" s="1"/>
  <c r="J80" i="74"/>
  <c r="L80" i="74" s="1"/>
  <c r="J87" i="74"/>
  <c r="L87" i="74" s="1"/>
  <c r="J81" i="74"/>
  <c r="L81" i="74" s="1"/>
  <c r="J74" i="74"/>
  <c r="L74" i="74" s="1"/>
  <c r="AI74" i="74"/>
  <c r="J23" i="74"/>
  <c r="L23" i="74" s="1"/>
  <c r="J82" i="74"/>
  <c r="L82" i="74" s="1"/>
  <c r="AI91" i="74"/>
  <c r="J78" i="74"/>
  <c r="L78" i="74" s="1"/>
  <c r="J35" i="74"/>
  <c r="L35" i="74" s="1"/>
  <c r="AO21" i="74"/>
  <c r="AI5" i="74"/>
  <c r="J5" i="74"/>
  <c r="J90" i="74"/>
  <c r="L90" i="74" s="1"/>
  <c r="AI84" i="74"/>
  <c r="J84" i="74"/>
  <c r="L84" i="74" s="1"/>
  <c r="J8" i="74"/>
  <c r="L8" i="74" s="1"/>
  <c r="AI17" i="74"/>
  <c r="J17" i="74"/>
  <c r="L17" i="74" s="1"/>
  <c r="AI36" i="74"/>
  <c r="J79" i="74"/>
  <c r="L79" i="74" s="1"/>
  <c r="AI79" i="74"/>
  <c r="AI34" i="74"/>
  <c r="J34" i="74"/>
  <c r="L34" i="74" s="1"/>
  <c r="AI48" i="74"/>
  <c r="J48" i="74"/>
  <c r="L48" i="74" s="1"/>
  <c r="AI27" i="74"/>
  <c r="J27" i="74"/>
  <c r="L27" i="74" s="1"/>
  <c r="AI11" i="74"/>
  <c r="J11" i="74"/>
  <c r="L11" i="74" s="1"/>
  <c r="J13" i="74"/>
  <c r="L13" i="74" s="1"/>
  <c r="AI88" i="74"/>
  <c r="J88" i="74"/>
  <c r="L88" i="74" s="1"/>
  <c r="AI9" i="74"/>
  <c r="J9" i="74"/>
  <c r="L9" i="74" s="1"/>
  <c r="G99" i="74"/>
  <c r="Q101" i="74" s="1"/>
  <c r="AI4" i="74"/>
  <c r="J26" i="74"/>
  <c r="L26" i="74" s="1"/>
  <c r="J30" i="74"/>
  <c r="L30" i="74" s="1"/>
  <c r="J7" i="74"/>
  <c r="L7" i="74" s="1"/>
  <c r="J85" i="74"/>
  <c r="L85" i="74" s="1"/>
  <c r="J89" i="74"/>
  <c r="L89" i="74" s="1"/>
  <c r="J15" i="74"/>
  <c r="L15" i="74" s="1"/>
  <c r="J68" i="74"/>
  <c r="L68" i="74" s="1"/>
  <c r="U92" i="71"/>
  <c r="H92" i="71"/>
  <c r="U91" i="71"/>
  <c r="Q91" i="71"/>
  <c r="H91" i="71"/>
  <c r="G91" i="71"/>
  <c r="H90" i="71"/>
  <c r="H89" i="71"/>
  <c r="AP13" i="74" l="1"/>
  <c r="AQ13" i="74" s="1"/>
  <c r="AQ9" i="74"/>
  <c r="AP3" i="74"/>
  <c r="AQ3" i="74" s="1"/>
  <c r="AP14" i="74"/>
  <c r="AQ14" i="74" s="1"/>
  <c r="AQ15" i="74"/>
  <c r="AP15" i="74"/>
  <c r="AQ4" i="74"/>
  <c r="AP4" i="74"/>
  <c r="AP18" i="74"/>
  <c r="AQ18" i="74" s="1"/>
  <c r="AQ19" i="74"/>
  <c r="S21" i="75"/>
  <c r="K105" i="74"/>
  <c r="I99" i="74"/>
  <c r="AH21" i="75"/>
  <c r="AP6" i="74" s="1"/>
  <c r="Q27" i="75"/>
  <c r="U3" i="75"/>
  <c r="U21" i="75" s="1"/>
  <c r="O21" i="75"/>
  <c r="L5" i="74"/>
  <c r="AI93" i="74"/>
  <c r="J93" i="74"/>
  <c r="L93" i="74" s="1"/>
  <c r="AI83" i="74"/>
  <c r="J83" i="74"/>
  <c r="L83" i="74" s="1"/>
  <c r="H99" i="74"/>
  <c r="H104" i="74" s="1"/>
  <c r="H88" i="71"/>
  <c r="H87" i="71"/>
  <c r="AB8" i="72"/>
  <c r="H86" i="71"/>
  <c r="H85" i="71"/>
  <c r="AI99" i="74" l="1"/>
  <c r="AP22" i="75"/>
  <c r="AP23" i="75" s="1"/>
  <c r="AQ6" i="74"/>
  <c r="AQ21" i="74" s="1"/>
  <c r="AP21" i="74"/>
  <c r="L99" i="74"/>
  <c r="H106" i="74"/>
  <c r="H108" i="74" s="1"/>
  <c r="J104" i="74"/>
  <c r="J106" i="74" s="1"/>
  <c r="J99" i="74"/>
  <c r="AC84" i="71"/>
  <c r="S84" i="71"/>
  <c r="Q84" i="71"/>
  <c r="H84" i="71"/>
  <c r="G84" i="71"/>
  <c r="AR4" i="74" l="1"/>
  <c r="AR2" i="74"/>
  <c r="AR17" i="74"/>
  <c r="AR19" i="74"/>
  <c r="AR16" i="74"/>
  <c r="AR12" i="74"/>
  <c r="AR3" i="74"/>
  <c r="AR7" i="74"/>
  <c r="AR15" i="74"/>
  <c r="AR9" i="74"/>
  <c r="AR8" i="74"/>
  <c r="AR5" i="74"/>
  <c r="AR10" i="74"/>
  <c r="AR14" i="74"/>
  <c r="AR18" i="74"/>
  <c r="AR13" i="74"/>
  <c r="AR11" i="74"/>
  <c r="AR20" i="74"/>
  <c r="AR6" i="74"/>
  <c r="K104" i="74"/>
  <c r="K106" i="74" s="1"/>
  <c r="H83" i="71"/>
  <c r="H82" i="71"/>
  <c r="AR21" i="74" l="1"/>
  <c r="H81" i="71"/>
  <c r="H80" i="71" l="1"/>
  <c r="H79" i="71"/>
  <c r="H75" i="71" l="1"/>
  <c r="U71" i="71" l="1"/>
  <c r="H69" i="71"/>
  <c r="X7" i="72" l="1"/>
  <c r="W53" i="71"/>
  <c r="U49" i="71"/>
  <c r="H49" i="71"/>
  <c r="U44" i="71" l="1"/>
  <c r="H37" i="71"/>
  <c r="U36" i="71" l="1"/>
  <c r="AE35" i="71"/>
  <c r="P35" i="71"/>
  <c r="H35" i="71"/>
  <c r="G35" i="71"/>
  <c r="H34" i="71"/>
  <c r="H33" i="71"/>
  <c r="H31" i="71"/>
  <c r="H30" i="71"/>
  <c r="H28" i="71"/>
  <c r="H27" i="71"/>
  <c r="H23" i="71" l="1"/>
  <c r="H26" i="71"/>
  <c r="S26" i="71"/>
  <c r="H19" i="71"/>
  <c r="H18" i="71"/>
  <c r="H17" i="71"/>
  <c r="W16" i="71"/>
  <c r="H15" i="71" l="1"/>
  <c r="X4" i="72"/>
  <c r="H13" i="71"/>
  <c r="W11" i="71" l="1"/>
  <c r="H11" i="71"/>
  <c r="AI11" i="71" s="1"/>
  <c r="S9" i="71"/>
  <c r="S100" i="71" s="1"/>
  <c r="AO2" i="71" s="1"/>
  <c r="H9" i="71"/>
  <c r="H8" i="71"/>
  <c r="H7" i="71"/>
  <c r="I7" i="71" s="1"/>
  <c r="J7" i="71" s="1"/>
  <c r="L7" i="71" s="1"/>
  <c r="H5" i="71"/>
  <c r="W4" i="71"/>
  <c r="AI4" i="71" s="1"/>
  <c r="I99" i="71"/>
  <c r="J99" i="71" s="1"/>
  <c r="L99" i="71" s="1"/>
  <c r="I98" i="71"/>
  <c r="J98" i="71" s="1"/>
  <c r="L98" i="71" s="1"/>
  <c r="I97" i="71"/>
  <c r="J97" i="71" s="1"/>
  <c r="L97" i="71" s="1"/>
  <c r="I96" i="71"/>
  <c r="J96" i="71" s="1"/>
  <c r="L96" i="71" s="1"/>
  <c r="I95" i="71"/>
  <c r="J95" i="71" s="1"/>
  <c r="L95" i="71" s="1"/>
  <c r="I94" i="71"/>
  <c r="J94" i="71" s="1"/>
  <c r="L94" i="71" s="1"/>
  <c r="I93" i="71"/>
  <c r="J93" i="71" s="1"/>
  <c r="L93" i="71" s="1"/>
  <c r="I92" i="71"/>
  <c r="J92" i="71" s="1"/>
  <c r="L92" i="71" s="1"/>
  <c r="I91" i="71"/>
  <c r="J91" i="71" s="1"/>
  <c r="L91" i="71" s="1"/>
  <c r="I90" i="71"/>
  <c r="J90" i="71" s="1"/>
  <c r="L90" i="71" s="1"/>
  <c r="I89" i="71"/>
  <c r="J89" i="71" s="1"/>
  <c r="L89" i="71" s="1"/>
  <c r="I88" i="71"/>
  <c r="I87" i="71"/>
  <c r="I86" i="71"/>
  <c r="J86" i="71" s="1"/>
  <c r="L86" i="71" s="1"/>
  <c r="I85" i="71"/>
  <c r="J85" i="71" s="1"/>
  <c r="L85" i="71" s="1"/>
  <c r="I84" i="71"/>
  <c r="I83" i="71"/>
  <c r="I82" i="71"/>
  <c r="I81" i="71"/>
  <c r="I80" i="71"/>
  <c r="I79" i="71"/>
  <c r="J79" i="71" s="1"/>
  <c r="L79" i="71" s="1"/>
  <c r="I78" i="71"/>
  <c r="I77" i="71"/>
  <c r="J77" i="71" s="1"/>
  <c r="L77" i="71" s="1"/>
  <c r="I76" i="71"/>
  <c r="J76" i="71" s="1"/>
  <c r="L76" i="71" s="1"/>
  <c r="I75" i="71"/>
  <c r="I74" i="71"/>
  <c r="I73" i="71"/>
  <c r="J73" i="71" s="1"/>
  <c r="L73" i="71" s="1"/>
  <c r="I72" i="71"/>
  <c r="J72" i="71" s="1"/>
  <c r="L72" i="71" s="1"/>
  <c r="I71" i="71"/>
  <c r="J71" i="71" s="1"/>
  <c r="L71" i="71" s="1"/>
  <c r="I70" i="71"/>
  <c r="J70" i="71" s="1"/>
  <c r="L70" i="71" s="1"/>
  <c r="I69" i="71"/>
  <c r="I68" i="71"/>
  <c r="J68" i="71" s="1"/>
  <c r="L68" i="71" s="1"/>
  <c r="I67" i="71"/>
  <c r="J67" i="71" s="1"/>
  <c r="L67" i="71" s="1"/>
  <c r="I66" i="71"/>
  <c r="J66" i="71" s="1"/>
  <c r="L66" i="71" s="1"/>
  <c r="I65" i="71"/>
  <c r="J65" i="71" s="1"/>
  <c r="L65" i="71" s="1"/>
  <c r="I64" i="71"/>
  <c r="J64" i="71" s="1"/>
  <c r="L64" i="71" s="1"/>
  <c r="I63" i="71"/>
  <c r="J63" i="71" s="1"/>
  <c r="L63" i="71" s="1"/>
  <c r="I62" i="71"/>
  <c r="J62" i="71" s="1"/>
  <c r="L62" i="71" s="1"/>
  <c r="I61" i="71"/>
  <c r="J61" i="71" s="1"/>
  <c r="L61" i="71" s="1"/>
  <c r="I60" i="71"/>
  <c r="J60" i="71" s="1"/>
  <c r="L60" i="71" s="1"/>
  <c r="I59" i="71"/>
  <c r="J59" i="71" s="1"/>
  <c r="L59" i="71" s="1"/>
  <c r="I58" i="71"/>
  <c r="J58" i="71" s="1"/>
  <c r="L58" i="71" s="1"/>
  <c r="I57" i="71"/>
  <c r="I56" i="71"/>
  <c r="I55" i="71"/>
  <c r="J55" i="71" s="1"/>
  <c r="L55" i="71" s="1"/>
  <c r="I54" i="71"/>
  <c r="J54" i="71" s="1"/>
  <c r="L54" i="71" s="1"/>
  <c r="I53" i="71"/>
  <c r="J53" i="71" s="1"/>
  <c r="L53" i="71" s="1"/>
  <c r="I52" i="71"/>
  <c r="J52" i="71" s="1"/>
  <c r="L52" i="71" s="1"/>
  <c r="I51" i="71"/>
  <c r="J51" i="71" s="1"/>
  <c r="L51" i="71" s="1"/>
  <c r="I50" i="71"/>
  <c r="J50" i="71" s="1"/>
  <c r="L50" i="71" s="1"/>
  <c r="I49" i="71"/>
  <c r="J49" i="71" s="1"/>
  <c r="L49" i="71" s="1"/>
  <c r="I48" i="71"/>
  <c r="J48" i="71" s="1"/>
  <c r="L48" i="71" s="1"/>
  <c r="I47" i="71"/>
  <c r="J47" i="71" s="1"/>
  <c r="L47" i="71" s="1"/>
  <c r="I46" i="71"/>
  <c r="J46" i="71" s="1"/>
  <c r="L46" i="71" s="1"/>
  <c r="I45" i="71"/>
  <c r="J45" i="71" s="1"/>
  <c r="L45" i="71" s="1"/>
  <c r="I44" i="71"/>
  <c r="J44" i="71" s="1"/>
  <c r="L44" i="71" s="1"/>
  <c r="I43" i="71"/>
  <c r="J43" i="71" s="1"/>
  <c r="L43" i="71" s="1"/>
  <c r="I42" i="71"/>
  <c r="I41" i="71"/>
  <c r="J41" i="71" s="1"/>
  <c r="L41" i="71" s="1"/>
  <c r="I40" i="71"/>
  <c r="J40" i="71" s="1"/>
  <c r="L40" i="71" s="1"/>
  <c r="I39" i="71"/>
  <c r="J39" i="71" s="1"/>
  <c r="L39" i="71" s="1"/>
  <c r="I38" i="71"/>
  <c r="I37" i="71"/>
  <c r="J37" i="71" s="1"/>
  <c r="L37" i="71" s="1"/>
  <c r="I36" i="71"/>
  <c r="J36" i="71" s="1"/>
  <c r="L36" i="71" s="1"/>
  <c r="I35" i="71"/>
  <c r="J35" i="71" s="1"/>
  <c r="L35" i="71" s="1"/>
  <c r="I34" i="71"/>
  <c r="J34" i="71" s="1"/>
  <c r="L34" i="71" s="1"/>
  <c r="I33" i="71"/>
  <c r="J33" i="71" s="1"/>
  <c r="L33" i="71" s="1"/>
  <c r="I32" i="71"/>
  <c r="J32" i="71" s="1"/>
  <c r="L32" i="71" s="1"/>
  <c r="I31" i="71"/>
  <c r="I30" i="71"/>
  <c r="J30" i="71" s="1"/>
  <c r="L30" i="71" s="1"/>
  <c r="I28" i="71"/>
  <c r="I27" i="71"/>
  <c r="J27" i="71" s="1"/>
  <c r="L27" i="71" s="1"/>
  <c r="I26" i="71"/>
  <c r="J26" i="71" s="1"/>
  <c r="L26" i="71" s="1"/>
  <c r="I25" i="71"/>
  <c r="J25" i="71" s="1"/>
  <c r="L25" i="71" s="1"/>
  <c r="I24" i="71"/>
  <c r="I23" i="71"/>
  <c r="J23" i="71" s="1"/>
  <c r="L23" i="71" s="1"/>
  <c r="I22" i="71"/>
  <c r="J22" i="71" s="1"/>
  <c r="L22" i="71" s="1"/>
  <c r="I21" i="71"/>
  <c r="J21" i="71" s="1"/>
  <c r="L21" i="71" s="1"/>
  <c r="I20" i="71"/>
  <c r="J20" i="71" s="1"/>
  <c r="L20" i="71" s="1"/>
  <c r="I19" i="71"/>
  <c r="J19" i="71" s="1"/>
  <c r="L19" i="71" s="1"/>
  <c r="I18" i="71"/>
  <c r="J18" i="71" s="1"/>
  <c r="L18" i="71" s="1"/>
  <c r="I17" i="71"/>
  <c r="I16" i="71"/>
  <c r="J16" i="71" s="1"/>
  <c r="L16" i="71" s="1"/>
  <c r="I15" i="71"/>
  <c r="J15" i="71" s="1"/>
  <c r="L15" i="71" s="1"/>
  <c r="I14" i="71"/>
  <c r="J14" i="71" s="1"/>
  <c r="L14" i="71" s="1"/>
  <c r="I13" i="71"/>
  <c r="I12" i="71"/>
  <c r="J12" i="71" s="1"/>
  <c r="L12" i="71" s="1"/>
  <c r="I10" i="71"/>
  <c r="J10" i="71" s="1"/>
  <c r="L10" i="71" s="1"/>
  <c r="I9" i="71"/>
  <c r="I8" i="71"/>
  <c r="J8" i="71" s="1"/>
  <c r="L8" i="71" s="1"/>
  <c r="I6" i="71"/>
  <c r="J6" i="71" s="1"/>
  <c r="L6" i="71" s="1"/>
  <c r="I5" i="71"/>
  <c r="J5" i="71" s="1"/>
  <c r="L5" i="71" s="1"/>
  <c r="I4" i="71"/>
  <c r="I3" i="71"/>
  <c r="I2" i="71"/>
  <c r="J2" i="71" s="1"/>
  <c r="L2" i="71" s="1"/>
  <c r="H106" i="71"/>
  <c r="AF19" i="72"/>
  <c r="AE19" i="72"/>
  <c r="AD19" i="72"/>
  <c r="AC19" i="72"/>
  <c r="AB19" i="72"/>
  <c r="Z19" i="72"/>
  <c r="Y19" i="72"/>
  <c r="N19" i="72"/>
  <c r="L19" i="72"/>
  <c r="K19" i="72"/>
  <c r="J19" i="72"/>
  <c r="AP18" i="72"/>
  <c r="AO18" i="72"/>
  <c r="AN18" i="72"/>
  <c r="AM18" i="72"/>
  <c r="AL18" i="72"/>
  <c r="AK18" i="72"/>
  <c r="AJ18" i="72"/>
  <c r="AI18" i="72"/>
  <c r="AH18" i="72"/>
  <c r="T18" i="72"/>
  <c r="R18" i="72"/>
  <c r="Q18" i="72"/>
  <c r="M18" i="72"/>
  <c r="O18" i="72" s="1"/>
  <c r="U18" i="72" s="1"/>
  <c r="AP17" i="72"/>
  <c r="AO17" i="72"/>
  <c r="AN17" i="72"/>
  <c r="AM17" i="72"/>
  <c r="AL17" i="72"/>
  <c r="AK17" i="72"/>
  <c r="AJ17" i="72"/>
  <c r="AI17" i="72"/>
  <c r="AH17" i="72"/>
  <c r="T17" i="72"/>
  <c r="R17" i="72"/>
  <c r="Q17" i="72"/>
  <c r="M17" i="72"/>
  <c r="S17" i="72" s="1"/>
  <c r="AP16" i="72"/>
  <c r="AO16" i="72"/>
  <c r="AN16" i="72"/>
  <c r="AM16" i="72"/>
  <c r="AL16" i="72"/>
  <c r="AK16" i="72"/>
  <c r="AJ16" i="72"/>
  <c r="AI16" i="72"/>
  <c r="AH16" i="72"/>
  <c r="T16" i="72"/>
  <c r="R16" i="72"/>
  <c r="Q16" i="72"/>
  <c r="M16" i="72"/>
  <c r="S16" i="72" s="1"/>
  <c r="AP15" i="72"/>
  <c r="AO15" i="72"/>
  <c r="AN15" i="72"/>
  <c r="AM15" i="72"/>
  <c r="AL15" i="72"/>
  <c r="AK15" i="72"/>
  <c r="AJ15" i="72"/>
  <c r="AI15" i="72"/>
  <c r="AH15" i="72"/>
  <c r="T15" i="72"/>
  <c r="R15" i="72"/>
  <c r="Q15" i="72"/>
  <c r="M15" i="72"/>
  <c r="S15" i="72" s="1"/>
  <c r="AP14" i="72"/>
  <c r="AO14" i="72"/>
  <c r="AN14" i="72"/>
  <c r="AM14" i="72"/>
  <c r="AL14" i="72"/>
  <c r="AK14" i="72"/>
  <c r="AJ14" i="72"/>
  <c r="AI14" i="72"/>
  <c r="AH14" i="72"/>
  <c r="T14" i="72"/>
  <c r="R14" i="72"/>
  <c r="Q14" i="72"/>
  <c r="M14" i="72"/>
  <c r="O14" i="72" s="1"/>
  <c r="U14" i="72" s="1"/>
  <c r="AP13" i="72"/>
  <c r="AO13" i="72"/>
  <c r="AN13" i="72"/>
  <c r="AM13" i="72"/>
  <c r="AL13" i="72"/>
  <c r="AK13" i="72"/>
  <c r="AJ13" i="72"/>
  <c r="AI13" i="72"/>
  <c r="AH13" i="72"/>
  <c r="T13" i="72"/>
  <c r="R13" i="72"/>
  <c r="Q13" i="72"/>
  <c r="M13" i="72"/>
  <c r="S13" i="72" s="1"/>
  <c r="AP12" i="72"/>
  <c r="AO12" i="72"/>
  <c r="AN12" i="72"/>
  <c r="AM12" i="72"/>
  <c r="AL12" i="72"/>
  <c r="AK12" i="72"/>
  <c r="AJ12" i="72"/>
  <c r="AI12" i="72"/>
  <c r="AH12" i="72"/>
  <c r="T12" i="72"/>
  <c r="R12" i="72"/>
  <c r="Q12" i="72"/>
  <c r="M12" i="72"/>
  <c r="S12" i="72" s="1"/>
  <c r="AP11" i="72"/>
  <c r="AO11" i="72"/>
  <c r="AN11" i="72"/>
  <c r="AM11" i="72"/>
  <c r="AL11" i="72"/>
  <c r="AK11" i="72"/>
  <c r="AJ11" i="72"/>
  <c r="AI11" i="72"/>
  <c r="AH11" i="72"/>
  <c r="T11" i="72"/>
  <c r="R11" i="72"/>
  <c r="Q11" i="72"/>
  <c r="M11" i="72"/>
  <c r="S11" i="72" s="1"/>
  <c r="AP10" i="72"/>
  <c r="AO10" i="72"/>
  <c r="AN10" i="72"/>
  <c r="AM10" i="72"/>
  <c r="AL10" i="72"/>
  <c r="AK10" i="72"/>
  <c r="AJ10" i="72"/>
  <c r="AI10" i="72"/>
  <c r="AH10" i="72"/>
  <c r="T10" i="72"/>
  <c r="R10" i="72"/>
  <c r="Q10" i="72"/>
  <c r="M10" i="72"/>
  <c r="S10" i="72" s="1"/>
  <c r="AP9" i="72"/>
  <c r="AO9" i="72"/>
  <c r="AN9" i="72"/>
  <c r="AM9" i="72"/>
  <c r="AL9" i="72"/>
  <c r="AK9" i="72"/>
  <c r="AJ9" i="72"/>
  <c r="AI9" i="72"/>
  <c r="AH9" i="72"/>
  <c r="T9" i="72"/>
  <c r="R9" i="72"/>
  <c r="Q9" i="72"/>
  <c r="M9" i="72"/>
  <c r="O9" i="72" s="1"/>
  <c r="U9" i="72" s="1"/>
  <c r="AP8" i="72"/>
  <c r="AO8" i="72"/>
  <c r="AN8" i="72"/>
  <c r="AM8" i="72"/>
  <c r="AL8" i="72"/>
  <c r="AK8" i="72"/>
  <c r="AJ8" i="72"/>
  <c r="AI8" i="72"/>
  <c r="AH8" i="72"/>
  <c r="T8" i="72"/>
  <c r="R8" i="72"/>
  <c r="Q8" i="72"/>
  <c r="M8" i="72"/>
  <c r="S8" i="72" s="1"/>
  <c r="AP7" i="72"/>
  <c r="AO7" i="72"/>
  <c r="AN7" i="72"/>
  <c r="AM7" i="72"/>
  <c r="AL7" i="72"/>
  <c r="AK7" i="72"/>
  <c r="AJ7" i="72"/>
  <c r="AI7" i="72"/>
  <c r="AH7" i="72"/>
  <c r="T7" i="72"/>
  <c r="R7" i="72"/>
  <c r="Q7" i="72"/>
  <c r="M7" i="72"/>
  <c r="S7" i="72" s="1"/>
  <c r="AP6" i="72"/>
  <c r="AO6" i="72"/>
  <c r="AN6" i="72"/>
  <c r="AM6" i="72"/>
  <c r="AL6" i="72"/>
  <c r="AJ6" i="72"/>
  <c r="AI6" i="72"/>
  <c r="AH6" i="72"/>
  <c r="AA19" i="72"/>
  <c r="T6" i="72"/>
  <c r="R6" i="72"/>
  <c r="Q6" i="72"/>
  <c r="M6" i="72"/>
  <c r="S6" i="72" s="1"/>
  <c r="AP5" i="72"/>
  <c r="AO5" i="72"/>
  <c r="AN5" i="72"/>
  <c r="AM5" i="72"/>
  <c r="AL5" i="72"/>
  <c r="AK5" i="72"/>
  <c r="AJ5" i="72"/>
  <c r="AI5" i="72"/>
  <c r="AH5" i="72"/>
  <c r="T5" i="72"/>
  <c r="R5" i="72"/>
  <c r="Q5" i="72"/>
  <c r="M5" i="72"/>
  <c r="S5" i="72" s="1"/>
  <c r="AP4" i="72"/>
  <c r="AO4" i="72"/>
  <c r="AN4" i="72"/>
  <c r="AM4" i="72"/>
  <c r="AL4" i="72"/>
  <c r="AK4" i="72"/>
  <c r="AJ4" i="72"/>
  <c r="AI4" i="72"/>
  <c r="X19" i="72"/>
  <c r="T4" i="72"/>
  <c r="R4" i="72"/>
  <c r="Q4" i="72"/>
  <c r="M4" i="72"/>
  <c r="S4" i="72" s="1"/>
  <c r="AP3" i="72"/>
  <c r="AO3" i="72"/>
  <c r="AN3" i="72"/>
  <c r="AM3" i="72"/>
  <c r="AL3" i="72"/>
  <c r="AK3" i="72"/>
  <c r="AJ3" i="72"/>
  <c r="AI3" i="72"/>
  <c r="AH3" i="72"/>
  <c r="T3" i="72"/>
  <c r="R3" i="72"/>
  <c r="Q3" i="72"/>
  <c r="M3" i="72"/>
  <c r="D107" i="71"/>
  <c r="J106" i="71"/>
  <c r="AH100" i="71"/>
  <c r="AO17" i="71" s="1"/>
  <c r="AQ17" i="71" s="1"/>
  <c r="AG100" i="71"/>
  <c r="AO16" i="71" s="1"/>
  <c r="AQ16" i="71" s="1"/>
  <c r="AF100" i="71"/>
  <c r="AO15" i="71" s="1"/>
  <c r="AE100" i="71"/>
  <c r="AO14" i="71" s="1"/>
  <c r="AD100" i="71"/>
  <c r="AO13" i="71" s="1"/>
  <c r="AC100" i="71"/>
  <c r="AO12" i="71" s="1"/>
  <c r="AQ12" i="71" s="1"/>
  <c r="AB100" i="71"/>
  <c r="AO11" i="71" s="1"/>
  <c r="AQ11" i="71" s="1"/>
  <c r="AA100" i="71"/>
  <c r="AO10" i="71" s="1"/>
  <c r="AQ10" i="71" s="1"/>
  <c r="Z100" i="71"/>
  <c r="AO9" i="71" s="1"/>
  <c r="Y100" i="71"/>
  <c r="AO8" i="71" s="1"/>
  <c r="AQ8" i="71" s="1"/>
  <c r="X100" i="71"/>
  <c r="AO7" i="71" s="1"/>
  <c r="AQ7" i="71" s="1"/>
  <c r="V100" i="71"/>
  <c r="AO5" i="71" s="1"/>
  <c r="AQ5" i="71" s="1"/>
  <c r="T100" i="71"/>
  <c r="AO3" i="71" s="1"/>
  <c r="AQ3" i="71" s="1"/>
  <c r="P100" i="71"/>
  <c r="K100" i="71"/>
  <c r="AI99" i="71"/>
  <c r="AI98" i="71"/>
  <c r="AI97" i="71"/>
  <c r="AI96" i="71"/>
  <c r="AI95" i="71"/>
  <c r="AI94" i="71"/>
  <c r="AI93" i="71"/>
  <c r="AI92" i="71"/>
  <c r="AI91" i="71"/>
  <c r="AI90" i="71"/>
  <c r="AI89" i="71"/>
  <c r="AI88" i="71"/>
  <c r="AI87" i="71"/>
  <c r="AI86" i="71"/>
  <c r="AI85" i="71"/>
  <c r="AI83" i="71"/>
  <c r="AI82" i="71"/>
  <c r="AI81" i="71"/>
  <c r="AI80" i="71"/>
  <c r="AI79" i="71"/>
  <c r="AI78" i="71"/>
  <c r="AI77" i="71"/>
  <c r="AI76" i="71"/>
  <c r="AI75" i="71"/>
  <c r="AI74" i="71"/>
  <c r="AI73" i="71"/>
  <c r="AI72" i="71"/>
  <c r="AI71" i="71"/>
  <c r="AI70" i="71"/>
  <c r="AI69" i="71"/>
  <c r="AI68" i="71"/>
  <c r="AI67" i="71"/>
  <c r="AI66" i="71"/>
  <c r="AI65" i="71"/>
  <c r="AI64" i="71"/>
  <c r="AI63" i="71"/>
  <c r="AI62" i="71"/>
  <c r="AI61" i="71"/>
  <c r="AI60" i="71"/>
  <c r="AI59" i="71"/>
  <c r="AI58" i="71"/>
  <c r="AI56" i="71"/>
  <c r="Q100" i="71"/>
  <c r="AI54" i="71"/>
  <c r="AI53" i="71"/>
  <c r="AI52" i="71"/>
  <c r="AI51" i="71"/>
  <c r="AI50" i="71"/>
  <c r="AI49" i="71"/>
  <c r="AI48" i="71"/>
  <c r="AI47" i="71"/>
  <c r="AI46" i="71"/>
  <c r="AI45" i="71"/>
  <c r="AI44" i="71"/>
  <c r="AI43" i="71"/>
  <c r="AI42" i="71"/>
  <c r="AI41" i="71"/>
  <c r="AI40" i="71"/>
  <c r="AI39" i="71"/>
  <c r="U100" i="71"/>
  <c r="AO4" i="71" s="1"/>
  <c r="AI38" i="71"/>
  <c r="AI37" i="71"/>
  <c r="AI36" i="71"/>
  <c r="AI35" i="71"/>
  <c r="AI34" i="71"/>
  <c r="AI33" i="71"/>
  <c r="AI32" i="71"/>
  <c r="AI31" i="71"/>
  <c r="AI30" i="71"/>
  <c r="AI29" i="71"/>
  <c r="AI28" i="71"/>
  <c r="AI27" i="71"/>
  <c r="AI26" i="71"/>
  <c r="AI25" i="71"/>
  <c r="AI24" i="71"/>
  <c r="AI23" i="71"/>
  <c r="AI22" i="71"/>
  <c r="AI21" i="71"/>
  <c r="AQ20" i="71"/>
  <c r="AI20" i="71"/>
  <c r="AI19" i="71"/>
  <c r="AI18" i="71"/>
  <c r="AI17" i="71"/>
  <c r="AI16" i="71"/>
  <c r="AI15" i="71"/>
  <c r="AI14" i="71"/>
  <c r="AI13" i="71"/>
  <c r="AI12" i="71"/>
  <c r="AI10" i="71"/>
  <c r="AI8" i="71"/>
  <c r="AI6" i="71"/>
  <c r="AI5" i="71"/>
  <c r="AI3" i="71"/>
  <c r="AI2" i="71"/>
  <c r="AP19" i="69"/>
  <c r="AP13" i="69"/>
  <c r="AP9" i="69"/>
  <c r="AP14" i="69"/>
  <c r="AP20" i="69"/>
  <c r="AP4" i="69"/>
  <c r="AP18" i="69"/>
  <c r="AP2" i="69"/>
  <c r="AP6" i="69"/>
  <c r="AI89" i="69"/>
  <c r="AI90" i="69"/>
  <c r="AI91" i="69"/>
  <c r="AI92" i="69"/>
  <c r="AI93" i="69"/>
  <c r="AI94" i="69"/>
  <c r="AI95" i="69"/>
  <c r="AI96" i="69"/>
  <c r="AI97" i="69"/>
  <c r="AI98" i="69"/>
  <c r="AI99" i="69"/>
  <c r="J98" i="69"/>
  <c r="L98" i="69" s="1"/>
  <c r="J97" i="69"/>
  <c r="L97" i="69" s="1"/>
  <c r="J96" i="69"/>
  <c r="L96" i="69" s="1"/>
  <c r="J95" i="69"/>
  <c r="L95" i="69" s="1"/>
  <c r="J94" i="69"/>
  <c r="L94" i="69" s="1"/>
  <c r="J93" i="69"/>
  <c r="L93" i="69" s="1"/>
  <c r="J92" i="69"/>
  <c r="L92" i="69" s="1"/>
  <c r="J91" i="69"/>
  <c r="L91" i="69" s="1"/>
  <c r="J90" i="69"/>
  <c r="L90" i="69" s="1"/>
  <c r="J89" i="69"/>
  <c r="L89" i="69" s="1"/>
  <c r="H88" i="69"/>
  <c r="H87" i="69"/>
  <c r="S84" i="69"/>
  <c r="P84" i="69"/>
  <c r="U76" i="69"/>
  <c r="W65" i="69"/>
  <c r="AA6" i="70"/>
  <c r="W59" i="69"/>
  <c r="G84" i="69"/>
  <c r="H84" i="69" s="1"/>
  <c r="H83" i="69"/>
  <c r="H82" i="69"/>
  <c r="H81" i="69"/>
  <c r="H80" i="69"/>
  <c r="H78" i="69"/>
  <c r="H75" i="69"/>
  <c r="H74" i="69"/>
  <c r="H69" i="69"/>
  <c r="H66" i="69"/>
  <c r="H58" i="69"/>
  <c r="S57" i="69"/>
  <c r="Q57" i="69"/>
  <c r="P57" i="69"/>
  <c r="G57" i="69"/>
  <c r="H57" i="69" s="1"/>
  <c r="H56" i="69"/>
  <c r="S55" i="69"/>
  <c r="Q55" i="69"/>
  <c r="G55" i="69"/>
  <c r="H55" i="69" s="1"/>
  <c r="J52" i="69"/>
  <c r="L52" i="69" s="1"/>
  <c r="J53" i="69"/>
  <c r="L53" i="69" s="1"/>
  <c r="J54" i="69"/>
  <c r="L54" i="69" s="1"/>
  <c r="O16" i="72" l="1"/>
  <c r="U16" i="72" s="1"/>
  <c r="O11" i="72"/>
  <c r="U11" i="72" s="1"/>
  <c r="Q23" i="72"/>
  <c r="I106" i="71" s="1"/>
  <c r="I107" i="71" s="1"/>
  <c r="O5" i="72"/>
  <c r="U5" i="72" s="1"/>
  <c r="I11" i="71"/>
  <c r="I100" i="71" s="1"/>
  <c r="AI7" i="71"/>
  <c r="J9" i="71"/>
  <c r="L9" i="71" s="1"/>
  <c r="AP19" i="72"/>
  <c r="AP19" i="71" s="1"/>
  <c r="AQ19" i="71" s="1"/>
  <c r="AO19" i="72"/>
  <c r="AP13" i="71" s="1"/>
  <c r="AQ13" i="71" s="1"/>
  <c r="AI9" i="71"/>
  <c r="J3" i="71"/>
  <c r="L3" i="71" s="1"/>
  <c r="AI19" i="72"/>
  <c r="AP2" i="71" s="1"/>
  <c r="AJ19" i="72"/>
  <c r="AP18" i="71" s="1"/>
  <c r="AQ18" i="71" s="1"/>
  <c r="AF20" i="72"/>
  <c r="AF21" i="72" s="1"/>
  <c r="AL19" i="72"/>
  <c r="AP15" i="71" s="1"/>
  <c r="AQ15" i="71" s="1"/>
  <c r="AN19" i="72"/>
  <c r="AP9" i="71" s="1"/>
  <c r="AQ9" i="71" s="1"/>
  <c r="AM19" i="72"/>
  <c r="AP14" i="71" s="1"/>
  <c r="AQ14" i="71" s="1"/>
  <c r="T19" i="72"/>
  <c r="M19" i="72"/>
  <c r="R19" i="72"/>
  <c r="O15" i="72"/>
  <c r="U15" i="72" s="1"/>
  <c r="S9" i="72"/>
  <c r="S14" i="72"/>
  <c r="O8" i="72"/>
  <c r="U8" i="72" s="1"/>
  <c r="O13" i="72"/>
  <c r="U13" i="72" s="1"/>
  <c r="S3" i="72"/>
  <c r="AH4" i="72"/>
  <c r="AH19" i="72" s="1"/>
  <c r="AP6" i="71" s="1"/>
  <c r="Q19" i="72"/>
  <c r="S18" i="72"/>
  <c r="O7" i="72"/>
  <c r="U7" i="72" s="1"/>
  <c r="O12" i="72"/>
  <c r="U12" i="72" s="1"/>
  <c r="O17" i="72"/>
  <c r="U17" i="72" s="1"/>
  <c r="O6" i="72"/>
  <c r="U6" i="72" s="1"/>
  <c r="O10" i="72"/>
  <c r="U10" i="72" s="1"/>
  <c r="O4" i="72"/>
  <c r="U4" i="72" s="1"/>
  <c r="AK6" i="72"/>
  <c r="AK19" i="72" s="1"/>
  <c r="AP4" i="71" s="1"/>
  <c r="AQ4" i="71" s="1"/>
  <c r="O3" i="72"/>
  <c r="J38" i="71"/>
  <c r="L38" i="71" s="1"/>
  <c r="J31" i="71"/>
  <c r="L31" i="71" s="1"/>
  <c r="J78" i="71"/>
  <c r="L78" i="71" s="1"/>
  <c r="J87" i="71"/>
  <c r="L87" i="71" s="1"/>
  <c r="AI55" i="71"/>
  <c r="J56" i="71"/>
  <c r="L56" i="71" s="1"/>
  <c r="J82" i="71"/>
  <c r="L82" i="71" s="1"/>
  <c r="J83" i="71"/>
  <c r="L83" i="71" s="1"/>
  <c r="J88" i="71"/>
  <c r="L88" i="71" s="1"/>
  <c r="W100" i="71"/>
  <c r="AO6" i="71" s="1"/>
  <c r="G100" i="71"/>
  <c r="Q102" i="71" s="1"/>
  <c r="AI84" i="71"/>
  <c r="J13" i="71"/>
  <c r="L13" i="71" s="1"/>
  <c r="AI57" i="71"/>
  <c r="J4" i="71"/>
  <c r="L4" i="71" s="1"/>
  <c r="J74" i="71"/>
  <c r="L74" i="71" s="1"/>
  <c r="J80" i="71"/>
  <c r="L80" i="71" s="1"/>
  <c r="J29" i="71"/>
  <c r="L29" i="71" s="1"/>
  <c r="J69" i="71"/>
  <c r="L69" i="71" s="1"/>
  <c r="J75" i="71"/>
  <c r="L75" i="71" s="1"/>
  <c r="J24" i="71"/>
  <c r="L24" i="71" s="1"/>
  <c r="J17" i="71"/>
  <c r="L17" i="71" s="1"/>
  <c r="J42" i="71"/>
  <c r="L42" i="71" s="1"/>
  <c r="J81" i="71"/>
  <c r="L81" i="71" s="1"/>
  <c r="J28" i="71"/>
  <c r="L28" i="71" s="1"/>
  <c r="H49" i="69"/>
  <c r="H45" i="69"/>
  <c r="K106" i="71" l="1"/>
  <c r="Q25" i="72"/>
  <c r="AQ6" i="71"/>
  <c r="AQ2" i="71"/>
  <c r="AP21" i="71"/>
  <c r="J11" i="71"/>
  <c r="L11" i="71" s="1"/>
  <c r="AI100" i="71"/>
  <c r="AP20" i="72"/>
  <c r="AP21" i="72" s="1"/>
  <c r="U3" i="72"/>
  <c r="U19" i="72" s="1"/>
  <c r="O19" i="72"/>
  <c r="S19" i="72"/>
  <c r="H100" i="71"/>
  <c r="H105" i="71" s="1"/>
  <c r="J57" i="71"/>
  <c r="L57" i="71" s="1"/>
  <c r="J84" i="71"/>
  <c r="L84" i="71" s="1"/>
  <c r="AO21" i="71"/>
  <c r="H42" i="69"/>
  <c r="AQ21" i="71" l="1"/>
  <c r="AR2" i="71" s="1"/>
  <c r="L100" i="71"/>
  <c r="AR20" i="71"/>
  <c r="AR8" i="71"/>
  <c r="AR4" i="71"/>
  <c r="AR14" i="71"/>
  <c r="AR12" i="71"/>
  <c r="AR16" i="71"/>
  <c r="AR5" i="71"/>
  <c r="AR18" i="71"/>
  <c r="AR9" i="71"/>
  <c r="AR15" i="71"/>
  <c r="AR3" i="71"/>
  <c r="AR13" i="71"/>
  <c r="AR17" i="71"/>
  <c r="AR19" i="71"/>
  <c r="AR10" i="71"/>
  <c r="AR11" i="71"/>
  <c r="AR7" i="71"/>
  <c r="AR6" i="71"/>
  <c r="H107" i="71"/>
  <c r="H109" i="71" s="1"/>
  <c r="J105" i="71"/>
  <c r="J107" i="71" s="1"/>
  <c r="J100" i="71"/>
  <c r="U38" i="69"/>
  <c r="H38" i="69"/>
  <c r="K105" i="71" l="1"/>
  <c r="K107" i="71" s="1"/>
  <c r="AR21" i="71"/>
  <c r="H31" i="69"/>
  <c r="H29" i="69"/>
  <c r="H28" i="69"/>
  <c r="I105" i="69"/>
  <c r="H25" i="69"/>
  <c r="H24" i="69"/>
  <c r="X4" i="70" l="1"/>
  <c r="W21" i="69"/>
  <c r="H17" i="69" l="1"/>
  <c r="AI17" i="69" s="1"/>
  <c r="H13" i="69"/>
  <c r="AI13" i="69" s="1"/>
  <c r="H5" i="69"/>
  <c r="H4" i="69"/>
  <c r="AI4" i="69" s="1"/>
  <c r="AF19" i="70"/>
  <c r="AE19" i="70"/>
  <c r="AD19" i="70"/>
  <c r="AC19" i="70"/>
  <c r="AB19" i="70"/>
  <c r="AA19" i="70"/>
  <c r="Z19" i="70"/>
  <c r="Y19" i="70"/>
  <c r="N19" i="70"/>
  <c r="L19" i="70"/>
  <c r="J19" i="70"/>
  <c r="AP18" i="70"/>
  <c r="AO18" i="70"/>
  <c r="AN18" i="70"/>
  <c r="AM18" i="70"/>
  <c r="AL18" i="70"/>
  <c r="AK18" i="70"/>
  <c r="AJ18" i="70"/>
  <c r="AI18" i="70"/>
  <c r="AH18" i="70"/>
  <c r="T18" i="70"/>
  <c r="R18" i="70"/>
  <c r="Q18" i="70"/>
  <c r="M18" i="70"/>
  <c r="S18" i="70" s="1"/>
  <c r="AP17" i="70"/>
  <c r="AO17" i="70"/>
  <c r="AN17" i="70"/>
  <c r="AM17" i="70"/>
  <c r="AL17" i="70"/>
  <c r="AK17" i="70"/>
  <c r="AJ17" i="70"/>
  <c r="AI17" i="70"/>
  <c r="AH17" i="70"/>
  <c r="T17" i="70"/>
  <c r="R17" i="70"/>
  <c r="Q17" i="70"/>
  <c r="M17" i="70"/>
  <c r="S17" i="70" s="1"/>
  <c r="AP16" i="70"/>
  <c r="AO16" i="70"/>
  <c r="AN16" i="70"/>
  <c r="AM16" i="70"/>
  <c r="AL16" i="70"/>
  <c r="AK16" i="70"/>
  <c r="AJ16" i="70"/>
  <c r="AI16" i="70"/>
  <c r="AH16" i="70"/>
  <c r="T16" i="70"/>
  <c r="R16" i="70"/>
  <c r="Q16" i="70"/>
  <c r="M16" i="70"/>
  <c r="O16" i="70" s="1"/>
  <c r="U16" i="70" s="1"/>
  <c r="AP15" i="70"/>
  <c r="AO15" i="70"/>
  <c r="AN15" i="70"/>
  <c r="AM15" i="70"/>
  <c r="AL15" i="70"/>
  <c r="AK15" i="70"/>
  <c r="AJ15" i="70"/>
  <c r="AI15" i="70"/>
  <c r="AH15" i="70"/>
  <c r="T15" i="70"/>
  <c r="R15" i="70"/>
  <c r="Q15" i="70"/>
  <c r="M15" i="70"/>
  <c r="S15" i="70" s="1"/>
  <c r="AP14" i="70"/>
  <c r="AO14" i="70"/>
  <c r="AN14" i="70"/>
  <c r="AM14" i="70"/>
  <c r="AL14" i="70"/>
  <c r="AK14" i="70"/>
  <c r="AJ14" i="70"/>
  <c r="AI14" i="70"/>
  <c r="AH14" i="70"/>
  <c r="T14" i="70"/>
  <c r="R14" i="70"/>
  <c r="Q14" i="70"/>
  <c r="M14" i="70"/>
  <c r="S14" i="70" s="1"/>
  <c r="AP13" i="70"/>
  <c r="AO13" i="70"/>
  <c r="AN13" i="70"/>
  <c r="AM13" i="70"/>
  <c r="AL13" i="70"/>
  <c r="AK13" i="70"/>
  <c r="AJ13" i="70"/>
  <c r="AI13" i="70"/>
  <c r="AH13" i="70"/>
  <c r="T13" i="70"/>
  <c r="R13" i="70"/>
  <c r="Q13" i="70"/>
  <c r="M13" i="70"/>
  <c r="O13" i="70" s="1"/>
  <c r="U13" i="70" s="1"/>
  <c r="AP12" i="70"/>
  <c r="AO12" i="70"/>
  <c r="AN12" i="70"/>
  <c r="AM12" i="70"/>
  <c r="AL12" i="70"/>
  <c r="AK12" i="70"/>
  <c r="AJ12" i="70"/>
  <c r="AI12" i="70"/>
  <c r="AH12" i="70"/>
  <c r="T12" i="70"/>
  <c r="R12" i="70"/>
  <c r="Q12" i="70"/>
  <c r="M12" i="70"/>
  <c r="O12" i="70" s="1"/>
  <c r="U12" i="70" s="1"/>
  <c r="AP11" i="70"/>
  <c r="AO11" i="70"/>
  <c r="AN11" i="70"/>
  <c r="AM11" i="70"/>
  <c r="AL11" i="70"/>
  <c r="AK11" i="70"/>
  <c r="AJ11" i="70"/>
  <c r="AI11" i="70"/>
  <c r="AH11" i="70"/>
  <c r="T11" i="70"/>
  <c r="R11" i="70"/>
  <c r="Q11" i="70"/>
  <c r="M11" i="70"/>
  <c r="O11" i="70" s="1"/>
  <c r="U11" i="70" s="1"/>
  <c r="AP10" i="70"/>
  <c r="AO10" i="70"/>
  <c r="AN10" i="70"/>
  <c r="AM10" i="70"/>
  <c r="AL10" i="70"/>
  <c r="AK10" i="70"/>
  <c r="AJ10" i="70"/>
  <c r="AI10" i="70"/>
  <c r="AH10" i="70"/>
  <c r="T10" i="70"/>
  <c r="R10" i="70"/>
  <c r="Q10" i="70"/>
  <c r="M10" i="70"/>
  <c r="O10" i="70" s="1"/>
  <c r="U10" i="70" s="1"/>
  <c r="AP9" i="70"/>
  <c r="AO9" i="70"/>
  <c r="AN9" i="70"/>
  <c r="AM9" i="70"/>
  <c r="AL9" i="70"/>
  <c r="AK9" i="70"/>
  <c r="AJ9" i="70"/>
  <c r="AI9" i="70"/>
  <c r="AH9" i="70"/>
  <c r="T9" i="70"/>
  <c r="R9" i="70"/>
  <c r="Q9" i="70"/>
  <c r="M9" i="70"/>
  <c r="S9" i="70" s="1"/>
  <c r="AP8" i="70"/>
  <c r="AO8" i="70"/>
  <c r="AN8" i="70"/>
  <c r="AM8" i="70"/>
  <c r="AL8" i="70"/>
  <c r="AK8" i="70"/>
  <c r="AJ8" i="70"/>
  <c r="AI8" i="70"/>
  <c r="AH8" i="70"/>
  <c r="T8" i="70"/>
  <c r="R8" i="70"/>
  <c r="Q8" i="70"/>
  <c r="Q22" i="70" s="1"/>
  <c r="M8" i="70"/>
  <c r="S8" i="70" s="1"/>
  <c r="AP7" i="70"/>
  <c r="AO7" i="70"/>
  <c r="AN7" i="70"/>
  <c r="AM7" i="70"/>
  <c r="AL7" i="70"/>
  <c r="AK7" i="70"/>
  <c r="AJ7" i="70"/>
  <c r="AI7" i="70"/>
  <c r="AH7" i="70"/>
  <c r="T7" i="70"/>
  <c r="R7" i="70"/>
  <c r="Q7" i="70"/>
  <c r="M7" i="70"/>
  <c r="O7" i="70" s="1"/>
  <c r="U7" i="70" s="1"/>
  <c r="AP6" i="70"/>
  <c r="AO6" i="70"/>
  <c r="AN6" i="70"/>
  <c r="AM6" i="70"/>
  <c r="AL6" i="70"/>
  <c r="AK6" i="70"/>
  <c r="AJ6" i="70"/>
  <c r="AI6" i="70"/>
  <c r="AH6" i="70"/>
  <c r="T6" i="70"/>
  <c r="R6" i="70"/>
  <c r="Q6" i="70"/>
  <c r="M6" i="70"/>
  <c r="O6" i="70" s="1"/>
  <c r="U6" i="70" s="1"/>
  <c r="AP5" i="70"/>
  <c r="AO5" i="70"/>
  <c r="AN5" i="70"/>
  <c r="AM5" i="70"/>
  <c r="AL5" i="70"/>
  <c r="AK5" i="70"/>
  <c r="AJ5" i="70"/>
  <c r="AI5" i="70"/>
  <c r="X19" i="70"/>
  <c r="T5" i="70"/>
  <c r="R5" i="70"/>
  <c r="Q5" i="70"/>
  <c r="M5" i="70"/>
  <c r="S5" i="70" s="1"/>
  <c r="AP4" i="70"/>
  <c r="AO4" i="70"/>
  <c r="AN4" i="70"/>
  <c r="AM4" i="70"/>
  <c r="AL4" i="70"/>
  <c r="AK4" i="70"/>
  <c r="AJ4" i="70"/>
  <c r="AI4" i="70"/>
  <c r="AH4" i="70"/>
  <c r="T4" i="70"/>
  <c r="R4" i="70"/>
  <c r="Q4" i="70"/>
  <c r="M4" i="70"/>
  <c r="S4" i="70" s="1"/>
  <c r="AP3" i="70"/>
  <c r="AO3" i="70"/>
  <c r="AN3" i="70"/>
  <c r="AM3" i="70"/>
  <c r="AL3" i="70"/>
  <c r="AK3" i="70"/>
  <c r="AJ3" i="70"/>
  <c r="AI3" i="70"/>
  <c r="AH3" i="70"/>
  <c r="T3" i="70"/>
  <c r="R3" i="70"/>
  <c r="Q3" i="70"/>
  <c r="D107" i="69"/>
  <c r="AH100" i="69"/>
  <c r="AO17" i="69" s="1"/>
  <c r="AQ17" i="69" s="1"/>
  <c r="AG100" i="69"/>
  <c r="AO16" i="69" s="1"/>
  <c r="AQ16" i="69" s="1"/>
  <c r="AF100" i="69"/>
  <c r="AO15" i="69" s="1"/>
  <c r="AQ15" i="69" s="1"/>
  <c r="AE100" i="69"/>
  <c r="AO14" i="69" s="1"/>
  <c r="AD100" i="69"/>
  <c r="AO13" i="69" s="1"/>
  <c r="AC100" i="69"/>
  <c r="AO12" i="69" s="1"/>
  <c r="AQ12" i="69" s="1"/>
  <c r="AB100" i="69"/>
  <c r="AO11" i="69" s="1"/>
  <c r="AQ11" i="69" s="1"/>
  <c r="AA100" i="69"/>
  <c r="AO10" i="69" s="1"/>
  <c r="AQ10" i="69" s="1"/>
  <c r="Y100" i="69"/>
  <c r="AO8" i="69" s="1"/>
  <c r="AQ8" i="69" s="1"/>
  <c r="X100" i="69"/>
  <c r="AO7" i="69" s="1"/>
  <c r="AQ7" i="69" s="1"/>
  <c r="V100" i="69"/>
  <c r="AO5" i="69" s="1"/>
  <c r="AQ5" i="69" s="1"/>
  <c r="U100" i="69"/>
  <c r="AO4" i="69" s="1"/>
  <c r="T100" i="69"/>
  <c r="AO3" i="69" s="1"/>
  <c r="AQ3" i="69" s="1"/>
  <c r="P100" i="69"/>
  <c r="K100" i="69"/>
  <c r="I100" i="69"/>
  <c r="G100" i="69"/>
  <c r="J99" i="69"/>
  <c r="L99" i="69" s="1"/>
  <c r="AI88" i="69"/>
  <c r="J88" i="69"/>
  <c r="L88" i="69" s="1"/>
  <c r="AI87" i="69"/>
  <c r="J87" i="69"/>
  <c r="L87" i="69" s="1"/>
  <c r="AI86" i="69"/>
  <c r="J86" i="69"/>
  <c r="L86" i="69" s="1"/>
  <c r="AI85" i="69"/>
  <c r="J85" i="69"/>
  <c r="L85" i="69" s="1"/>
  <c r="AI84" i="69"/>
  <c r="J84" i="69"/>
  <c r="L84" i="69" s="1"/>
  <c r="AI83" i="69"/>
  <c r="J83" i="69"/>
  <c r="L83" i="69" s="1"/>
  <c r="AI82" i="69"/>
  <c r="J82" i="69"/>
  <c r="L82" i="69" s="1"/>
  <c r="AI80" i="69"/>
  <c r="J80" i="69"/>
  <c r="L80" i="69" s="1"/>
  <c r="J79" i="69"/>
  <c r="L79" i="69" s="1"/>
  <c r="AI78" i="69"/>
  <c r="J78" i="69"/>
  <c r="L78" i="69" s="1"/>
  <c r="AI77" i="69"/>
  <c r="J77" i="69"/>
  <c r="L77" i="69" s="1"/>
  <c r="AI76" i="69"/>
  <c r="J76" i="69"/>
  <c r="L76" i="69" s="1"/>
  <c r="AI75" i="69"/>
  <c r="J75" i="69"/>
  <c r="L75" i="69" s="1"/>
  <c r="AI74" i="69"/>
  <c r="J74" i="69"/>
  <c r="L74" i="69" s="1"/>
  <c r="AI73" i="69"/>
  <c r="AI72" i="69"/>
  <c r="J72" i="69"/>
  <c r="L72" i="69" s="1"/>
  <c r="AI71" i="69"/>
  <c r="AI70" i="69"/>
  <c r="J70" i="69"/>
  <c r="L70" i="69" s="1"/>
  <c r="AI69" i="69"/>
  <c r="J69" i="69"/>
  <c r="L69" i="69" s="1"/>
  <c r="AI68" i="69"/>
  <c r="J68" i="69"/>
  <c r="L68" i="69" s="1"/>
  <c r="AI67" i="69"/>
  <c r="J67" i="69"/>
  <c r="L67" i="69" s="1"/>
  <c r="AI66" i="69"/>
  <c r="J66" i="69"/>
  <c r="L66" i="69" s="1"/>
  <c r="AI65" i="69"/>
  <c r="AI64" i="69"/>
  <c r="J63" i="69"/>
  <c r="L63" i="69" s="1"/>
  <c r="AI62" i="69"/>
  <c r="AI61" i="69"/>
  <c r="J61" i="69"/>
  <c r="L61" i="69" s="1"/>
  <c r="AI60" i="69"/>
  <c r="AI59" i="69"/>
  <c r="J59" i="69"/>
  <c r="L59" i="69" s="1"/>
  <c r="J58" i="69"/>
  <c r="L58" i="69" s="1"/>
  <c r="AI57" i="69"/>
  <c r="J57" i="69"/>
  <c r="L57" i="69" s="1"/>
  <c r="AI56" i="69"/>
  <c r="J56" i="69"/>
  <c r="L56" i="69" s="1"/>
  <c r="AI55" i="69"/>
  <c r="J55" i="69"/>
  <c r="L55" i="69" s="1"/>
  <c r="AI54" i="69"/>
  <c r="AI53" i="69"/>
  <c r="AI52" i="69"/>
  <c r="AI51" i="69"/>
  <c r="J51" i="69"/>
  <c r="L51" i="69" s="1"/>
  <c r="AI50" i="69"/>
  <c r="J49" i="69"/>
  <c r="L49" i="69" s="1"/>
  <c r="AI48" i="69"/>
  <c r="J48" i="69"/>
  <c r="L48" i="69" s="1"/>
  <c r="AI47" i="69"/>
  <c r="J47" i="69"/>
  <c r="L47" i="69" s="1"/>
  <c r="J46" i="69"/>
  <c r="L46" i="69" s="1"/>
  <c r="AI45" i="69"/>
  <c r="J45" i="69"/>
  <c r="L45" i="69" s="1"/>
  <c r="AI44" i="69"/>
  <c r="AI43" i="69"/>
  <c r="J43" i="69"/>
  <c r="L43" i="69" s="1"/>
  <c r="AI42" i="69"/>
  <c r="J42" i="69"/>
  <c r="L42" i="69" s="1"/>
  <c r="J41" i="69"/>
  <c r="L41" i="69" s="1"/>
  <c r="AI40" i="69"/>
  <c r="J40" i="69"/>
  <c r="L40" i="69" s="1"/>
  <c r="AI39" i="69"/>
  <c r="J39" i="69"/>
  <c r="L39" i="69" s="1"/>
  <c r="AI38" i="69"/>
  <c r="AI37" i="69"/>
  <c r="S100" i="69"/>
  <c r="AO2" i="69" s="1"/>
  <c r="AQ2" i="69" s="1"/>
  <c r="Q100" i="69"/>
  <c r="AI35" i="69"/>
  <c r="J35" i="69"/>
  <c r="L35" i="69" s="1"/>
  <c r="AI34" i="69"/>
  <c r="J34" i="69"/>
  <c r="L34" i="69" s="1"/>
  <c r="AI33" i="69"/>
  <c r="J33" i="69"/>
  <c r="L33" i="69" s="1"/>
  <c r="AI32" i="69"/>
  <c r="AI31" i="69"/>
  <c r="AI30" i="69"/>
  <c r="J30" i="69"/>
  <c r="L30" i="69" s="1"/>
  <c r="AI29" i="69"/>
  <c r="J29" i="69"/>
  <c r="L29" i="69" s="1"/>
  <c r="AI28" i="69"/>
  <c r="J28" i="69"/>
  <c r="L28" i="69" s="1"/>
  <c r="AI27" i="69"/>
  <c r="J27" i="69"/>
  <c r="L27" i="69" s="1"/>
  <c r="AI26" i="69"/>
  <c r="J26" i="69"/>
  <c r="L26" i="69" s="1"/>
  <c r="AI25" i="69"/>
  <c r="AI24" i="69"/>
  <c r="J24" i="69"/>
  <c r="L24" i="69" s="1"/>
  <c r="AI23" i="69"/>
  <c r="J23" i="69"/>
  <c r="L23" i="69" s="1"/>
  <c r="AI22" i="69"/>
  <c r="J22" i="69"/>
  <c r="L22" i="69" s="1"/>
  <c r="AI21" i="69"/>
  <c r="J21" i="69"/>
  <c r="L21" i="69" s="1"/>
  <c r="AQ20" i="69"/>
  <c r="AI20" i="69"/>
  <c r="J20" i="69"/>
  <c r="L20" i="69" s="1"/>
  <c r="AQ19" i="69"/>
  <c r="AI19" i="69"/>
  <c r="J19" i="69"/>
  <c r="L19" i="69" s="1"/>
  <c r="AQ18" i="69"/>
  <c r="AI18" i="69"/>
  <c r="J18" i="69"/>
  <c r="L18" i="69" s="1"/>
  <c r="AI16" i="69"/>
  <c r="J16" i="69"/>
  <c r="L16" i="69" s="1"/>
  <c r="AI15" i="69"/>
  <c r="J15" i="69"/>
  <c r="L15" i="69" s="1"/>
  <c r="J14" i="69"/>
  <c r="L14" i="69" s="1"/>
  <c r="AI12" i="69"/>
  <c r="J12" i="69"/>
  <c r="L12" i="69" s="1"/>
  <c r="W100" i="69"/>
  <c r="AO6" i="69" s="1"/>
  <c r="J11" i="69"/>
  <c r="L11" i="69" s="1"/>
  <c r="AI10" i="69"/>
  <c r="J10" i="69"/>
  <c r="L10" i="69" s="1"/>
  <c r="AI9" i="69"/>
  <c r="J9" i="69"/>
  <c r="L9" i="69" s="1"/>
  <c r="AI8" i="69"/>
  <c r="J8" i="69"/>
  <c r="L8" i="69" s="1"/>
  <c r="AI7" i="69"/>
  <c r="J7" i="69"/>
  <c r="L7" i="69" s="1"/>
  <c r="J6" i="69"/>
  <c r="L6" i="69" s="1"/>
  <c r="AI5" i="69"/>
  <c r="AI3" i="69"/>
  <c r="J3" i="69"/>
  <c r="L3" i="69" s="1"/>
  <c r="AI2" i="69"/>
  <c r="AM19" i="67"/>
  <c r="AN19" i="67" s="1"/>
  <c r="AM13" i="67"/>
  <c r="AM9" i="67"/>
  <c r="AM14" i="67"/>
  <c r="AM20" i="67"/>
  <c r="AM4" i="67"/>
  <c r="AM18" i="67"/>
  <c r="AM2" i="67"/>
  <c r="AM6" i="67"/>
  <c r="I96" i="67"/>
  <c r="Q82" i="67"/>
  <c r="G82" i="67"/>
  <c r="H82" i="67" s="1"/>
  <c r="Z81" i="67"/>
  <c r="H80" i="67"/>
  <c r="AF20" i="70" l="1"/>
  <c r="H106" i="69"/>
  <c r="J106" i="69" s="1"/>
  <c r="Q23" i="70"/>
  <c r="J4" i="69"/>
  <c r="L4" i="69" s="1"/>
  <c r="S6" i="70"/>
  <c r="J17" i="69"/>
  <c r="L17" i="69" s="1"/>
  <c r="J13" i="69"/>
  <c r="L13" i="69" s="1"/>
  <c r="S11" i="70"/>
  <c r="S16" i="70"/>
  <c r="AQ4" i="69"/>
  <c r="AQ13" i="69"/>
  <c r="AQ14" i="69"/>
  <c r="AP21" i="69"/>
  <c r="AQ6" i="69"/>
  <c r="T19" i="70"/>
  <c r="AI19" i="70"/>
  <c r="AJ19" i="70"/>
  <c r="AK19" i="70"/>
  <c r="AL19" i="70"/>
  <c r="AM19" i="70"/>
  <c r="AN19" i="70"/>
  <c r="AO19" i="70"/>
  <c r="AP19" i="70"/>
  <c r="O5" i="70"/>
  <c r="U5" i="70" s="1"/>
  <c r="R19" i="70"/>
  <c r="Q19" i="70"/>
  <c r="I106" i="69"/>
  <c r="K106" i="69" s="1"/>
  <c r="K19" i="70"/>
  <c r="AF21" i="70" s="1"/>
  <c r="AH5" i="70"/>
  <c r="AH19" i="70" s="1"/>
  <c r="O15" i="70"/>
  <c r="U15" i="70" s="1"/>
  <c r="O18" i="70"/>
  <c r="U18" i="70" s="1"/>
  <c r="S10" i="70"/>
  <c r="O9" i="70"/>
  <c r="U9" i="70" s="1"/>
  <c r="M3" i="70"/>
  <c r="S13" i="70"/>
  <c r="O14" i="70"/>
  <c r="U14" i="70" s="1"/>
  <c r="O17" i="70"/>
  <c r="U17" i="70" s="1"/>
  <c r="S7" i="70"/>
  <c r="S12" i="70"/>
  <c r="O4" i="70"/>
  <c r="U4" i="70" s="1"/>
  <c r="O8" i="70"/>
  <c r="U8" i="70" s="1"/>
  <c r="AI36" i="69"/>
  <c r="Q102" i="69"/>
  <c r="J62" i="69"/>
  <c r="L62" i="69" s="1"/>
  <c r="AI11" i="69"/>
  <c r="J36" i="69"/>
  <c r="L36" i="69" s="1"/>
  <c r="J31" i="69"/>
  <c r="L31" i="69" s="1"/>
  <c r="AI46" i="69"/>
  <c r="AI79" i="69"/>
  <c r="AI14" i="69"/>
  <c r="AI58" i="69"/>
  <c r="J32" i="69"/>
  <c r="L32" i="69" s="1"/>
  <c r="AI63" i="69"/>
  <c r="J37" i="69"/>
  <c r="L37" i="69" s="1"/>
  <c r="AI6" i="69"/>
  <c r="J60" i="69"/>
  <c r="L60" i="69" s="1"/>
  <c r="J44" i="69"/>
  <c r="L44" i="69" s="1"/>
  <c r="AI49" i="69"/>
  <c r="J65" i="69"/>
  <c r="L65" i="69" s="1"/>
  <c r="J71" i="69"/>
  <c r="L71" i="69" s="1"/>
  <c r="Z100" i="69"/>
  <c r="AO9" i="69" s="1"/>
  <c r="AQ9" i="69" s="1"/>
  <c r="J73" i="69"/>
  <c r="L73" i="69" s="1"/>
  <c r="J2" i="69"/>
  <c r="J5" i="69"/>
  <c r="L5" i="69" s="1"/>
  <c r="J25" i="69"/>
  <c r="L25" i="69" s="1"/>
  <c r="AI41" i="69"/>
  <c r="J64" i="69"/>
  <c r="L64" i="69" s="1"/>
  <c r="AI81" i="69"/>
  <c r="J38" i="69"/>
  <c r="L38" i="69" s="1"/>
  <c r="J50" i="69"/>
  <c r="L50" i="69" s="1"/>
  <c r="AM21" i="67"/>
  <c r="W78" i="67"/>
  <c r="N22" i="68"/>
  <c r="I107" i="69" l="1"/>
  <c r="AP20" i="70"/>
  <c r="AP21" i="70" s="1"/>
  <c r="S3" i="70"/>
  <c r="S19" i="70" s="1"/>
  <c r="O3" i="70"/>
  <c r="M19" i="70"/>
  <c r="Q25" i="70"/>
  <c r="AO21" i="69"/>
  <c r="AI100" i="69"/>
  <c r="L2" i="69"/>
  <c r="AQ21" i="69"/>
  <c r="AR2" i="69" s="1"/>
  <c r="J81" i="69"/>
  <c r="L81" i="69" s="1"/>
  <c r="H100" i="69"/>
  <c r="H105" i="69" s="1"/>
  <c r="H74" i="67"/>
  <c r="AR9" i="69" l="1"/>
  <c r="O19" i="70"/>
  <c r="U3" i="70"/>
  <c r="U19" i="70" s="1"/>
  <c r="J100" i="69"/>
  <c r="J105" i="69"/>
  <c r="J107" i="69" s="1"/>
  <c r="H107" i="69"/>
  <c r="H109" i="69" s="1"/>
  <c r="AR20" i="69"/>
  <c r="AR10" i="69"/>
  <c r="AR15" i="69"/>
  <c r="AR3" i="69"/>
  <c r="AR5" i="69"/>
  <c r="AR16" i="69"/>
  <c r="AR4" i="69"/>
  <c r="AR7" i="69"/>
  <c r="AR12" i="69"/>
  <c r="AR19" i="69"/>
  <c r="AR11" i="69"/>
  <c r="AR6" i="69"/>
  <c r="AR17" i="69"/>
  <c r="AR8" i="69"/>
  <c r="AR18" i="69"/>
  <c r="AR13" i="69"/>
  <c r="AR14" i="69"/>
  <c r="L100" i="69"/>
  <c r="H73" i="67"/>
  <c r="U5" i="68"/>
  <c r="N23" i="68"/>
  <c r="H5" i="68"/>
  <c r="H72" i="67"/>
  <c r="K105" i="69" l="1"/>
  <c r="K107" i="69" s="1"/>
  <c r="AR21" i="69"/>
  <c r="H67" i="67"/>
  <c r="H66" i="67"/>
  <c r="H65" i="67"/>
  <c r="H64" i="67"/>
  <c r="H3" i="68"/>
  <c r="H63" i="67" l="1"/>
  <c r="H62" i="67"/>
  <c r="Q61" i="67"/>
  <c r="G61" i="67"/>
  <c r="H61" i="67" s="1"/>
  <c r="H59" i="67"/>
  <c r="H57" i="67"/>
  <c r="H50" i="67"/>
  <c r="H49" i="67"/>
  <c r="H46" i="67"/>
  <c r="H45" i="67"/>
  <c r="H44" i="67"/>
  <c r="H41" i="67" l="1"/>
  <c r="H39" i="67"/>
  <c r="H38" i="67"/>
  <c r="H37" i="67"/>
  <c r="S36" i="67"/>
  <c r="Q36" i="67"/>
  <c r="G36" i="67"/>
  <c r="H36" i="67" s="1"/>
  <c r="H34" i="67"/>
  <c r="H32" i="67"/>
  <c r="H31" i="67"/>
  <c r="H29" i="67"/>
  <c r="H25" i="67"/>
  <c r="H14" i="67"/>
  <c r="W11" i="67" l="1"/>
  <c r="H6" i="67"/>
  <c r="H5" i="67"/>
  <c r="H2" i="67"/>
  <c r="H97" i="67" l="1"/>
  <c r="J3" i="68"/>
  <c r="L3" i="68" s="1"/>
  <c r="J4" i="68"/>
  <c r="P4" i="68" s="1"/>
  <c r="J5" i="68"/>
  <c r="L5" i="68" s="1"/>
  <c r="R5" i="68" s="1"/>
  <c r="J6" i="68"/>
  <c r="P6" i="68" s="1"/>
  <c r="J7" i="68"/>
  <c r="L7" i="68"/>
  <c r="J8" i="68"/>
  <c r="L8" i="68"/>
  <c r="J9" i="68"/>
  <c r="P9" i="68" s="1"/>
  <c r="L9" i="68"/>
  <c r="J10" i="68"/>
  <c r="L10" i="68"/>
  <c r="R10" i="68" s="1"/>
  <c r="J11" i="68"/>
  <c r="P11" i="68" s="1"/>
  <c r="L11" i="68"/>
  <c r="R11" i="68" s="1"/>
  <c r="J12" i="68"/>
  <c r="L12" i="68" s="1"/>
  <c r="AC19" i="68"/>
  <c r="AB19" i="68"/>
  <c r="AA19" i="68"/>
  <c r="Z19" i="68"/>
  <c r="Y19" i="68"/>
  <c r="X19" i="68"/>
  <c r="W19" i="68"/>
  <c r="V19" i="68"/>
  <c r="U19" i="68"/>
  <c r="K19" i="68"/>
  <c r="I19" i="68"/>
  <c r="H19" i="68"/>
  <c r="G19" i="68"/>
  <c r="AM18" i="68"/>
  <c r="AL18" i="68"/>
  <c r="AK18" i="68"/>
  <c r="AJ18" i="68"/>
  <c r="AI18" i="68"/>
  <c r="AH18" i="68"/>
  <c r="AG18" i="68"/>
  <c r="AF18" i="68"/>
  <c r="AE18" i="68"/>
  <c r="Q18" i="68"/>
  <c r="O18" i="68"/>
  <c r="N18" i="68"/>
  <c r="J18" i="68"/>
  <c r="P18" i="68" s="1"/>
  <c r="AM17" i="68"/>
  <c r="AL17" i="68"/>
  <c r="AK17" i="68"/>
  <c r="AJ17" i="68"/>
  <c r="AI17" i="68"/>
  <c r="AH17" i="68"/>
  <c r="AG17" i="68"/>
  <c r="AF17" i="68"/>
  <c r="AE17" i="68"/>
  <c r="Q17" i="68"/>
  <c r="O17" i="68"/>
  <c r="N17" i="68"/>
  <c r="J17" i="68"/>
  <c r="P17" i="68" s="1"/>
  <c r="AM16" i="68"/>
  <c r="AL16" i="68"/>
  <c r="AK16" i="68"/>
  <c r="AJ16" i="68"/>
  <c r="AI16" i="68"/>
  <c r="AH16" i="68"/>
  <c r="AG16" i="68"/>
  <c r="AF16" i="68"/>
  <c r="AE16" i="68"/>
  <c r="Q16" i="68"/>
  <c r="P16" i="68"/>
  <c r="O16" i="68"/>
  <c r="N16" i="68"/>
  <c r="J16" i="68"/>
  <c r="L16" i="68" s="1"/>
  <c r="R16" i="68" s="1"/>
  <c r="AM15" i="68"/>
  <c r="AL15" i="68"/>
  <c r="AK15" i="68"/>
  <c r="AJ15" i="68"/>
  <c r="AI15" i="68"/>
  <c r="AH15" i="68"/>
  <c r="AG15" i="68"/>
  <c r="AF15" i="68"/>
  <c r="AE15" i="68"/>
  <c r="Q15" i="68"/>
  <c r="O15" i="68"/>
  <c r="N15" i="68"/>
  <c r="J15" i="68"/>
  <c r="L15" i="68" s="1"/>
  <c r="R15" i="68" s="1"/>
  <c r="AM14" i="68"/>
  <c r="AL14" i="68"/>
  <c r="AK14" i="68"/>
  <c r="AJ14" i="68"/>
  <c r="AI14" i="68"/>
  <c r="AH14" i="68"/>
  <c r="AG14" i="68"/>
  <c r="AF14" i="68"/>
  <c r="AE14" i="68"/>
  <c r="Q14" i="68"/>
  <c r="O14" i="68"/>
  <c r="N14" i="68"/>
  <c r="J14" i="68"/>
  <c r="P14" i="68" s="1"/>
  <c r="AM13" i="68"/>
  <c r="AL13" i="68"/>
  <c r="AK13" i="68"/>
  <c r="AJ13" i="68"/>
  <c r="AI13" i="68"/>
  <c r="AH13" i="68"/>
  <c r="AG13" i="68"/>
  <c r="AF13" i="68"/>
  <c r="AE13" i="68"/>
  <c r="Q13" i="68"/>
  <c r="O13" i="68"/>
  <c r="N13" i="68"/>
  <c r="J13" i="68"/>
  <c r="P13" i="68" s="1"/>
  <c r="AM12" i="68"/>
  <c r="AL12" i="68"/>
  <c r="AK12" i="68"/>
  <c r="AJ12" i="68"/>
  <c r="AI12" i="68"/>
  <c r="AH12" i="68"/>
  <c r="AG12" i="68"/>
  <c r="AF12" i="68"/>
  <c r="AE12" i="68"/>
  <c r="Q12" i="68"/>
  <c r="O12" i="68"/>
  <c r="N12" i="68"/>
  <c r="AM11" i="68"/>
  <c r="AL11" i="68"/>
  <c r="AK11" i="68"/>
  <c r="AJ11" i="68"/>
  <c r="AI11" i="68"/>
  <c r="AH11" i="68"/>
  <c r="AG11" i="68"/>
  <c r="AF11" i="68"/>
  <c r="AE11" i="68"/>
  <c r="Q11" i="68"/>
  <c r="O11" i="68"/>
  <c r="N11" i="68"/>
  <c r="AM10" i="68"/>
  <c r="AL10" i="68"/>
  <c r="AK10" i="68"/>
  <c r="AJ10" i="68"/>
  <c r="AI10" i="68"/>
  <c r="AH10" i="68"/>
  <c r="AG10" i="68"/>
  <c r="AF10" i="68"/>
  <c r="AE10" i="68"/>
  <c r="Q10" i="68"/>
  <c r="O10" i="68"/>
  <c r="N10" i="68"/>
  <c r="AM9" i="68"/>
  <c r="AL9" i="68"/>
  <c r="AK9" i="68"/>
  <c r="AJ9" i="68"/>
  <c r="AI9" i="68"/>
  <c r="AH9" i="68"/>
  <c r="AG9" i="68"/>
  <c r="AF9" i="68"/>
  <c r="AE9" i="68"/>
  <c r="Q9" i="68"/>
  <c r="O9" i="68"/>
  <c r="N9" i="68"/>
  <c r="AM8" i="68"/>
  <c r="AL8" i="68"/>
  <c r="AK8" i="68"/>
  <c r="AJ8" i="68"/>
  <c r="AI8" i="68"/>
  <c r="AH8" i="68"/>
  <c r="AG8" i="68"/>
  <c r="AF8" i="68"/>
  <c r="AE8" i="68"/>
  <c r="Q8" i="68"/>
  <c r="O8" i="68"/>
  <c r="N8" i="68"/>
  <c r="P8" i="68"/>
  <c r="AM7" i="68"/>
  <c r="AL7" i="68"/>
  <c r="AK7" i="68"/>
  <c r="AJ7" i="68"/>
  <c r="AI7" i="68"/>
  <c r="AH7" i="68"/>
  <c r="AG7" i="68"/>
  <c r="AF7" i="68"/>
  <c r="AE7" i="68"/>
  <c r="Q7" i="68"/>
  <c r="O7" i="68"/>
  <c r="AM6" i="68"/>
  <c r="AL6" i="68"/>
  <c r="AK6" i="68"/>
  <c r="AJ6" i="68"/>
  <c r="AI6" i="68"/>
  <c r="AH6" i="68"/>
  <c r="AG6" i="68"/>
  <c r="AF6" i="68"/>
  <c r="AE6" i="68"/>
  <c r="Q6" i="68"/>
  <c r="O6" i="68"/>
  <c r="N6" i="68"/>
  <c r="AM5" i="68"/>
  <c r="AL5" i="68"/>
  <c r="AK5" i="68"/>
  <c r="AJ5" i="68"/>
  <c r="AI5" i="68"/>
  <c r="AH5" i="68"/>
  <c r="AG5" i="68"/>
  <c r="AF5" i="68"/>
  <c r="AE5" i="68"/>
  <c r="Q5" i="68"/>
  <c r="P5" i="68"/>
  <c r="O5" i="68"/>
  <c r="N5" i="68"/>
  <c r="AM4" i="68"/>
  <c r="AL4" i="68"/>
  <c r="AK4" i="68"/>
  <c r="AJ4" i="68"/>
  <c r="AI4" i="68"/>
  <c r="AH4" i="68"/>
  <c r="AG4" i="68"/>
  <c r="AF4" i="68"/>
  <c r="AE4" i="68"/>
  <c r="Q4" i="68"/>
  <c r="O4" i="68"/>
  <c r="N4" i="68"/>
  <c r="AM3" i="68"/>
  <c r="AL3" i="68"/>
  <c r="AK3" i="68"/>
  <c r="AJ3" i="68"/>
  <c r="AI3" i="68"/>
  <c r="AH3" i="68"/>
  <c r="AG3" i="68"/>
  <c r="AF3" i="68"/>
  <c r="AE3" i="68"/>
  <c r="Q3" i="68"/>
  <c r="O3" i="68"/>
  <c r="N3" i="68"/>
  <c r="I97" i="67" s="1"/>
  <c r="I98" i="67" s="1"/>
  <c r="AH91" i="67"/>
  <c r="AL17" i="67" s="1"/>
  <c r="AN17" i="67" s="1"/>
  <c r="AG91" i="67"/>
  <c r="AL16" i="67" s="1"/>
  <c r="AN16" i="67" s="1"/>
  <c r="AF91" i="67"/>
  <c r="AL15" i="67" s="1"/>
  <c r="AN15" i="67" s="1"/>
  <c r="AE91" i="67"/>
  <c r="AL14" i="67" s="1"/>
  <c r="AD91" i="67"/>
  <c r="AL13" i="67" s="1"/>
  <c r="AN13" i="67" s="1"/>
  <c r="AB91" i="67"/>
  <c r="AL11" i="67" s="1"/>
  <c r="AN11" i="67" s="1"/>
  <c r="AA91" i="67"/>
  <c r="AL10" i="67" s="1"/>
  <c r="AN10" i="67" s="1"/>
  <c r="Z91" i="67"/>
  <c r="AL9" i="67" s="1"/>
  <c r="AN9" i="67" s="1"/>
  <c r="Y91" i="67"/>
  <c r="AL8" i="67" s="1"/>
  <c r="AN8" i="67" s="1"/>
  <c r="X91" i="67"/>
  <c r="AL7" i="67" s="1"/>
  <c r="AN7" i="67" s="1"/>
  <c r="V91" i="67"/>
  <c r="AL5" i="67" s="1"/>
  <c r="AN5" i="67" s="1"/>
  <c r="T91" i="67"/>
  <c r="AL3" i="67" s="1"/>
  <c r="AN3" i="67" s="1"/>
  <c r="P91" i="67"/>
  <c r="K91" i="67"/>
  <c r="AI90" i="67"/>
  <c r="J90" i="67"/>
  <c r="L90" i="67" s="1"/>
  <c r="AI89" i="67"/>
  <c r="J89" i="67"/>
  <c r="L89" i="67" s="1"/>
  <c r="AI88" i="67"/>
  <c r="J88" i="67"/>
  <c r="L88" i="67" s="1"/>
  <c r="AI87" i="67"/>
  <c r="AI86" i="67"/>
  <c r="J86" i="67"/>
  <c r="L86" i="67" s="1"/>
  <c r="AI85" i="67"/>
  <c r="J85" i="67"/>
  <c r="L85" i="67" s="1"/>
  <c r="AI84" i="67"/>
  <c r="J84" i="67"/>
  <c r="L84" i="67" s="1"/>
  <c r="AI83" i="67"/>
  <c r="J83" i="67"/>
  <c r="L83" i="67" s="1"/>
  <c r="AI82" i="67"/>
  <c r="J82" i="67"/>
  <c r="L82" i="67" s="1"/>
  <c r="AI81" i="67"/>
  <c r="J81" i="67"/>
  <c r="L81" i="67" s="1"/>
  <c r="AI80" i="67"/>
  <c r="J80" i="67"/>
  <c r="L80" i="67" s="1"/>
  <c r="AI79" i="67"/>
  <c r="J79" i="67"/>
  <c r="L79" i="67" s="1"/>
  <c r="AI78" i="67"/>
  <c r="J78" i="67"/>
  <c r="L78" i="67" s="1"/>
  <c r="AI77" i="67"/>
  <c r="J77" i="67"/>
  <c r="L77" i="67" s="1"/>
  <c r="AI76" i="67"/>
  <c r="J76" i="67"/>
  <c r="L76" i="67" s="1"/>
  <c r="AI75" i="67"/>
  <c r="J75" i="67"/>
  <c r="L75" i="67" s="1"/>
  <c r="AI74" i="67"/>
  <c r="AI73" i="67"/>
  <c r="J73" i="67"/>
  <c r="L73" i="67" s="1"/>
  <c r="AI72" i="67"/>
  <c r="J72" i="67"/>
  <c r="L72" i="67" s="1"/>
  <c r="AI71" i="67"/>
  <c r="J71" i="67"/>
  <c r="L71" i="67" s="1"/>
  <c r="AI70" i="67"/>
  <c r="J70" i="67"/>
  <c r="L70" i="67" s="1"/>
  <c r="AI69" i="67"/>
  <c r="J69" i="67"/>
  <c r="L69" i="67" s="1"/>
  <c r="J68" i="67"/>
  <c r="L68" i="67" s="1"/>
  <c r="AI68" i="67"/>
  <c r="J67" i="67"/>
  <c r="L67" i="67" s="1"/>
  <c r="AI66" i="67"/>
  <c r="AI65" i="67"/>
  <c r="J65" i="67"/>
  <c r="L65" i="67" s="1"/>
  <c r="AI64" i="67"/>
  <c r="J64" i="67"/>
  <c r="L64" i="67" s="1"/>
  <c r="AI63" i="67"/>
  <c r="J63" i="67"/>
  <c r="L63" i="67" s="1"/>
  <c r="AI62" i="67"/>
  <c r="AI61" i="67"/>
  <c r="J61" i="67"/>
  <c r="L61" i="67" s="1"/>
  <c r="AI60" i="67"/>
  <c r="J60" i="67"/>
  <c r="L60" i="67" s="1"/>
  <c r="AI59" i="67"/>
  <c r="J59" i="67"/>
  <c r="L59" i="67" s="1"/>
  <c r="AI58" i="67"/>
  <c r="AI57" i="67"/>
  <c r="J57" i="67"/>
  <c r="L57" i="67" s="1"/>
  <c r="AI56" i="67"/>
  <c r="J56" i="67"/>
  <c r="L56" i="67" s="1"/>
  <c r="AI55" i="67"/>
  <c r="J55" i="67"/>
  <c r="L55" i="67" s="1"/>
  <c r="AI54" i="67"/>
  <c r="J54" i="67"/>
  <c r="L54" i="67" s="1"/>
  <c r="AI53" i="67"/>
  <c r="J53" i="67"/>
  <c r="L53" i="67" s="1"/>
  <c r="AI52" i="67"/>
  <c r="J52" i="67"/>
  <c r="L52" i="67" s="1"/>
  <c r="AI51" i="67"/>
  <c r="J51" i="67"/>
  <c r="L51" i="67" s="1"/>
  <c r="AI50" i="67"/>
  <c r="J50" i="67"/>
  <c r="L50" i="67" s="1"/>
  <c r="AI49" i="67"/>
  <c r="J49" i="67"/>
  <c r="L49" i="67" s="1"/>
  <c r="AI48" i="67"/>
  <c r="J48" i="67"/>
  <c r="L48" i="67" s="1"/>
  <c r="AI47" i="67"/>
  <c r="J47" i="67"/>
  <c r="L47" i="67" s="1"/>
  <c r="AI46" i="67"/>
  <c r="J45" i="67"/>
  <c r="L45" i="67" s="1"/>
  <c r="AI45" i="67"/>
  <c r="AI44" i="67"/>
  <c r="J44" i="67"/>
  <c r="L44" i="67" s="1"/>
  <c r="AI42" i="67"/>
  <c r="J42" i="67"/>
  <c r="L42" i="67" s="1"/>
  <c r="AC91" i="67"/>
  <c r="AL12" i="67" s="1"/>
  <c r="AN12" i="67" s="1"/>
  <c r="S91" i="67"/>
  <c r="AL2" i="67" s="1"/>
  <c r="AN2" i="67" s="1"/>
  <c r="AI41" i="67"/>
  <c r="AI40" i="67"/>
  <c r="J40" i="67"/>
  <c r="L40" i="67" s="1"/>
  <c r="AI39" i="67"/>
  <c r="J39" i="67"/>
  <c r="L39" i="67" s="1"/>
  <c r="AI38" i="67"/>
  <c r="J38" i="67"/>
  <c r="L38" i="67" s="1"/>
  <c r="AI37" i="67"/>
  <c r="J37" i="67"/>
  <c r="L37" i="67" s="1"/>
  <c r="AI36" i="67"/>
  <c r="J36" i="67"/>
  <c r="L36" i="67" s="1"/>
  <c r="AI35" i="67"/>
  <c r="J35" i="67"/>
  <c r="L35" i="67" s="1"/>
  <c r="AI34" i="67"/>
  <c r="AI33" i="67"/>
  <c r="J33" i="67"/>
  <c r="L33" i="67" s="1"/>
  <c r="AI32" i="67"/>
  <c r="AI31" i="67"/>
  <c r="J31" i="67"/>
  <c r="L31" i="67" s="1"/>
  <c r="AI30" i="67"/>
  <c r="J30" i="67"/>
  <c r="L30" i="67" s="1"/>
  <c r="AI29" i="67"/>
  <c r="J29" i="67"/>
  <c r="L29" i="67" s="1"/>
  <c r="AI28" i="67"/>
  <c r="J28" i="67"/>
  <c r="L28" i="67" s="1"/>
  <c r="AI27" i="67"/>
  <c r="J27" i="67"/>
  <c r="L27" i="67" s="1"/>
  <c r="AI26" i="67"/>
  <c r="J26" i="67"/>
  <c r="L26" i="67" s="1"/>
  <c r="AI25" i="67"/>
  <c r="J25" i="67"/>
  <c r="L25" i="67" s="1"/>
  <c r="AI24" i="67"/>
  <c r="J24" i="67"/>
  <c r="L24" i="67" s="1"/>
  <c r="AI23" i="67"/>
  <c r="J23" i="67"/>
  <c r="L23" i="67" s="1"/>
  <c r="AI22" i="67"/>
  <c r="J22" i="67"/>
  <c r="L22" i="67" s="1"/>
  <c r="AI21" i="67"/>
  <c r="J21" i="67"/>
  <c r="L21" i="67" s="1"/>
  <c r="AI20" i="67"/>
  <c r="J20" i="67"/>
  <c r="L20" i="67" s="1"/>
  <c r="AN20" i="67"/>
  <c r="AI19" i="67"/>
  <c r="J19" i="67"/>
  <c r="L19" i="67" s="1"/>
  <c r="AN18" i="67"/>
  <c r="AI18" i="67"/>
  <c r="J18" i="67"/>
  <c r="L18" i="67" s="1"/>
  <c r="AI17" i="67"/>
  <c r="AI16" i="67"/>
  <c r="J16" i="67"/>
  <c r="L16" i="67" s="1"/>
  <c r="AI15" i="67"/>
  <c r="J15" i="67"/>
  <c r="L15" i="67" s="1"/>
  <c r="AI14" i="67"/>
  <c r="J14" i="67"/>
  <c r="L14" i="67" s="1"/>
  <c r="AI13" i="67"/>
  <c r="J13" i="67"/>
  <c r="L13" i="67" s="1"/>
  <c r="AI12" i="67"/>
  <c r="J12" i="67"/>
  <c r="L12" i="67" s="1"/>
  <c r="AI11" i="67"/>
  <c r="AI10" i="67"/>
  <c r="J10" i="67"/>
  <c r="L10" i="67" s="1"/>
  <c r="J9" i="67"/>
  <c r="L9" i="67" s="1"/>
  <c r="AI9" i="67"/>
  <c r="AI8" i="67"/>
  <c r="Q91" i="67"/>
  <c r="AI7" i="67"/>
  <c r="G91" i="67"/>
  <c r="AI6" i="67"/>
  <c r="J6" i="67"/>
  <c r="L6" i="67" s="1"/>
  <c r="AI5" i="67"/>
  <c r="J5" i="67"/>
  <c r="L5" i="67" s="1"/>
  <c r="AI4" i="67"/>
  <c r="AI3" i="67"/>
  <c r="J3" i="67"/>
  <c r="L3" i="67" s="1"/>
  <c r="AI2" i="67"/>
  <c r="J2" i="67"/>
  <c r="L2" i="67" s="1"/>
  <c r="J107" i="65"/>
  <c r="H117" i="65"/>
  <c r="L6" i="68" l="1"/>
  <c r="L4" i="68"/>
  <c r="R4" i="68" s="1"/>
  <c r="P3" i="68"/>
  <c r="AC20" i="68"/>
  <c r="AC21" i="68" s="1"/>
  <c r="AE19" i="68"/>
  <c r="AF19" i="68"/>
  <c r="AG19" i="68"/>
  <c r="AH19" i="68"/>
  <c r="AI19" i="68"/>
  <c r="AJ19" i="68"/>
  <c r="AK19" i="68"/>
  <c r="AL19" i="68"/>
  <c r="AM19" i="68"/>
  <c r="Q19" i="68"/>
  <c r="P12" i="68"/>
  <c r="O19" i="68"/>
  <c r="R7" i="68"/>
  <c r="P7" i="68"/>
  <c r="N7" i="68"/>
  <c r="P10" i="68"/>
  <c r="R9" i="68"/>
  <c r="L14" i="68"/>
  <c r="R14" i="68" s="1"/>
  <c r="L13" i="68"/>
  <c r="R13" i="68" s="1"/>
  <c r="L18" i="68"/>
  <c r="R18" i="68" s="1"/>
  <c r="P15" i="68"/>
  <c r="J19" i="68"/>
  <c r="R8" i="68"/>
  <c r="R12" i="68"/>
  <c r="L17" i="68"/>
  <c r="R17" i="68" s="1"/>
  <c r="R6" i="68"/>
  <c r="AN14" i="67"/>
  <c r="Q93" i="67"/>
  <c r="J43" i="67"/>
  <c r="L43" i="67" s="1"/>
  <c r="K97" i="67"/>
  <c r="I91" i="67"/>
  <c r="J4" i="67"/>
  <c r="L4" i="67" s="1"/>
  <c r="J34" i="67"/>
  <c r="L34" i="67" s="1"/>
  <c r="J62" i="67"/>
  <c r="L62" i="67" s="1"/>
  <c r="AI67" i="67"/>
  <c r="J74" i="67"/>
  <c r="L74" i="67" s="1"/>
  <c r="J58" i="67"/>
  <c r="L58" i="67" s="1"/>
  <c r="J7" i="67"/>
  <c r="L7" i="67" s="1"/>
  <c r="U91" i="67"/>
  <c r="AL4" i="67" s="1"/>
  <c r="AN4" i="67" s="1"/>
  <c r="J46" i="67"/>
  <c r="L46" i="67" s="1"/>
  <c r="W91" i="67"/>
  <c r="AL6" i="67" s="1"/>
  <c r="AN6" i="67" s="1"/>
  <c r="J41" i="67"/>
  <c r="L41" i="67" s="1"/>
  <c r="J97" i="67"/>
  <c r="J87" i="67"/>
  <c r="L87" i="67" s="1"/>
  <c r="J8" i="67"/>
  <c r="L8" i="67" s="1"/>
  <c r="J11" i="67"/>
  <c r="L11" i="67" s="1"/>
  <c r="J17" i="67"/>
  <c r="L17" i="67" s="1"/>
  <c r="J32" i="67"/>
  <c r="L32" i="67" s="1"/>
  <c r="J66" i="67"/>
  <c r="L66" i="67" s="1"/>
  <c r="AI43" i="67"/>
  <c r="H116" i="65"/>
  <c r="AN21" i="67" l="1"/>
  <c r="AO19" i="67" s="1"/>
  <c r="P19" i="68"/>
  <c r="AM20" i="68"/>
  <c r="N19" i="68"/>
  <c r="N25" i="68" s="1"/>
  <c r="R3" i="68"/>
  <c r="R19" i="68" s="1"/>
  <c r="L19" i="68"/>
  <c r="AI91" i="67"/>
  <c r="L91" i="67"/>
  <c r="AL21" i="67"/>
  <c r="J91" i="67"/>
  <c r="H91" i="67"/>
  <c r="H96" i="67" s="1"/>
  <c r="H115" i="65"/>
  <c r="H113" i="65"/>
  <c r="H112" i="65"/>
  <c r="S110" i="65"/>
  <c r="H110" i="65"/>
  <c r="H109" i="65"/>
  <c r="H107" i="65"/>
  <c r="H106" i="65"/>
  <c r="H98" i="65"/>
  <c r="H96" i="65"/>
  <c r="H94" i="65"/>
  <c r="U92" i="65"/>
  <c r="H92" i="65"/>
  <c r="H91" i="65"/>
  <c r="H90" i="65"/>
  <c r="U88" i="65"/>
  <c r="H88" i="65"/>
  <c r="W87" i="65"/>
  <c r="W86" i="65"/>
  <c r="K151" i="65"/>
  <c r="H83" i="65"/>
  <c r="AO6" i="67" l="1"/>
  <c r="AO2" i="67"/>
  <c r="AM21" i="68"/>
  <c r="H98" i="67"/>
  <c r="H100" i="67" s="1"/>
  <c r="D98" i="67" s="1"/>
  <c r="J96" i="67"/>
  <c r="J98" i="67" s="1"/>
  <c r="AO20" i="67"/>
  <c r="AO3" i="67"/>
  <c r="AO12" i="67"/>
  <c r="AO18" i="67"/>
  <c r="AO11" i="67"/>
  <c r="AO13" i="67"/>
  <c r="AO5" i="67"/>
  <c r="AO16" i="67"/>
  <c r="AO17" i="67"/>
  <c r="AO15" i="67"/>
  <c r="AO8" i="67"/>
  <c r="AO14" i="67"/>
  <c r="AO7" i="67"/>
  <c r="AO10" i="67"/>
  <c r="AO9" i="67"/>
  <c r="AO4" i="67"/>
  <c r="H75" i="65"/>
  <c r="H74" i="65"/>
  <c r="G74" i="65"/>
  <c r="W74" i="65"/>
  <c r="H70" i="65"/>
  <c r="S68" i="65"/>
  <c r="H68" i="65"/>
  <c r="AO21" i="67" l="1"/>
  <c r="K96" i="67"/>
  <c r="K98" i="67" s="1"/>
  <c r="S67" i="65"/>
  <c r="H67" i="65"/>
  <c r="H66" i="65"/>
  <c r="H62" i="65"/>
  <c r="AL18" i="66"/>
  <c r="AL17" i="66"/>
  <c r="AL16" i="66"/>
  <c r="AL15" i="66"/>
  <c r="AL14" i="66"/>
  <c r="AL13" i="66"/>
  <c r="AL12" i="66"/>
  <c r="AL11" i="66"/>
  <c r="AL10" i="66"/>
  <c r="AL9" i="66"/>
  <c r="AL8" i="66"/>
  <c r="AL7" i="66"/>
  <c r="AL6" i="66"/>
  <c r="AL5" i="66"/>
  <c r="AL4" i="66"/>
  <c r="AL3" i="66"/>
  <c r="AK18" i="66"/>
  <c r="AK17" i="66"/>
  <c r="AK16" i="66"/>
  <c r="AK15" i="66"/>
  <c r="AK14" i="66"/>
  <c r="AK13" i="66"/>
  <c r="AK12" i="66"/>
  <c r="AK11" i="66"/>
  <c r="AK10" i="66"/>
  <c r="AK9" i="66"/>
  <c r="AK8" i="66"/>
  <c r="AK7" i="66"/>
  <c r="AK6" i="66"/>
  <c r="AK5" i="66"/>
  <c r="AK4" i="66"/>
  <c r="AK3" i="66"/>
  <c r="AA19" i="66"/>
  <c r="AB19" i="66"/>
  <c r="H7" i="66"/>
  <c r="AJ18" i="66"/>
  <c r="AJ17" i="66"/>
  <c r="AJ16" i="66"/>
  <c r="AJ15" i="66"/>
  <c r="AJ14" i="66"/>
  <c r="AJ13" i="66"/>
  <c r="AJ12" i="66"/>
  <c r="AJ11" i="66"/>
  <c r="AJ10" i="66"/>
  <c r="AJ9" i="66"/>
  <c r="AJ8" i="66"/>
  <c r="AJ7" i="66"/>
  <c r="AJ6" i="66"/>
  <c r="AJ5" i="66"/>
  <c r="AJ4" i="66"/>
  <c r="AJ3" i="66"/>
  <c r="Z19" i="66"/>
  <c r="AL19" i="66" l="1"/>
  <c r="AM13" i="65" s="1"/>
  <c r="AK19" i="66"/>
  <c r="AM9" i="65" s="1"/>
  <c r="AJ19" i="66"/>
  <c r="AM14" i="65" s="1"/>
  <c r="H58" i="65"/>
  <c r="H54" i="65"/>
  <c r="U48" i="65"/>
  <c r="H48" i="65"/>
  <c r="H46" i="65"/>
  <c r="H45" i="65"/>
  <c r="Q43" i="65"/>
  <c r="H43" i="65"/>
  <c r="G43" i="65"/>
  <c r="AC41" i="65"/>
  <c r="U41" i="65"/>
  <c r="S41" i="65"/>
  <c r="H41" i="65"/>
  <c r="I39" i="65"/>
  <c r="W37" i="65"/>
  <c r="H34" i="65"/>
  <c r="H32" i="65"/>
  <c r="H31" i="65"/>
  <c r="J12" i="65"/>
  <c r="J13" i="65"/>
  <c r="J14" i="65"/>
  <c r="J15" i="65"/>
  <c r="H16" i="65"/>
  <c r="J16" i="65" s="1"/>
  <c r="H17" i="65"/>
  <c r="J17" i="65" s="1"/>
  <c r="H11" i="65" l="1"/>
  <c r="AI11" i="65" s="1"/>
  <c r="H9" i="65"/>
  <c r="AI9" i="65" s="1"/>
  <c r="H8" i="65"/>
  <c r="AI8" i="65" s="1"/>
  <c r="Q7" i="65"/>
  <c r="Q150" i="65" s="1"/>
  <c r="G7" i="65"/>
  <c r="H7" i="65" s="1"/>
  <c r="H5" i="65"/>
  <c r="AI5" i="65" s="1"/>
  <c r="H4" i="65"/>
  <c r="J4" i="65" s="1"/>
  <c r="L4" i="65" s="1"/>
  <c r="AC19" i="66"/>
  <c r="Y19" i="66"/>
  <c r="X19" i="66"/>
  <c r="W19" i="66"/>
  <c r="V19" i="66"/>
  <c r="U19" i="66"/>
  <c r="K19" i="66"/>
  <c r="I19" i="66"/>
  <c r="G19" i="66"/>
  <c r="AM18" i="66"/>
  <c r="AI18" i="66"/>
  <c r="AH18" i="66"/>
  <c r="AG18" i="66"/>
  <c r="AF18" i="66"/>
  <c r="AE18" i="66"/>
  <c r="Q18" i="66"/>
  <c r="O18" i="66"/>
  <c r="N18" i="66"/>
  <c r="J18" i="66"/>
  <c r="L18" i="66" s="1"/>
  <c r="R18" i="66" s="1"/>
  <c r="AM17" i="66"/>
  <c r="AI17" i="66"/>
  <c r="AH17" i="66"/>
  <c r="AG17" i="66"/>
  <c r="AF17" i="66"/>
  <c r="AE17" i="66"/>
  <c r="Q17" i="66"/>
  <c r="O17" i="66"/>
  <c r="N17" i="66"/>
  <c r="J17" i="66"/>
  <c r="P17" i="66" s="1"/>
  <c r="AM16" i="66"/>
  <c r="AI16" i="66"/>
  <c r="AH16" i="66"/>
  <c r="AG16" i="66"/>
  <c r="AF16" i="66"/>
  <c r="AE16" i="66"/>
  <c r="Q16" i="66"/>
  <c r="O16" i="66"/>
  <c r="N16" i="66"/>
  <c r="J16" i="66"/>
  <c r="L16" i="66" s="1"/>
  <c r="R16" i="66" s="1"/>
  <c r="AM15" i="66"/>
  <c r="AI15" i="66"/>
  <c r="AH15" i="66"/>
  <c r="AG15" i="66"/>
  <c r="AF15" i="66"/>
  <c r="AE15" i="66"/>
  <c r="Q15" i="66"/>
  <c r="O15" i="66"/>
  <c r="N15" i="66"/>
  <c r="J15" i="66"/>
  <c r="L15" i="66" s="1"/>
  <c r="R15" i="66" s="1"/>
  <c r="AM14" i="66"/>
  <c r="AI14" i="66"/>
  <c r="AH14" i="66"/>
  <c r="AG14" i="66"/>
  <c r="AF14" i="66"/>
  <c r="AE14" i="66"/>
  <c r="Q14" i="66"/>
  <c r="O14" i="66"/>
  <c r="N14" i="66"/>
  <c r="J14" i="66"/>
  <c r="P14" i="66" s="1"/>
  <c r="AM13" i="66"/>
  <c r="AI13" i="66"/>
  <c r="AH13" i="66"/>
  <c r="AG13" i="66"/>
  <c r="AF13" i="66"/>
  <c r="AE13" i="66"/>
  <c r="Q13" i="66"/>
  <c r="O13" i="66"/>
  <c r="N13" i="66"/>
  <c r="J13" i="66"/>
  <c r="L13" i="66" s="1"/>
  <c r="R13" i="66" s="1"/>
  <c r="AM12" i="66"/>
  <c r="AI12" i="66"/>
  <c r="AH12" i="66"/>
  <c r="AG12" i="66"/>
  <c r="AF12" i="66"/>
  <c r="AE12" i="66"/>
  <c r="Q12" i="66"/>
  <c r="O12" i="66"/>
  <c r="N12" i="66"/>
  <c r="J12" i="66"/>
  <c r="P12" i="66" s="1"/>
  <c r="AM11" i="66"/>
  <c r="AI11" i="66"/>
  <c r="AH11" i="66"/>
  <c r="AG11" i="66"/>
  <c r="AF11" i="66"/>
  <c r="AE11" i="66"/>
  <c r="Q11" i="66"/>
  <c r="O11" i="66"/>
  <c r="N11" i="66"/>
  <c r="AM10" i="66"/>
  <c r="AI10" i="66"/>
  <c r="AH10" i="66"/>
  <c r="AG10" i="66"/>
  <c r="AF10" i="66"/>
  <c r="AE10" i="66"/>
  <c r="Q10" i="66"/>
  <c r="O10" i="66"/>
  <c r="N10" i="66"/>
  <c r="J10" i="66"/>
  <c r="AM9" i="66"/>
  <c r="AI9" i="66"/>
  <c r="AH9" i="66"/>
  <c r="AG9" i="66"/>
  <c r="AF9" i="66"/>
  <c r="AE9" i="66"/>
  <c r="Q9" i="66"/>
  <c r="O9" i="66"/>
  <c r="N9" i="66"/>
  <c r="J9" i="66"/>
  <c r="L9" i="66" s="1"/>
  <c r="R9" i="66" s="1"/>
  <c r="AM8" i="66"/>
  <c r="AI8" i="66"/>
  <c r="AH8" i="66"/>
  <c r="AG8" i="66"/>
  <c r="AF8" i="66"/>
  <c r="AE8" i="66"/>
  <c r="Q8" i="66"/>
  <c r="O8" i="66"/>
  <c r="N8" i="66"/>
  <c r="J8" i="66"/>
  <c r="P8" i="66" s="1"/>
  <c r="AM7" i="66"/>
  <c r="AI7" i="66"/>
  <c r="AH7" i="66"/>
  <c r="AG7" i="66"/>
  <c r="AF7" i="66"/>
  <c r="AE7" i="66"/>
  <c r="Q7" i="66"/>
  <c r="O7" i="66"/>
  <c r="N7" i="66"/>
  <c r="AM6" i="66"/>
  <c r="AI6" i="66"/>
  <c r="AH6" i="66"/>
  <c r="AG6" i="66"/>
  <c r="AF6" i="66"/>
  <c r="AE6" i="66"/>
  <c r="Q6" i="66"/>
  <c r="O6" i="66"/>
  <c r="N6" i="66"/>
  <c r="J6" i="66"/>
  <c r="P6" i="66" s="1"/>
  <c r="AM5" i="66"/>
  <c r="AI5" i="66"/>
  <c r="AH5" i="66"/>
  <c r="AG5" i="66"/>
  <c r="AF5" i="66"/>
  <c r="AE5" i="66"/>
  <c r="Q5" i="66"/>
  <c r="O5" i="66"/>
  <c r="N5" i="66"/>
  <c r="J5" i="66"/>
  <c r="P5" i="66" s="1"/>
  <c r="AM4" i="66"/>
  <c r="AI4" i="66"/>
  <c r="AH4" i="66"/>
  <c r="AG4" i="66"/>
  <c r="AF4" i="66"/>
  <c r="AE4" i="66"/>
  <c r="Q4" i="66"/>
  <c r="O4" i="66"/>
  <c r="N4" i="66"/>
  <c r="J4" i="66"/>
  <c r="L4" i="66" s="1"/>
  <c r="R4" i="66" s="1"/>
  <c r="AM3" i="66"/>
  <c r="AI3" i="66"/>
  <c r="AH3" i="66"/>
  <c r="AG3" i="66"/>
  <c r="AF3" i="66"/>
  <c r="AE3" i="66"/>
  <c r="Q3" i="66"/>
  <c r="O3" i="66"/>
  <c r="N3" i="66"/>
  <c r="J3" i="66"/>
  <c r="L3" i="66" s="1"/>
  <c r="AH150" i="65"/>
  <c r="AG150" i="65"/>
  <c r="AL16" i="65" s="1"/>
  <c r="AF150" i="65"/>
  <c r="AE150" i="65"/>
  <c r="AD150" i="65"/>
  <c r="AA150" i="65"/>
  <c r="AL10" i="65" s="1"/>
  <c r="Z150" i="65"/>
  <c r="AL9" i="65" s="1"/>
  <c r="AN9" i="65" s="1"/>
  <c r="Y150" i="65"/>
  <c r="AL8" i="65" s="1"/>
  <c r="AN8" i="65" s="1"/>
  <c r="X150" i="65"/>
  <c r="AL7" i="65" s="1"/>
  <c r="AN7" i="65" s="1"/>
  <c r="W150" i="65"/>
  <c r="AL6" i="65" s="1"/>
  <c r="V150" i="65"/>
  <c r="AL5" i="65" s="1"/>
  <c r="AN5" i="65" s="1"/>
  <c r="U150" i="65"/>
  <c r="AL4" i="65" s="1"/>
  <c r="T150" i="65"/>
  <c r="AL3" i="65" s="1"/>
  <c r="P150" i="65"/>
  <c r="K150" i="65"/>
  <c r="K152" i="65" s="1"/>
  <c r="I150" i="65"/>
  <c r="AI149" i="65"/>
  <c r="J149" i="65"/>
  <c r="L149" i="65" s="1"/>
  <c r="AI148" i="65"/>
  <c r="J148" i="65"/>
  <c r="L148" i="65" s="1"/>
  <c r="AI147" i="65"/>
  <c r="J147" i="65"/>
  <c r="L147" i="65" s="1"/>
  <c r="AI146" i="65"/>
  <c r="J146" i="65"/>
  <c r="L146" i="65" s="1"/>
  <c r="AI145" i="65"/>
  <c r="J145" i="65"/>
  <c r="L145" i="65" s="1"/>
  <c r="AI144" i="65"/>
  <c r="J144" i="65"/>
  <c r="L144" i="65" s="1"/>
  <c r="AI143" i="65"/>
  <c r="J143" i="65"/>
  <c r="L143" i="65" s="1"/>
  <c r="AI142" i="65"/>
  <c r="J142" i="65"/>
  <c r="L142" i="65" s="1"/>
  <c r="AI141" i="65"/>
  <c r="AI140" i="65"/>
  <c r="J140" i="65"/>
  <c r="L140" i="65" s="1"/>
  <c r="AI139" i="65"/>
  <c r="J139" i="65"/>
  <c r="L139" i="65" s="1"/>
  <c r="AI138" i="65"/>
  <c r="J138" i="65"/>
  <c r="L138" i="65" s="1"/>
  <c r="AI137" i="65"/>
  <c r="J137" i="65"/>
  <c r="L137" i="65" s="1"/>
  <c r="AI136" i="65"/>
  <c r="J136" i="65"/>
  <c r="L136" i="65" s="1"/>
  <c r="AI135" i="65"/>
  <c r="J135" i="65"/>
  <c r="L135" i="65" s="1"/>
  <c r="AI134" i="65"/>
  <c r="J134" i="65"/>
  <c r="L134" i="65" s="1"/>
  <c r="AI133" i="65"/>
  <c r="J133" i="65"/>
  <c r="L133" i="65" s="1"/>
  <c r="AI132" i="65"/>
  <c r="J132" i="65"/>
  <c r="L132" i="65" s="1"/>
  <c r="AI130" i="65"/>
  <c r="J130" i="65"/>
  <c r="L130" i="65" s="1"/>
  <c r="AI129" i="65"/>
  <c r="J129" i="65"/>
  <c r="L129" i="65" s="1"/>
  <c r="AI128" i="65"/>
  <c r="AI127" i="65"/>
  <c r="J127" i="65"/>
  <c r="L127" i="65" s="1"/>
  <c r="AC150" i="65"/>
  <c r="AI125" i="65"/>
  <c r="AI124" i="65"/>
  <c r="J124" i="65"/>
  <c r="L124" i="65" s="1"/>
  <c r="AI123" i="65"/>
  <c r="AI122" i="65"/>
  <c r="AI121" i="65"/>
  <c r="J121" i="65"/>
  <c r="L121" i="65" s="1"/>
  <c r="AI120" i="65"/>
  <c r="AI119" i="65"/>
  <c r="J119" i="65"/>
  <c r="L119" i="65" s="1"/>
  <c r="AI118" i="65"/>
  <c r="J118" i="65"/>
  <c r="L118" i="65" s="1"/>
  <c r="AI117" i="65"/>
  <c r="J117" i="65"/>
  <c r="L117" i="65" s="1"/>
  <c r="J115" i="65"/>
  <c r="L115" i="65" s="1"/>
  <c r="AI114" i="65"/>
  <c r="J114" i="65"/>
  <c r="L114" i="65" s="1"/>
  <c r="AI113" i="65"/>
  <c r="J113" i="65"/>
  <c r="L113" i="65" s="1"/>
  <c r="AI112" i="65"/>
  <c r="J112" i="65"/>
  <c r="L112" i="65" s="1"/>
  <c r="AI110" i="65"/>
  <c r="J109" i="65"/>
  <c r="L109" i="65" s="1"/>
  <c r="AI108" i="65"/>
  <c r="J108" i="65"/>
  <c r="L108" i="65" s="1"/>
  <c r="AI107" i="65"/>
  <c r="L107" i="65"/>
  <c r="AI105" i="65"/>
  <c r="AI104" i="65"/>
  <c r="J104" i="65"/>
  <c r="L104" i="65" s="1"/>
  <c r="AI103" i="65"/>
  <c r="J103" i="65"/>
  <c r="L103" i="65" s="1"/>
  <c r="AI102" i="65"/>
  <c r="J102" i="65"/>
  <c r="L102" i="65" s="1"/>
  <c r="AI101" i="65"/>
  <c r="J100" i="65"/>
  <c r="L100" i="65" s="1"/>
  <c r="AI99" i="65"/>
  <c r="J99" i="65"/>
  <c r="L99" i="65" s="1"/>
  <c r="J98" i="65"/>
  <c r="L98" i="65" s="1"/>
  <c r="AB150" i="65"/>
  <c r="AI97" i="65"/>
  <c r="J97" i="65"/>
  <c r="L97" i="65" s="1"/>
  <c r="AI96" i="65"/>
  <c r="J96" i="65"/>
  <c r="L96" i="65" s="1"/>
  <c r="J95" i="65"/>
  <c r="L95" i="65" s="1"/>
  <c r="AI94" i="65"/>
  <c r="J94" i="65"/>
  <c r="L94" i="65" s="1"/>
  <c r="J93" i="65"/>
  <c r="L93" i="65" s="1"/>
  <c r="AI92" i="65"/>
  <c r="J92" i="65"/>
  <c r="L92" i="65" s="1"/>
  <c r="AI91" i="65"/>
  <c r="AI90" i="65"/>
  <c r="AI89" i="65"/>
  <c r="J89" i="65"/>
  <c r="L89" i="65" s="1"/>
  <c r="AI88" i="65"/>
  <c r="J88" i="65"/>
  <c r="L88" i="65" s="1"/>
  <c r="AI87" i="65"/>
  <c r="J87" i="65"/>
  <c r="L87" i="65" s="1"/>
  <c r="AI85" i="65"/>
  <c r="J84" i="65"/>
  <c r="L84" i="65" s="1"/>
  <c r="AI83" i="65"/>
  <c r="J83" i="65"/>
  <c r="L83" i="65" s="1"/>
  <c r="AI82" i="65"/>
  <c r="J82" i="65"/>
  <c r="L82" i="65" s="1"/>
  <c r="AI80" i="65"/>
  <c r="J80" i="65"/>
  <c r="L80" i="65" s="1"/>
  <c r="J79" i="65"/>
  <c r="L79" i="65" s="1"/>
  <c r="AI78" i="65"/>
  <c r="AI77" i="65"/>
  <c r="J77" i="65"/>
  <c r="L77" i="65" s="1"/>
  <c r="AI76" i="65"/>
  <c r="J76" i="65"/>
  <c r="L76" i="65" s="1"/>
  <c r="AI75" i="65"/>
  <c r="J75" i="65"/>
  <c r="L75" i="65" s="1"/>
  <c r="AI74" i="65"/>
  <c r="J74" i="65"/>
  <c r="L74" i="65" s="1"/>
  <c r="AI73" i="65"/>
  <c r="J73" i="65"/>
  <c r="L73" i="65" s="1"/>
  <c r="AI72" i="65"/>
  <c r="J72" i="65"/>
  <c r="L72" i="65" s="1"/>
  <c r="AI71" i="65"/>
  <c r="J71" i="65"/>
  <c r="L71" i="65" s="1"/>
  <c r="J70" i="65"/>
  <c r="L70" i="65" s="1"/>
  <c r="AI70" i="65"/>
  <c r="AI69" i="65"/>
  <c r="AI68" i="65"/>
  <c r="J68" i="65"/>
  <c r="L68" i="65" s="1"/>
  <c r="J67" i="65"/>
  <c r="L67" i="65" s="1"/>
  <c r="AI66" i="65"/>
  <c r="J66" i="65"/>
  <c r="L66" i="65" s="1"/>
  <c r="AI65" i="65"/>
  <c r="J65" i="65"/>
  <c r="L65" i="65" s="1"/>
  <c r="AI64" i="65"/>
  <c r="J64" i="65"/>
  <c r="L64" i="65" s="1"/>
  <c r="AI63" i="65"/>
  <c r="AI62" i="65"/>
  <c r="J62" i="65"/>
  <c r="L62" i="65" s="1"/>
  <c r="AI61" i="65"/>
  <c r="J61" i="65"/>
  <c r="L61" i="65" s="1"/>
  <c r="J59" i="65"/>
  <c r="L59" i="65" s="1"/>
  <c r="AI58" i="65"/>
  <c r="AI57" i="65"/>
  <c r="J57" i="65"/>
  <c r="L57" i="65" s="1"/>
  <c r="AI56" i="65"/>
  <c r="J56" i="65"/>
  <c r="L56" i="65" s="1"/>
  <c r="AI54" i="65"/>
  <c r="AI53" i="65"/>
  <c r="J53" i="65"/>
  <c r="L53" i="65" s="1"/>
  <c r="J52" i="65"/>
  <c r="L52" i="65" s="1"/>
  <c r="AI51" i="65"/>
  <c r="J51" i="65"/>
  <c r="L51" i="65" s="1"/>
  <c r="AI50" i="65"/>
  <c r="AI49" i="65"/>
  <c r="J49" i="65"/>
  <c r="L49" i="65" s="1"/>
  <c r="AI47" i="65"/>
  <c r="AI46" i="65"/>
  <c r="J46" i="65"/>
  <c r="L46" i="65" s="1"/>
  <c r="AI44" i="65"/>
  <c r="J44" i="65"/>
  <c r="L44" i="65" s="1"/>
  <c r="AI43" i="65"/>
  <c r="J43" i="65"/>
  <c r="L43" i="65" s="1"/>
  <c r="AI42" i="65"/>
  <c r="J42" i="65"/>
  <c r="L42" i="65" s="1"/>
  <c r="AI41" i="65"/>
  <c r="J41" i="65"/>
  <c r="L41" i="65" s="1"/>
  <c r="AI40" i="65"/>
  <c r="J40" i="65"/>
  <c r="L40" i="65" s="1"/>
  <c r="AI39" i="65"/>
  <c r="J39" i="65"/>
  <c r="L39" i="65" s="1"/>
  <c r="AI38" i="65"/>
  <c r="J38" i="65"/>
  <c r="L38" i="65" s="1"/>
  <c r="AI37" i="65"/>
  <c r="J37" i="65"/>
  <c r="L37" i="65" s="1"/>
  <c r="AI36" i="65"/>
  <c r="J36" i="65"/>
  <c r="L36" i="65" s="1"/>
  <c r="AI35" i="65"/>
  <c r="J35" i="65"/>
  <c r="L35" i="65" s="1"/>
  <c r="AI34" i="65"/>
  <c r="J34" i="65"/>
  <c r="L34" i="65" s="1"/>
  <c r="AI33" i="65"/>
  <c r="J33" i="65"/>
  <c r="L33" i="65" s="1"/>
  <c r="AI32" i="65"/>
  <c r="J32" i="65"/>
  <c r="L32" i="65" s="1"/>
  <c r="AI31" i="65"/>
  <c r="J31" i="65"/>
  <c r="L31" i="65" s="1"/>
  <c r="AI30" i="65"/>
  <c r="J30" i="65"/>
  <c r="L30" i="65" s="1"/>
  <c r="AI29" i="65"/>
  <c r="J29" i="65"/>
  <c r="L29" i="65" s="1"/>
  <c r="AI28" i="65"/>
  <c r="AI27" i="65"/>
  <c r="J27" i="65"/>
  <c r="L27" i="65" s="1"/>
  <c r="J26" i="65"/>
  <c r="L26" i="65" s="1"/>
  <c r="AI25" i="65"/>
  <c r="J25" i="65"/>
  <c r="L25" i="65" s="1"/>
  <c r="AI24" i="65"/>
  <c r="J24" i="65"/>
  <c r="L24" i="65" s="1"/>
  <c r="AI23" i="65"/>
  <c r="J23" i="65"/>
  <c r="L23" i="65" s="1"/>
  <c r="AI22" i="65"/>
  <c r="J22" i="65"/>
  <c r="L22" i="65" s="1"/>
  <c r="AI21" i="65"/>
  <c r="J21" i="65"/>
  <c r="L21" i="65" s="1"/>
  <c r="AI20" i="65"/>
  <c r="J20" i="65"/>
  <c r="L20" i="65" s="1"/>
  <c r="AI19" i="65"/>
  <c r="J19" i="65"/>
  <c r="L19" i="65" s="1"/>
  <c r="AI18" i="65"/>
  <c r="J18" i="65"/>
  <c r="L18" i="65" s="1"/>
  <c r="AI17" i="65"/>
  <c r="L17" i="65"/>
  <c r="AI16" i="65"/>
  <c r="L16" i="65"/>
  <c r="AI15" i="65"/>
  <c r="L15" i="65"/>
  <c r="AI14" i="65"/>
  <c r="L14" i="65"/>
  <c r="AI13" i="65"/>
  <c r="L13" i="65"/>
  <c r="AI12" i="65"/>
  <c r="L12" i="65"/>
  <c r="AI10" i="65"/>
  <c r="J10" i="65"/>
  <c r="L10" i="65" s="1"/>
  <c r="AI6" i="65"/>
  <c r="J6" i="65"/>
  <c r="L6" i="65" s="1"/>
  <c r="AI3" i="65"/>
  <c r="J3" i="65"/>
  <c r="L3" i="65" s="1"/>
  <c r="AI2" i="65"/>
  <c r="J2" i="65"/>
  <c r="H148" i="63"/>
  <c r="AI148" i="63" s="1"/>
  <c r="AI149" i="63"/>
  <c r="AI150" i="63"/>
  <c r="AI151" i="63"/>
  <c r="AI152" i="63"/>
  <c r="N23" i="66" l="1"/>
  <c r="N22" i="66"/>
  <c r="H156" i="65" s="1"/>
  <c r="J156" i="65" s="1"/>
  <c r="AL17" i="65"/>
  <c r="AN17" i="65" s="1"/>
  <c r="AL11" i="65"/>
  <c r="AN11" i="65" s="1"/>
  <c r="AL15" i="65"/>
  <c r="AN15" i="65" s="1"/>
  <c r="AL12" i="65"/>
  <c r="AN12" i="65" s="1"/>
  <c r="AL13" i="65"/>
  <c r="AN13" i="65" s="1"/>
  <c r="AL14" i="65"/>
  <c r="AN14" i="65" s="1"/>
  <c r="P16" i="66"/>
  <c r="P18" i="66"/>
  <c r="P9" i="66"/>
  <c r="P13" i="66"/>
  <c r="G150" i="65"/>
  <c r="Q152" i="65" s="1"/>
  <c r="J8" i="65"/>
  <c r="L8" i="65" s="1"/>
  <c r="J9" i="65"/>
  <c r="L9" i="65" s="1"/>
  <c r="J11" i="65"/>
  <c r="L11" i="65" s="1"/>
  <c r="AI4" i="65"/>
  <c r="J5" i="65"/>
  <c r="L5" i="65" s="1"/>
  <c r="AI7" i="65"/>
  <c r="J7" i="65"/>
  <c r="L7" i="65" s="1"/>
  <c r="AN16" i="65"/>
  <c r="AC20" i="66"/>
  <c r="AE19" i="66"/>
  <c r="AM6" i="65" s="1"/>
  <c r="AN6" i="65" s="1"/>
  <c r="AG19" i="66"/>
  <c r="AM4" i="65" s="1"/>
  <c r="AN4" i="65" s="1"/>
  <c r="AH19" i="66"/>
  <c r="AM3" i="65" s="1"/>
  <c r="AN3" i="65" s="1"/>
  <c r="AI19" i="66"/>
  <c r="AM18" i="65" s="1"/>
  <c r="AN18" i="65" s="1"/>
  <c r="AM19" i="66"/>
  <c r="AM19" i="65" s="1"/>
  <c r="AN19" i="65" s="1"/>
  <c r="AF19" i="66"/>
  <c r="AM2" i="65" s="1"/>
  <c r="Q19" i="66"/>
  <c r="L6" i="66"/>
  <c r="R6" i="66" s="1"/>
  <c r="P4" i="66"/>
  <c r="L12" i="66"/>
  <c r="R12" i="66" s="1"/>
  <c r="O19" i="66"/>
  <c r="L10" i="66"/>
  <c r="R10" i="66" s="1"/>
  <c r="P10" i="66"/>
  <c r="R3" i="66"/>
  <c r="N19" i="66"/>
  <c r="P3" i="66"/>
  <c r="P15" i="66"/>
  <c r="L5" i="66"/>
  <c r="R5" i="66" s="1"/>
  <c r="L8" i="66"/>
  <c r="R8" i="66" s="1"/>
  <c r="L17" i="66"/>
  <c r="R17" i="66" s="1"/>
  <c r="J11" i="66"/>
  <c r="L14" i="66"/>
  <c r="R14" i="66" s="1"/>
  <c r="J7" i="66"/>
  <c r="H19" i="66"/>
  <c r="AI45" i="65"/>
  <c r="J45" i="65"/>
  <c r="L45" i="65" s="1"/>
  <c r="AI115" i="65"/>
  <c r="J123" i="65"/>
  <c r="L123" i="65" s="1"/>
  <c r="J128" i="65"/>
  <c r="L128" i="65" s="1"/>
  <c r="J78" i="65"/>
  <c r="L78" i="65" s="1"/>
  <c r="J91" i="65"/>
  <c r="L91" i="65" s="1"/>
  <c r="AI109" i="65"/>
  <c r="AI84" i="65"/>
  <c r="AI59" i="65"/>
  <c r="J110" i="65"/>
  <c r="L110" i="65" s="1"/>
  <c r="J85" i="65"/>
  <c r="L85" i="65" s="1"/>
  <c r="AI86" i="65"/>
  <c r="J86" i="65"/>
  <c r="L86" i="65" s="1"/>
  <c r="AI48" i="65"/>
  <c r="J54" i="65"/>
  <c r="L54" i="65" s="1"/>
  <c r="AI67" i="65"/>
  <c r="AI79" i="65"/>
  <c r="AI93" i="65"/>
  <c r="AI98" i="65"/>
  <c r="J125" i="65"/>
  <c r="L125" i="65" s="1"/>
  <c r="AI131" i="65"/>
  <c r="J48" i="65"/>
  <c r="L48" i="65" s="1"/>
  <c r="J105" i="65"/>
  <c r="L105" i="65" s="1"/>
  <c r="AI55" i="65"/>
  <c r="J55" i="65"/>
  <c r="L55" i="65" s="1"/>
  <c r="J58" i="65"/>
  <c r="L58" i="65" s="1"/>
  <c r="AI116" i="65"/>
  <c r="J116" i="65"/>
  <c r="L116" i="65" s="1"/>
  <c r="L2" i="65"/>
  <c r="AI52" i="65"/>
  <c r="AN10" i="65"/>
  <c r="AI60" i="65"/>
  <c r="J60" i="65"/>
  <c r="L60" i="65" s="1"/>
  <c r="J28" i="65"/>
  <c r="L28" i="65" s="1"/>
  <c r="AI126" i="65"/>
  <c r="J63" i="65"/>
  <c r="L63" i="65" s="1"/>
  <c r="J69" i="65"/>
  <c r="L69" i="65" s="1"/>
  <c r="AI95" i="65"/>
  <c r="AI100" i="65"/>
  <c r="J90" i="65"/>
  <c r="L90" i="65" s="1"/>
  <c r="J141" i="65"/>
  <c r="L141" i="65" s="1"/>
  <c r="J47" i="65"/>
  <c r="L47" i="65" s="1"/>
  <c r="AI26" i="65"/>
  <c r="AI111" i="65"/>
  <c r="J111" i="65"/>
  <c r="L111" i="65" s="1"/>
  <c r="AI106" i="65"/>
  <c r="J106" i="65"/>
  <c r="L106" i="65" s="1"/>
  <c r="S150" i="65"/>
  <c r="AL2" i="65" s="1"/>
  <c r="AI81" i="65"/>
  <c r="J81" i="65"/>
  <c r="L81" i="65" s="1"/>
  <c r="J120" i="65"/>
  <c r="L120" i="65" s="1"/>
  <c r="J101" i="65"/>
  <c r="L101" i="65" s="1"/>
  <c r="J50" i="65"/>
  <c r="L50" i="65" s="1"/>
  <c r="J122" i="65"/>
  <c r="L122" i="65" s="1"/>
  <c r="J152" i="63"/>
  <c r="L152" i="63" s="1"/>
  <c r="J151" i="63"/>
  <c r="L151" i="63" s="1"/>
  <c r="J150" i="63"/>
  <c r="L150" i="63" s="1"/>
  <c r="J149" i="63"/>
  <c r="L149" i="63" s="1"/>
  <c r="J148" i="63"/>
  <c r="L148" i="63" s="1"/>
  <c r="AM20" i="65" l="1"/>
  <c r="AN2" i="65"/>
  <c r="N25" i="66"/>
  <c r="AC21" i="66"/>
  <c r="I156" i="65"/>
  <c r="AM20" i="66"/>
  <c r="AM21" i="66" s="1"/>
  <c r="AI150" i="65"/>
  <c r="L7" i="66"/>
  <c r="R7" i="66" s="1"/>
  <c r="P7" i="66"/>
  <c r="J19" i="66"/>
  <c r="P11" i="66"/>
  <c r="L11" i="66"/>
  <c r="R11" i="66" s="1"/>
  <c r="J131" i="65"/>
  <c r="L131" i="65" s="1"/>
  <c r="J126" i="65"/>
  <c r="L126" i="65" s="1"/>
  <c r="AL20" i="65"/>
  <c r="H150" i="65"/>
  <c r="H144" i="63"/>
  <c r="J144" i="63" s="1"/>
  <c r="L144" i="63" s="1"/>
  <c r="H141" i="63"/>
  <c r="J141" i="63" s="1"/>
  <c r="L141" i="63" s="1"/>
  <c r="AI142" i="63"/>
  <c r="AI143" i="63"/>
  <c r="AI145" i="63"/>
  <c r="AI146" i="63"/>
  <c r="AI147" i="63"/>
  <c r="J147" i="63"/>
  <c r="L147" i="63" s="1"/>
  <c r="J146" i="63"/>
  <c r="L146" i="63" s="1"/>
  <c r="J145" i="63"/>
  <c r="L145" i="63" s="1"/>
  <c r="J143" i="63"/>
  <c r="L143" i="63" s="1"/>
  <c r="J142" i="63"/>
  <c r="L142" i="63" s="1"/>
  <c r="AG153" i="63"/>
  <c r="AL16" i="63" s="1"/>
  <c r="S134" i="63"/>
  <c r="Q134" i="63"/>
  <c r="G134" i="63"/>
  <c r="H134" i="63" s="1"/>
  <c r="H131" i="63"/>
  <c r="H130" i="63"/>
  <c r="Q129" i="63"/>
  <c r="G129" i="63"/>
  <c r="H129" i="63" s="1"/>
  <c r="S129" i="63"/>
  <c r="AC128" i="63"/>
  <c r="H128" i="63"/>
  <c r="AI141" i="63"/>
  <c r="AI140" i="63"/>
  <c r="AI139" i="63"/>
  <c r="AI138" i="63"/>
  <c r="AI137" i="63"/>
  <c r="AI136" i="63"/>
  <c r="AI135" i="63"/>
  <c r="AI133" i="63"/>
  <c r="AI132" i="63"/>
  <c r="J132" i="63"/>
  <c r="L132" i="63" s="1"/>
  <c r="J133" i="63"/>
  <c r="L133" i="63" s="1"/>
  <c r="J135" i="63"/>
  <c r="L135" i="63" s="1"/>
  <c r="J136" i="63"/>
  <c r="L136" i="63" s="1"/>
  <c r="J137" i="63"/>
  <c r="L137" i="63" s="1"/>
  <c r="J138" i="63"/>
  <c r="L138" i="63" s="1"/>
  <c r="J139" i="63"/>
  <c r="L139" i="63" s="1"/>
  <c r="J140" i="63"/>
  <c r="L140" i="63" s="1"/>
  <c r="L150" i="65" l="1"/>
  <c r="J150" i="65"/>
  <c r="I157" i="65"/>
  <c r="K156" i="65"/>
  <c r="P19" i="66"/>
  <c r="R19" i="66"/>
  <c r="L19" i="66"/>
  <c r="H155" i="65"/>
  <c r="AN20" i="65"/>
  <c r="AO2" i="65" s="1"/>
  <c r="J134" i="63"/>
  <c r="L134" i="63" s="1"/>
  <c r="AI144" i="63"/>
  <c r="AI134" i="63"/>
  <c r="H126" i="63"/>
  <c r="S126" i="63"/>
  <c r="AI127" i="63"/>
  <c r="AI128" i="63"/>
  <c r="AI129" i="63"/>
  <c r="AI130" i="63"/>
  <c r="AI131" i="63"/>
  <c r="J127" i="63"/>
  <c r="L127" i="63" s="1"/>
  <c r="J128" i="63"/>
  <c r="L128" i="63" s="1"/>
  <c r="J129" i="63"/>
  <c r="L129" i="63" s="1"/>
  <c r="J130" i="63"/>
  <c r="L130" i="63" s="1"/>
  <c r="J131" i="63"/>
  <c r="L131" i="63" s="1"/>
  <c r="H125" i="63"/>
  <c r="K153" i="63"/>
  <c r="H123" i="63"/>
  <c r="H122" i="63"/>
  <c r="AO4" i="65" l="1"/>
  <c r="AO13" i="65"/>
  <c r="AO12" i="65"/>
  <c r="AO19" i="65"/>
  <c r="AO7" i="65"/>
  <c r="AO9" i="65"/>
  <c r="AO11" i="65"/>
  <c r="AO3" i="65"/>
  <c r="AO6" i="65"/>
  <c r="AO14" i="65"/>
  <c r="AO15" i="65"/>
  <c r="AO17" i="65"/>
  <c r="AO5" i="65"/>
  <c r="AO8" i="65"/>
  <c r="AO18" i="65"/>
  <c r="AO16" i="65"/>
  <c r="AO10" i="65"/>
  <c r="H157" i="65"/>
  <c r="H159" i="65" s="1"/>
  <c r="D156" i="65" s="1"/>
  <c r="D157" i="65" s="1"/>
  <c r="J155" i="65"/>
  <c r="J157" i="65" s="1"/>
  <c r="H120" i="63"/>
  <c r="H119" i="63"/>
  <c r="H118" i="63"/>
  <c r="H117" i="63"/>
  <c r="AO20" i="65" l="1"/>
  <c r="K155" i="65"/>
  <c r="K157" i="65" s="1"/>
  <c r="AI119" i="63"/>
  <c r="AI120" i="63"/>
  <c r="AI121" i="63"/>
  <c r="AI122" i="63"/>
  <c r="AI123" i="63"/>
  <c r="AI124" i="63"/>
  <c r="AI125" i="63"/>
  <c r="AI126" i="63"/>
  <c r="H116" i="63"/>
  <c r="J119" i="63"/>
  <c r="L119" i="63" s="1"/>
  <c r="J120" i="63"/>
  <c r="L120" i="63" s="1"/>
  <c r="J121" i="63"/>
  <c r="L121" i="63" s="1"/>
  <c r="J122" i="63"/>
  <c r="L122" i="63" s="1"/>
  <c r="J123" i="63"/>
  <c r="L123" i="63" s="1"/>
  <c r="J124" i="63"/>
  <c r="L124" i="63" s="1"/>
  <c r="J125" i="63"/>
  <c r="L125" i="63" s="1"/>
  <c r="J126" i="63"/>
  <c r="L126" i="63" s="1"/>
  <c r="H115" i="63" l="1"/>
  <c r="H114" i="63" l="1"/>
  <c r="AI114" i="63" s="1"/>
  <c r="H113" i="63"/>
  <c r="H112" i="63"/>
  <c r="H111" i="63"/>
  <c r="H110" i="63"/>
  <c r="AI110" i="63"/>
  <c r="AI115" i="63"/>
  <c r="AI116" i="63"/>
  <c r="AI117" i="63"/>
  <c r="AI118" i="63"/>
  <c r="J115" i="63"/>
  <c r="L115" i="63" s="1"/>
  <c r="J116" i="63"/>
  <c r="L116" i="63" s="1"/>
  <c r="J117" i="63"/>
  <c r="L117" i="63" s="1"/>
  <c r="J118" i="63"/>
  <c r="L118" i="63" s="1"/>
  <c r="H109" i="63"/>
  <c r="AI109" i="63" s="1"/>
  <c r="H108" i="63"/>
  <c r="AI108" i="63" s="1"/>
  <c r="H11" i="64"/>
  <c r="S107" i="63"/>
  <c r="AI107" i="63" s="1"/>
  <c r="H105" i="63"/>
  <c r="AI105" i="63" s="1"/>
  <c r="AI106" i="63"/>
  <c r="J106" i="63"/>
  <c r="L106" i="63" s="1"/>
  <c r="J107" i="63"/>
  <c r="L107" i="63" s="1"/>
  <c r="Q100" i="63"/>
  <c r="H104" i="63"/>
  <c r="J104" i="63" s="1"/>
  <c r="L104" i="63" s="1"/>
  <c r="H103" i="63"/>
  <c r="J103" i="63" s="1"/>
  <c r="L103" i="63" s="1"/>
  <c r="H102" i="63"/>
  <c r="AI102" i="63" s="1"/>
  <c r="H101" i="63"/>
  <c r="J101" i="63" s="1"/>
  <c r="L101" i="63" s="1"/>
  <c r="AI97" i="63"/>
  <c r="AB100" i="63"/>
  <c r="S100" i="63"/>
  <c r="H100" i="63"/>
  <c r="G100" i="63"/>
  <c r="H99" i="63"/>
  <c r="J99" i="63" s="1"/>
  <c r="L99" i="63" s="1"/>
  <c r="H98" i="63"/>
  <c r="J98" i="63" s="1"/>
  <c r="L98" i="63" s="1"/>
  <c r="J97" i="63"/>
  <c r="L97" i="63" s="1"/>
  <c r="H96" i="63"/>
  <c r="AI111" i="63" l="1"/>
  <c r="J112" i="63"/>
  <c r="L112" i="63" s="1"/>
  <c r="AI113" i="63"/>
  <c r="AI112" i="63"/>
  <c r="J114" i="63"/>
  <c r="L114" i="63" s="1"/>
  <c r="J113" i="63"/>
  <c r="L113" i="63" s="1"/>
  <c r="J111" i="63"/>
  <c r="L111" i="63" s="1"/>
  <c r="J110" i="63"/>
  <c r="L110" i="63" s="1"/>
  <c r="J105" i="63"/>
  <c r="L105" i="63" s="1"/>
  <c r="J109" i="63"/>
  <c r="L109" i="63" s="1"/>
  <c r="J108" i="63"/>
  <c r="L108" i="63" s="1"/>
  <c r="J102" i="63"/>
  <c r="L102" i="63" s="1"/>
  <c r="AI104" i="63"/>
  <c r="AI100" i="63"/>
  <c r="AI98" i="63"/>
  <c r="AI99" i="63"/>
  <c r="AI103" i="63"/>
  <c r="AI101" i="63"/>
  <c r="J100" i="63"/>
  <c r="L100" i="63" s="1"/>
  <c r="H94" i="63"/>
  <c r="H93" i="63"/>
  <c r="H92" i="63"/>
  <c r="H90" i="63"/>
  <c r="H10" i="64" l="1"/>
  <c r="U9" i="64"/>
  <c r="H89" i="63"/>
  <c r="AI89" i="63" l="1"/>
  <c r="AI90" i="63"/>
  <c r="AI91" i="63"/>
  <c r="AI92" i="63"/>
  <c r="AI93" i="63"/>
  <c r="AI94" i="63"/>
  <c r="AI95" i="63"/>
  <c r="AI96" i="63"/>
  <c r="J89" i="63"/>
  <c r="L89" i="63" s="1"/>
  <c r="J90" i="63"/>
  <c r="L90" i="63" s="1"/>
  <c r="J91" i="63"/>
  <c r="L91" i="63" s="1"/>
  <c r="J92" i="63"/>
  <c r="L92" i="63" s="1"/>
  <c r="J93" i="63"/>
  <c r="L93" i="63" s="1"/>
  <c r="J94" i="63"/>
  <c r="L94" i="63" s="1"/>
  <c r="J95" i="63"/>
  <c r="L95" i="63" s="1"/>
  <c r="J96" i="63"/>
  <c r="L96" i="63" s="1"/>
  <c r="H88" i="63" l="1"/>
  <c r="H87" i="63" l="1"/>
  <c r="J87" i="63" s="1"/>
  <c r="L87" i="63" s="1"/>
  <c r="H86" i="63"/>
  <c r="AI86" i="63" s="1"/>
  <c r="H85" i="63"/>
  <c r="AI85" i="63" s="1"/>
  <c r="H84" i="63"/>
  <c r="AI84" i="63" s="1"/>
  <c r="H83" i="63"/>
  <c r="AI83" i="63" s="1"/>
  <c r="H82" i="63"/>
  <c r="J82" i="63" s="1"/>
  <c r="L82" i="63" s="1"/>
  <c r="AI88" i="63"/>
  <c r="J88" i="63"/>
  <c r="L88" i="63" s="1"/>
  <c r="H81" i="63"/>
  <c r="AF153" i="63"/>
  <c r="AL15" i="63" s="1"/>
  <c r="H78" i="63"/>
  <c r="H77" i="63"/>
  <c r="AI82" i="63" l="1"/>
  <c r="AI87" i="63"/>
  <c r="J85" i="63"/>
  <c r="L85" i="63" s="1"/>
  <c r="J83" i="63"/>
  <c r="L83" i="63" s="1"/>
  <c r="J84" i="63"/>
  <c r="L84" i="63" s="1"/>
  <c r="J86" i="63"/>
  <c r="L86" i="63" s="1"/>
  <c r="AI81" i="63"/>
  <c r="AI80" i="63"/>
  <c r="AI79" i="63"/>
  <c r="AI78" i="63"/>
  <c r="AI77" i="63"/>
  <c r="AI76" i="63"/>
  <c r="AI75" i="63"/>
  <c r="J75" i="63"/>
  <c r="L75" i="63" s="1"/>
  <c r="J76" i="63"/>
  <c r="L76" i="63" s="1"/>
  <c r="J77" i="63"/>
  <c r="L77" i="63" s="1"/>
  <c r="J78" i="63"/>
  <c r="L78" i="63" s="1"/>
  <c r="J79" i="63"/>
  <c r="L79" i="63" s="1"/>
  <c r="J80" i="63"/>
  <c r="L80" i="63" s="1"/>
  <c r="J81" i="63"/>
  <c r="L81" i="63" s="1"/>
  <c r="H74" i="63"/>
  <c r="H7" i="64"/>
  <c r="W73" i="63"/>
  <c r="H73" i="63"/>
  <c r="H72" i="63"/>
  <c r="H71" i="63"/>
  <c r="AE153" i="63"/>
  <c r="AL14" i="63" s="1"/>
  <c r="AD153" i="63"/>
  <c r="AL13" i="63" s="1"/>
  <c r="H70" i="63"/>
  <c r="H69" i="63"/>
  <c r="S68" i="63"/>
  <c r="H66" i="63"/>
  <c r="H65" i="63"/>
  <c r="H64" i="63"/>
  <c r="AC153" i="63"/>
  <c r="AL12" i="63" s="1"/>
  <c r="AB153" i="63"/>
  <c r="H63" i="63"/>
  <c r="H57" i="63"/>
  <c r="J57" i="63" s="1"/>
  <c r="H58" i="63"/>
  <c r="J58" i="63"/>
  <c r="H59" i="63"/>
  <c r="J59" i="63" s="1"/>
  <c r="H60" i="63"/>
  <c r="J60" i="63" s="1"/>
  <c r="H61" i="63"/>
  <c r="J61" i="63" s="1"/>
  <c r="H62" i="63"/>
  <c r="J62" i="63" s="1"/>
  <c r="AL11" i="63" l="1"/>
  <c r="AL10" i="63"/>
  <c r="I158" i="63"/>
  <c r="H55" i="63"/>
  <c r="H53" i="63"/>
  <c r="S51" i="63"/>
  <c r="Q51" i="63"/>
  <c r="H51" i="63"/>
  <c r="G51" i="63"/>
  <c r="H50" i="63"/>
  <c r="H49" i="63"/>
  <c r="H48" i="63"/>
  <c r="H31" i="63" l="1"/>
  <c r="H30" i="63"/>
  <c r="H29" i="63"/>
  <c r="S18" i="63" l="1"/>
  <c r="AI18" i="63" s="1"/>
  <c r="S2" i="63"/>
  <c r="AI2" i="63" s="1"/>
  <c r="J2" i="63"/>
  <c r="L2" i="63" s="1"/>
  <c r="J3" i="63"/>
  <c r="L3" i="63" s="1"/>
  <c r="J4" i="63"/>
  <c r="L4" i="63" s="1"/>
  <c r="J5" i="63"/>
  <c r="L5" i="63" s="1"/>
  <c r="J6" i="63"/>
  <c r="L6" i="63" s="1"/>
  <c r="J7" i="63"/>
  <c r="L7" i="63" s="1"/>
  <c r="J8" i="63"/>
  <c r="L8" i="63" s="1"/>
  <c r="J9" i="63"/>
  <c r="L9" i="63" s="1"/>
  <c r="J10" i="63"/>
  <c r="L10" i="63" s="1"/>
  <c r="J11" i="63"/>
  <c r="L11" i="63" s="1"/>
  <c r="J12" i="63"/>
  <c r="L12" i="63" s="1"/>
  <c r="J13" i="63"/>
  <c r="L13" i="63" s="1"/>
  <c r="J14" i="63"/>
  <c r="L14" i="63" s="1"/>
  <c r="J15" i="63"/>
  <c r="L15" i="63" s="1"/>
  <c r="J16" i="63"/>
  <c r="L16" i="63" s="1"/>
  <c r="J17" i="63"/>
  <c r="L17" i="63" s="1"/>
  <c r="J18" i="63"/>
  <c r="L18" i="63" s="1"/>
  <c r="J19" i="63"/>
  <c r="L19" i="63" s="1"/>
  <c r="J20" i="63"/>
  <c r="L20" i="63" s="1"/>
  <c r="J21" i="63"/>
  <c r="L21" i="63" s="1"/>
  <c r="J22" i="63"/>
  <c r="L22" i="63" s="1"/>
  <c r="J23" i="63"/>
  <c r="L23" i="63" s="1"/>
  <c r="J24" i="63"/>
  <c r="L24" i="63" s="1"/>
  <c r="J25" i="63"/>
  <c r="L25" i="63" s="1"/>
  <c r="J26" i="63"/>
  <c r="L26" i="63" s="1"/>
  <c r="J27" i="63"/>
  <c r="L27" i="63" s="1"/>
  <c r="J28" i="63"/>
  <c r="L28" i="63" s="1"/>
  <c r="J29" i="63"/>
  <c r="L29" i="63" s="1"/>
  <c r="J30" i="63"/>
  <c r="L30" i="63" s="1"/>
  <c r="J31" i="63"/>
  <c r="L31" i="63" s="1"/>
  <c r="J32" i="63"/>
  <c r="L32" i="63" s="1"/>
  <c r="J33" i="63"/>
  <c r="L33" i="63" s="1"/>
  <c r="J34" i="63"/>
  <c r="L34" i="63" s="1"/>
  <c r="J35" i="63"/>
  <c r="L35" i="63" s="1"/>
  <c r="J36" i="63"/>
  <c r="L36" i="63" s="1"/>
  <c r="J37" i="63"/>
  <c r="L37" i="63" s="1"/>
  <c r="J38" i="63"/>
  <c r="L38" i="63" s="1"/>
  <c r="J39" i="63"/>
  <c r="L39" i="63" s="1"/>
  <c r="J40" i="63"/>
  <c r="L40" i="63" s="1"/>
  <c r="J41" i="63"/>
  <c r="L41" i="63" s="1"/>
  <c r="J42" i="63"/>
  <c r="L42" i="63" s="1"/>
  <c r="J43" i="63"/>
  <c r="L43" i="63" s="1"/>
  <c r="J44" i="63"/>
  <c r="L44" i="63" s="1"/>
  <c r="J45" i="63"/>
  <c r="L45" i="63" s="1"/>
  <c r="J46" i="63"/>
  <c r="J47" i="63"/>
  <c r="L47" i="63" s="1"/>
  <c r="J48" i="63"/>
  <c r="L48" i="63" s="1"/>
  <c r="J49" i="63"/>
  <c r="L49" i="63" s="1"/>
  <c r="J50" i="63"/>
  <c r="L50" i="63" s="1"/>
  <c r="J51" i="63"/>
  <c r="J52" i="63"/>
  <c r="J53" i="63"/>
  <c r="J54" i="63"/>
  <c r="J55" i="63"/>
  <c r="L55" i="63" s="1"/>
  <c r="J56" i="63"/>
  <c r="L56" i="63" s="1"/>
  <c r="L57" i="63"/>
  <c r="L59" i="63"/>
  <c r="J63" i="63"/>
  <c r="J64" i="63"/>
  <c r="J65" i="63"/>
  <c r="J66" i="63"/>
  <c r="J67" i="63"/>
  <c r="L67" i="63" s="1"/>
  <c r="J68" i="63"/>
  <c r="L68" i="63" s="1"/>
  <c r="J69" i="63"/>
  <c r="L69" i="63" s="1"/>
  <c r="J70" i="63"/>
  <c r="J71" i="63"/>
  <c r="O5" i="64"/>
  <c r="N5" i="64"/>
  <c r="W153" i="63"/>
  <c r="AL6" i="63" s="1"/>
  <c r="V153" i="63"/>
  <c r="AL5" i="63" s="1"/>
  <c r="AN5" i="63" s="1"/>
  <c r="U153" i="63"/>
  <c r="AL4" i="63" s="1"/>
  <c r="AI62" i="63"/>
  <c r="AI63" i="63"/>
  <c r="T153" i="63"/>
  <c r="AL3" i="63" s="1"/>
  <c r="AI53" i="63"/>
  <c r="AI61" i="63"/>
  <c r="AI64" i="63"/>
  <c r="AI69" i="63"/>
  <c r="AI72" i="63"/>
  <c r="AI73" i="63"/>
  <c r="L60" i="63"/>
  <c r="Z19" i="64"/>
  <c r="Y19" i="64"/>
  <c r="X19" i="64"/>
  <c r="W19" i="64"/>
  <c r="V19" i="64"/>
  <c r="U19" i="64"/>
  <c r="K19" i="64"/>
  <c r="G19" i="64"/>
  <c r="AG18" i="64"/>
  <c r="AF18" i="64"/>
  <c r="AE18" i="64"/>
  <c r="AD18" i="64"/>
  <c r="AC18" i="64"/>
  <c r="AB18" i="64"/>
  <c r="Q18" i="64"/>
  <c r="O18" i="64"/>
  <c r="N18" i="64"/>
  <c r="J18" i="64"/>
  <c r="P18" i="64" s="1"/>
  <c r="AG17" i="64"/>
  <c r="AF17" i="64"/>
  <c r="AE17" i="64"/>
  <c r="AD17" i="64"/>
  <c r="AC17" i="64"/>
  <c r="AB17" i="64"/>
  <c r="Q17" i="64"/>
  <c r="O17" i="64"/>
  <c r="N17" i="64"/>
  <c r="J17" i="64"/>
  <c r="P17" i="64" s="1"/>
  <c r="AG16" i="64"/>
  <c r="AF16" i="64"/>
  <c r="AE16" i="64"/>
  <c r="AD16" i="64"/>
  <c r="AC16" i="64"/>
  <c r="AB16" i="64"/>
  <c r="Q16" i="64"/>
  <c r="O16" i="64"/>
  <c r="N16" i="64"/>
  <c r="J16" i="64"/>
  <c r="L16" i="64" s="1"/>
  <c r="R16" i="64" s="1"/>
  <c r="AG15" i="64"/>
  <c r="AF15" i="64"/>
  <c r="AE15" i="64"/>
  <c r="AD15" i="64"/>
  <c r="AC15" i="64"/>
  <c r="AB15" i="64"/>
  <c r="Q15" i="64"/>
  <c r="O15" i="64"/>
  <c r="N15" i="64"/>
  <c r="J15" i="64"/>
  <c r="L15" i="64" s="1"/>
  <c r="R15" i="64" s="1"/>
  <c r="AG14" i="64"/>
  <c r="AF14" i="64"/>
  <c r="AE14" i="64"/>
  <c r="AD14" i="64"/>
  <c r="AC14" i="64"/>
  <c r="AB14" i="64"/>
  <c r="Q14" i="64"/>
  <c r="O14" i="64"/>
  <c r="N14" i="64"/>
  <c r="J14" i="64"/>
  <c r="P14" i="64" s="1"/>
  <c r="AG13" i="64"/>
  <c r="AF13" i="64"/>
  <c r="AE13" i="64"/>
  <c r="AD13" i="64"/>
  <c r="AC13" i="64"/>
  <c r="AB13" i="64"/>
  <c r="Q13" i="64"/>
  <c r="O13" i="64"/>
  <c r="N13" i="64"/>
  <c r="J13" i="64"/>
  <c r="P13" i="64" s="1"/>
  <c r="AG12" i="64"/>
  <c r="AF12" i="64"/>
  <c r="AE12" i="64"/>
  <c r="AD12" i="64"/>
  <c r="AC12" i="64"/>
  <c r="AB12" i="64"/>
  <c r="Q12" i="64"/>
  <c r="O12" i="64"/>
  <c r="N12" i="64"/>
  <c r="J12" i="64"/>
  <c r="P12" i="64" s="1"/>
  <c r="AG11" i="64"/>
  <c r="AF11" i="64"/>
  <c r="AE11" i="64"/>
  <c r="AD11" i="64"/>
  <c r="AC11" i="64"/>
  <c r="AB11" i="64"/>
  <c r="Q11" i="64"/>
  <c r="O11" i="64"/>
  <c r="N11" i="64"/>
  <c r="J11" i="64"/>
  <c r="P11" i="64" s="1"/>
  <c r="AG10" i="64"/>
  <c r="AF10" i="64"/>
  <c r="AE10" i="64"/>
  <c r="AD10" i="64"/>
  <c r="AC10" i="64"/>
  <c r="AB10" i="64"/>
  <c r="Q10" i="64"/>
  <c r="N10" i="64"/>
  <c r="O10" i="64"/>
  <c r="AG9" i="64"/>
  <c r="AF9" i="64"/>
  <c r="AE9" i="64"/>
  <c r="AD9" i="64"/>
  <c r="AC9" i="64"/>
  <c r="AB9" i="64"/>
  <c r="Q9" i="64"/>
  <c r="O9" i="64"/>
  <c r="N9" i="64"/>
  <c r="J9" i="64"/>
  <c r="P9" i="64" s="1"/>
  <c r="AG8" i="64"/>
  <c r="AF8" i="64"/>
  <c r="AE8" i="64"/>
  <c r="AD8" i="64"/>
  <c r="AC8" i="64"/>
  <c r="AB8" i="64"/>
  <c r="Q8" i="64"/>
  <c r="O8" i="64"/>
  <c r="N8" i="64"/>
  <c r="N22" i="64" s="1"/>
  <c r="AG7" i="64"/>
  <c r="AF7" i="64"/>
  <c r="AE7" i="64"/>
  <c r="AD7" i="64"/>
  <c r="AC7" i="64"/>
  <c r="AB7" i="64"/>
  <c r="Q7" i="64"/>
  <c r="O7" i="64"/>
  <c r="AG6" i="64"/>
  <c r="AF6" i="64"/>
  <c r="AE6" i="64"/>
  <c r="AD6" i="64"/>
  <c r="AC6" i="64"/>
  <c r="AB6" i="64"/>
  <c r="Q6" i="64"/>
  <c r="O6" i="64"/>
  <c r="N6" i="64"/>
  <c r="J6" i="64"/>
  <c r="L6" i="64" s="1"/>
  <c r="R6" i="64" s="1"/>
  <c r="AG5" i="64"/>
  <c r="AF5" i="64"/>
  <c r="AE5" i="64"/>
  <c r="AD5" i="64"/>
  <c r="AC5" i="64"/>
  <c r="AB5" i="64"/>
  <c r="Q5" i="64"/>
  <c r="AG4" i="64"/>
  <c r="AF4" i="64"/>
  <c r="AE4" i="64"/>
  <c r="AD4" i="64"/>
  <c r="AC4" i="64"/>
  <c r="AB4" i="64"/>
  <c r="Q4" i="64"/>
  <c r="O4" i="64"/>
  <c r="AG3" i="64"/>
  <c r="AF3" i="64"/>
  <c r="AE3" i="64"/>
  <c r="AD3" i="64"/>
  <c r="AC3" i="64"/>
  <c r="AB3" i="64"/>
  <c r="Q3" i="64"/>
  <c r="O3" i="64"/>
  <c r="J3" i="64"/>
  <c r="AN15" i="63"/>
  <c r="AH153" i="63"/>
  <c r="AL17" i="63" s="1"/>
  <c r="AN17" i="63" s="1"/>
  <c r="AA153" i="63"/>
  <c r="Z153" i="63"/>
  <c r="AL9" i="63" s="1"/>
  <c r="Y153" i="63"/>
  <c r="AL8" i="63" s="1"/>
  <c r="X153" i="63"/>
  <c r="AL7" i="63" s="1"/>
  <c r="AN7" i="63" s="1"/>
  <c r="P153" i="63"/>
  <c r="I153" i="63"/>
  <c r="AI74" i="63"/>
  <c r="J74" i="63"/>
  <c r="L74" i="63" s="1"/>
  <c r="H153" i="63"/>
  <c r="J73" i="63"/>
  <c r="L73" i="63" s="1"/>
  <c r="J72" i="63"/>
  <c r="L72" i="63" s="1"/>
  <c r="AI71" i="63"/>
  <c r="AI70" i="63"/>
  <c r="AI68" i="63"/>
  <c r="AI67" i="63"/>
  <c r="AI56" i="63"/>
  <c r="AI55" i="63"/>
  <c r="AI54" i="63"/>
  <c r="AI52" i="63"/>
  <c r="AI51" i="63"/>
  <c r="AI50" i="63"/>
  <c r="AI49" i="63"/>
  <c r="AI48" i="63"/>
  <c r="AI47" i="63"/>
  <c r="AI45" i="63"/>
  <c r="AI44" i="63"/>
  <c r="AI43" i="63"/>
  <c r="AI42" i="63"/>
  <c r="AI41" i="63"/>
  <c r="AI40" i="63"/>
  <c r="AI39" i="63"/>
  <c r="AI38" i="63"/>
  <c r="AI37" i="63"/>
  <c r="AI36" i="63"/>
  <c r="AI35" i="63"/>
  <c r="AI34" i="63"/>
  <c r="AI33" i="63"/>
  <c r="AI32" i="63"/>
  <c r="AI31" i="63"/>
  <c r="AI30" i="63"/>
  <c r="AI29" i="63"/>
  <c r="AI28" i="63"/>
  <c r="AI27" i="63"/>
  <c r="AI26" i="63"/>
  <c r="AI25" i="63"/>
  <c r="AI24" i="63"/>
  <c r="AI23" i="63"/>
  <c r="AI22" i="63"/>
  <c r="AI21" i="63"/>
  <c r="AI20" i="63"/>
  <c r="AI19" i="63"/>
  <c r="AI17" i="63"/>
  <c r="AI16" i="63"/>
  <c r="AI15" i="63"/>
  <c r="AI14" i="63"/>
  <c r="AI13" i="63"/>
  <c r="AI11" i="63"/>
  <c r="AI10" i="63"/>
  <c r="AI8" i="63"/>
  <c r="AI7" i="63"/>
  <c r="AI6" i="63"/>
  <c r="AI5" i="63"/>
  <c r="AI4" i="63"/>
  <c r="AI3" i="63"/>
  <c r="AL16" i="61"/>
  <c r="H159" i="63" l="1"/>
  <c r="J159" i="63" s="1"/>
  <c r="L12" i="64"/>
  <c r="R12" i="64" s="1"/>
  <c r="L18" i="64"/>
  <c r="R18" i="64" s="1"/>
  <c r="AN9" i="63"/>
  <c r="AN10" i="63"/>
  <c r="J5" i="64"/>
  <c r="L5" i="64" s="1"/>
  <c r="R5" i="64" s="1"/>
  <c r="H19" i="64"/>
  <c r="AN8" i="63"/>
  <c r="AI57" i="63"/>
  <c r="AI65" i="63"/>
  <c r="AI58" i="63"/>
  <c r="AI66" i="63"/>
  <c r="AI60" i="63"/>
  <c r="AI59" i="63"/>
  <c r="AI46" i="63"/>
  <c r="S153" i="63"/>
  <c r="AL2" i="63" s="1"/>
  <c r="AN2" i="63" s="1"/>
  <c r="Q153" i="63"/>
  <c r="L70" i="63"/>
  <c r="L53" i="63"/>
  <c r="L54" i="63"/>
  <c r="L52" i="63"/>
  <c r="L71" i="63"/>
  <c r="L58" i="63"/>
  <c r="L66" i="63"/>
  <c r="L62" i="63"/>
  <c r="L65" i="63"/>
  <c r="L64" i="63"/>
  <c r="L63" i="63"/>
  <c r="L51" i="63"/>
  <c r="L61" i="63"/>
  <c r="L46" i="63"/>
  <c r="G153" i="63"/>
  <c r="AI12" i="63"/>
  <c r="AN13" i="63"/>
  <c r="J4" i="64"/>
  <c r="P4" i="64" s="1"/>
  <c r="N4" i="64"/>
  <c r="AG19" i="64"/>
  <c r="Z20" i="64"/>
  <c r="AF19" i="64"/>
  <c r="O19" i="64"/>
  <c r="AB19" i="64"/>
  <c r="AC19" i="64"/>
  <c r="AM18" i="63" s="1"/>
  <c r="AN18" i="63" s="1"/>
  <c r="AD19" i="64"/>
  <c r="AE19" i="64"/>
  <c r="AM14" i="63" s="1"/>
  <c r="AN14" i="63" s="1"/>
  <c r="Q19" i="64"/>
  <c r="L9" i="64"/>
  <c r="R9" i="64" s="1"/>
  <c r="P3" i="64"/>
  <c r="L3" i="64"/>
  <c r="L17" i="64"/>
  <c r="R17" i="64" s="1"/>
  <c r="J8" i="64"/>
  <c r="L14" i="64"/>
  <c r="R14" i="64" s="1"/>
  <c r="L11" i="64"/>
  <c r="R11" i="64" s="1"/>
  <c r="P16" i="64"/>
  <c r="N3" i="64"/>
  <c r="P6" i="64"/>
  <c r="P15" i="64"/>
  <c r="J7" i="64"/>
  <c r="I19" i="64"/>
  <c r="J10" i="64"/>
  <c r="L13" i="64"/>
  <c r="R13" i="64" s="1"/>
  <c r="N7" i="64"/>
  <c r="H158" i="63"/>
  <c r="AI9" i="63"/>
  <c r="AK13" i="61"/>
  <c r="AK16" i="61"/>
  <c r="AK3" i="61"/>
  <c r="AK6" i="61"/>
  <c r="I152" i="61"/>
  <c r="H152" i="61"/>
  <c r="N23" i="62"/>
  <c r="N22" i="62"/>
  <c r="I10" i="62"/>
  <c r="H8" i="62"/>
  <c r="I151" i="61"/>
  <c r="AG85" i="61"/>
  <c r="H86" i="61"/>
  <c r="J86" i="61" s="1"/>
  <c r="J85" i="61"/>
  <c r="L85" i="61"/>
  <c r="O2" i="61"/>
  <c r="AN11" i="63" l="1"/>
  <c r="AM19" i="63"/>
  <c r="AN19" i="63" s="1"/>
  <c r="AN12" i="63"/>
  <c r="AM16" i="63"/>
  <c r="AN16" i="63" s="1"/>
  <c r="AN4" i="63"/>
  <c r="AM3" i="63"/>
  <c r="AN3" i="63" s="1"/>
  <c r="AM6" i="63"/>
  <c r="AN6" i="63" s="1"/>
  <c r="N23" i="64"/>
  <c r="Q155" i="63"/>
  <c r="Z21" i="64"/>
  <c r="P5" i="64"/>
  <c r="AL20" i="63"/>
  <c r="L153" i="63"/>
  <c r="AI153" i="63"/>
  <c r="L4" i="64"/>
  <c r="R4" i="64" s="1"/>
  <c r="AG20" i="64"/>
  <c r="P7" i="64"/>
  <c r="L7" i="64"/>
  <c r="R7" i="64" s="1"/>
  <c r="N19" i="64"/>
  <c r="P10" i="64"/>
  <c r="L10" i="64"/>
  <c r="R10" i="64" s="1"/>
  <c r="L8" i="64"/>
  <c r="R8" i="64" s="1"/>
  <c r="P8" i="64"/>
  <c r="R3" i="64"/>
  <c r="J19" i="64"/>
  <c r="J153" i="63"/>
  <c r="J158" i="63"/>
  <c r="H160" i="63"/>
  <c r="AG133" i="61"/>
  <c r="AG134" i="61"/>
  <c r="AG135" i="61"/>
  <c r="AG136" i="61"/>
  <c r="AG137" i="61"/>
  <c r="AG138" i="61"/>
  <c r="AG139" i="61"/>
  <c r="AG140" i="61"/>
  <c r="AG141" i="61"/>
  <c r="AG142" i="61"/>
  <c r="AG143" i="61"/>
  <c r="AG144" i="61"/>
  <c r="AG145" i="61"/>
  <c r="J133" i="61"/>
  <c r="L133" i="61" s="1"/>
  <c r="J134" i="61"/>
  <c r="L134" i="61" s="1"/>
  <c r="J135" i="61"/>
  <c r="L135" i="61" s="1"/>
  <c r="J136" i="61"/>
  <c r="L136" i="61" s="1"/>
  <c r="J137" i="61"/>
  <c r="L137" i="61" s="1"/>
  <c r="J138" i="61"/>
  <c r="L138" i="61" s="1"/>
  <c r="J139" i="61"/>
  <c r="L139" i="61" s="1"/>
  <c r="J140" i="61"/>
  <c r="L140" i="61" s="1"/>
  <c r="J141" i="61"/>
  <c r="L141" i="61" s="1"/>
  <c r="J142" i="61"/>
  <c r="L142" i="61" s="1"/>
  <c r="J143" i="61"/>
  <c r="L143" i="61" s="1"/>
  <c r="J144" i="61"/>
  <c r="L144" i="61" s="1"/>
  <c r="J145" i="61"/>
  <c r="L145" i="61" s="1"/>
  <c r="AE146" i="61"/>
  <c r="AJ14" i="61" s="1"/>
  <c r="H7" i="62"/>
  <c r="AN20" i="63" l="1"/>
  <c r="AO10" i="63" s="1"/>
  <c r="AM20" i="63"/>
  <c r="AO2" i="63"/>
  <c r="AO19" i="63"/>
  <c r="AO18" i="63"/>
  <c r="AO16" i="63"/>
  <c r="AO17" i="63"/>
  <c r="J160" i="63"/>
  <c r="N25" i="64"/>
  <c r="D158" i="63" s="1"/>
  <c r="I159" i="63"/>
  <c r="AG21" i="64"/>
  <c r="R19" i="64"/>
  <c r="L19" i="64"/>
  <c r="P19" i="64"/>
  <c r="AO13" i="63"/>
  <c r="AO5" i="63"/>
  <c r="AO11" i="63"/>
  <c r="AO12" i="63"/>
  <c r="AO3" i="63"/>
  <c r="AO4" i="63"/>
  <c r="AO14" i="63"/>
  <c r="AO8" i="63"/>
  <c r="K158" i="63"/>
  <c r="AG112" i="61"/>
  <c r="AG113" i="61"/>
  <c r="AG114" i="61"/>
  <c r="AG115" i="61"/>
  <c r="AG116" i="61"/>
  <c r="AG117" i="61"/>
  <c r="AG118" i="61"/>
  <c r="AG119" i="61"/>
  <c r="AG120" i="61"/>
  <c r="AG121" i="61"/>
  <c r="AG122" i="61"/>
  <c r="AG123" i="61"/>
  <c r="AG124" i="61"/>
  <c r="AG125" i="61"/>
  <c r="AG126" i="61"/>
  <c r="AG127" i="61"/>
  <c r="AG128" i="61"/>
  <c r="AG129" i="61"/>
  <c r="AG130" i="61"/>
  <c r="AG131" i="61"/>
  <c r="AG132" i="61"/>
  <c r="AO15" i="63" l="1"/>
  <c r="AO9" i="63"/>
  <c r="AO7" i="63"/>
  <c r="AO6" i="63"/>
  <c r="I160" i="63"/>
  <c r="H162" i="63" s="1"/>
  <c r="D159" i="63" s="1"/>
  <c r="D160" i="63" s="1"/>
  <c r="K159" i="63"/>
  <c r="K160" i="63" s="1"/>
  <c r="AO20" i="63"/>
  <c r="J113" i="61"/>
  <c r="L113" i="61" s="1"/>
  <c r="J114" i="61"/>
  <c r="L114" i="61" s="1"/>
  <c r="J115" i="61"/>
  <c r="L115" i="61" s="1"/>
  <c r="J116" i="61"/>
  <c r="L116" i="61" s="1"/>
  <c r="J117" i="61"/>
  <c r="L117" i="61" s="1"/>
  <c r="J118" i="61"/>
  <c r="L118" i="61" s="1"/>
  <c r="J119" i="61"/>
  <c r="L119" i="61" s="1"/>
  <c r="J120" i="61"/>
  <c r="L120" i="61" s="1"/>
  <c r="J121" i="61"/>
  <c r="L121" i="61" s="1"/>
  <c r="J122" i="61"/>
  <c r="L122" i="61" s="1"/>
  <c r="J123" i="61"/>
  <c r="L123" i="61" s="1"/>
  <c r="J124" i="61"/>
  <c r="L124" i="61" s="1"/>
  <c r="J125" i="61"/>
  <c r="L125" i="61" s="1"/>
  <c r="J126" i="61"/>
  <c r="L126" i="61" s="1"/>
  <c r="J127" i="61"/>
  <c r="L127" i="61" s="1"/>
  <c r="J128" i="61"/>
  <c r="L128" i="61" s="1"/>
  <c r="J129" i="61"/>
  <c r="L129" i="61" s="1"/>
  <c r="J130" i="61"/>
  <c r="L130" i="61" s="1"/>
  <c r="AD146" i="61"/>
  <c r="AJ13" i="61" s="1"/>
  <c r="S103" i="61"/>
  <c r="AG103" i="61" s="1"/>
  <c r="AG105" i="61"/>
  <c r="AG106" i="61"/>
  <c r="AG107" i="61"/>
  <c r="AG108" i="61"/>
  <c r="AG109" i="61"/>
  <c r="AG110" i="61"/>
  <c r="AG111" i="61"/>
  <c r="Q103" i="61"/>
  <c r="S104" i="61"/>
  <c r="AG104" i="61" s="1"/>
  <c r="J104" i="61"/>
  <c r="L104" i="61" s="1"/>
  <c r="J105" i="61"/>
  <c r="L105" i="61" s="1"/>
  <c r="J106" i="61"/>
  <c r="L106" i="61" s="1"/>
  <c r="J107" i="61"/>
  <c r="L107" i="61" s="1"/>
  <c r="J108" i="61"/>
  <c r="L108" i="61" s="1"/>
  <c r="J109" i="61"/>
  <c r="L109" i="61" s="1"/>
  <c r="J110" i="61"/>
  <c r="L110" i="61" s="1"/>
  <c r="J111" i="61"/>
  <c r="L111" i="61" s="1"/>
  <c r="J112" i="61"/>
  <c r="L112" i="61" s="1"/>
  <c r="J131" i="61"/>
  <c r="L131" i="61" s="1"/>
  <c r="J132" i="61"/>
  <c r="L132" i="61" s="1"/>
  <c r="G103" i="61"/>
  <c r="J103" i="61" s="1"/>
  <c r="AC146" i="61"/>
  <c r="AJ12" i="61" s="1"/>
  <c r="AG96" i="61"/>
  <c r="AG97" i="61"/>
  <c r="AG98" i="61"/>
  <c r="AG99" i="61"/>
  <c r="AG100" i="61"/>
  <c r="AG101" i="61"/>
  <c r="AG102" i="61"/>
  <c r="J96" i="61"/>
  <c r="L96" i="61" s="1"/>
  <c r="J97" i="61"/>
  <c r="L97" i="61" s="1"/>
  <c r="J98" i="61"/>
  <c r="L98" i="61" s="1"/>
  <c r="J99" i="61"/>
  <c r="L99" i="61" s="1"/>
  <c r="J100" i="61"/>
  <c r="L100" i="61" s="1"/>
  <c r="J101" i="61"/>
  <c r="L101" i="61" s="1"/>
  <c r="J102" i="61"/>
  <c r="L102" i="61" s="1"/>
  <c r="AG74" i="61"/>
  <c r="AG75" i="61"/>
  <c r="AG76" i="61"/>
  <c r="AG77" i="61"/>
  <c r="AG78" i="61"/>
  <c r="AG79" i="61"/>
  <c r="AG80" i="61"/>
  <c r="AG81" i="61"/>
  <c r="AG82" i="61"/>
  <c r="AG83" i="61"/>
  <c r="AG84" i="61"/>
  <c r="AG86" i="61"/>
  <c r="AG87" i="61"/>
  <c r="AG88" i="61"/>
  <c r="AG89" i="61"/>
  <c r="AG90" i="61"/>
  <c r="AG91" i="61"/>
  <c r="AG92" i="61"/>
  <c r="AG93" i="61"/>
  <c r="AG94" i="61"/>
  <c r="AG95" i="61"/>
  <c r="J83" i="61"/>
  <c r="L83" i="61" s="1"/>
  <c r="J84" i="61"/>
  <c r="L84" i="61" s="1"/>
  <c r="L86" i="61"/>
  <c r="J87" i="61"/>
  <c r="L87" i="61" s="1"/>
  <c r="J88" i="61"/>
  <c r="L88" i="61" s="1"/>
  <c r="J89" i="61"/>
  <c r="L89" i="61" s="1"/>
  <c r="J90" i="61"/>
  <c r="L90" i="61" s="1"/>
  <c r="J91" i="61"/>
  <c r="L91" i="61" s="1"/>
  <c r="J92" i="61"/>
  <c r="L92" i="61" s="1"/>
  <c r="J93" i="61"/>
  <c r="L93" i="61" s="1"/>
  <c r="L103" i="61" l="1"/>
  <c r="J74" i="61"/>
  <c r="L74" i="61" s="1"/>
  <c r="J75" i="61"/>
  <c r="L75" i="61" s="1"/>
  <c r="J76" i="61"/>
  <c r="L76" i="61" s="1"/>
  <c r="J77" i="61"/>
  <c r="L77" i="61" s="1"/>
  <c r="J78" i="61"/>
  <c r="L78" i="61" s="1"/>
  <c r="J79" i="61"/>
  <c r="L79" i="61" s="1"/>
  <c r="J80" i="61"/>
  <c r="L80" i="61" s="1"/>
  <c r="J81" i="61"/>
  <c r="L81" i="61" s="1"/>
  <c r="J82" i="61"/>
  <c r="L82" i="61" s="1"/>
  <c r="J94" i="61"/>
  <c r="L94" i="61" s="1"/>
  <c r="J95" i="61"/>
  <c r="J20" i="61"/>
  <c r="J21" i="61"/>
  <c r="J27" i="61"/>
  <c r="J28" i="61"/>
  <c r="J29" i="61"/>
  <c r="J30" i="61"/>
  <c r="J35" i="61"/>
  <c r="L35" i="61" s="1"/>
  <c r="J36" i="61"/>
  <c r="J39" i="61"/>
  <c r="J40" i="61"/>
  <c r="J41" i="61"/>
  <c r="J42" i="61"/>
  <c r="J43" i="61"/>
  <c r="J44" i="61"/>
  <c r="J45" i="61"/>
  <c r="J46" i="61"/>
  <c r="J47" i="61"/>
  <c r="J48" i="61"/>
  <c r="J19" i="61"/>
  <c r="J23" i="61"/>
  <c r="J24" i="61"/>
  <c r="J25" i="61"/>
  <c r="J26" i="61"/>
  <c r="J31" i="61"/>
  <c r="J32" i="61"/>
  <c r="J33" i="61"/>
  <c r="J17" i="61"/>
  <c r="J18" i="61"/>
  <c r="J38" i="61"/>
  <c r="H3" i="62"/>
  <c r="S9" i="61"/>
  <c r="AG9" i="61" s="1"/>
  <c r="Q9" i="61"/>
  <c r="Q146" i="61" s="1"/>
  <c r="J9" i="61"/>
  <c r="L9" i="61" s="1"/>
  <c r="Z19" i="62"/>
  <c r="Y19" i="62"/>
  <c r="X19" i="62"/>
  <c r="W19" i="62"/>
  <c r="V19" i="62"/>
  <c r="U19" i="62"/>
  <c r="K19" i="62"/>
  <c r="I19" i="62"/>
  <c r="G19" i="62"/>
  <c r="AG18" i="62"/>
  <c r="AF18" i="62"/>
  <c r="AE18" i="62"/>
  <c r="AD18" i="62"/>
  <c r="AC18" i="62"/>
  <c r="AB18" i="62"/>
  <c r="Q18" i="62"/>
  <c r="P18" i="62"/>
  <c r="O18" i="62"/>
  <c r="N18" i="62"/>
  <c r="J18" i="62"/>
  <c r="L18" i="62" s="1"/>
  <c r="R18" i="62" s="1"/>
  <c r="AG17" i="62"/>
  <c r="AF17" i="62"/>
  <c r="AE17" i="62"/>
  <c r="AD17" i="62"/>
  <c r="AC17" i="62"/>
  <c r="AB17" i="62"/>
  <c r="Q17" i="62"/>
  <c r="O17" i="62"/>
  <c r="N17" i="62"/>
  <c r="J17" i="62"/>
  <c r="P17" i="62" s="1"/>
  <c r="AG16" i="62"/>
  <c r="AF16" i="62"/>
  <c r="AE16" i="62"/>
  <c r="AD16" i="62"/>
  <c r="AC16" i="62"/>
  <c r="AB16" i="62"/>
  <c r="Q16" i="62"/>
  <c r="O16" i="62"/>
  <c r="N16" i="62"/>
  <c r="J16" i="62"/>
  <c r="P16" i="62" s="1"/>
  <c r="AG15" i="62"/>
  <c r="AF15" i="62"/>
  <c r="AE15" i="62"/>
  <c r="AD15" i="62"/>
  <c r="AC15" i="62"/>
  <c r="AB15" i="62"/>
  <c r="R15" i="62"/>
  <c r="Q15" i="62"/>
  <c r="P15" i="62"/>
  <c r="O15" i="62"/>
  <c r="N15" i="62"/>
  <c r="L15" i="62"/>
  <c r="J15" i="62"/>
  <c r="AG14" i="62"/>
  <c r="AF14" i="62"/>
  <c r="AE14" i="62"/>
  <c r="AD14" i="62"/>
  <c r="AC14" i="62"/>
  <c r="AB14" i="62"/>
  <c r="Q14" i="62"/>
  <c r="O14" i="62"/>
  <c r="N14" i="62"/>
  <c r="J14" i="62"/>
  <c r="P14" i="62" s="1"/>
  <c r="AG13" i="62"/>
  <c r="AF13" i="62"/>
  <c r="AE13" i="62"/>
  <c r="AD13" i="62"/>
  <c r="AC13" i="62"/>
  <c r="AB13" i="62"/>
  <c r="Q13" i="62"/>
  <c r="O13" i="62"/>
  <c r="N13" i="62"/>
  <c r="J13" i="62"/>
  <c r="P13" i="62" s="1"/>
  <c r="AG12" i="62"/>
  <c r="AF12" i="62"/>
  <c r="AE12" i="62"/>
  <c r="AD12" i="62"/>
  <c r="AC12" i="62"/>
  <c r="AB12" i="62"/>
  <c r="Q12" i="62"/>
  <c r="O12" i="62"/>
  <c r="N12" i="62"/>
  <c r="J12" i="62"/>
  <c r="P12" i="62" s="1"/>
  <c r="AG11" i="62"/>
  <c r="AF11" i="62"/>
  <c r="AE11" i="62"/>
  <c r="AD11" i="62"/>
  <c r="AC11" i="62"/>
  <c r="AB11" i="62"/>
  <c r="Q11" i="62"/>
  <c r="O11" i="62"/>
  <c r="N11" i="62"/>
  <c r="J11" i="62"/>
  <c r="P11" i="62" s="1"/>
  <c r="AG10" i="62"/>
  <c r="AF10" i="62"/>
  <c r="AE10" i="62"/>
  <c r="AD10" i="62"/>
  <c r="AC10" i="62"/>
  <c r="AB10" i="62"/>
  <c r="Q10" i="62"/>
  <c r="O10" i="62"/>
  <c r="N10" i="62"/>
  <c r="J10" i="62"/>
  <c r="P10" i="62" s="1"/>
  <c r="AG9" i="62"/>
  <c r="AF9" i="62"/>
  <c r="AE9" i="62"/>
  <c r="AD9" i="62"/>
  <c r="AC9" i="62"/>
  <c r="AB9" i="62"/>
  <c r="Q9" i="62"/>
  <c r="O9" i="62"/>
  <c r="N9" i="62"/>
  <c r="J9" i="62"/>
  <c r="P9" i="62" s="1"/>
  <c r="AG8" i="62"/>
  <c r="AF8" i="62"/>
  <c r="AE8" i="62"/>
  <c r="AD8" i="62"/>
  <c r="AC8" i="62"/>
  <c r="AB8" i="62"/>
  <c r="Q8" i="62"/>
  <c r="O8" i="62"/>
  <c r="N8" i="62"/>
  <c r="AG7" i="62"/>
  <c r="AF7" i="62"/>
  <c r="AE7" i="62"/>
  <c r="AD7" i="62"/>
  <c r="AC7" i="62"/>
  <c r="AB7" i="62"/>
  <c r="Q7" i="62"/>
  <c r="O7" i="62"/>
  <c r="N7" i="62"/>
  <c r="J7" i="62"/>
  <c r="P7" i="62" s="1"/>
  <c r="AG6" i="62"/>
  <c r="AF6" i="62"/>
  <c r="AE6" i="62"/>
  <c r="AD6" i="62"/>
  <c r="AC6" i="62"/>
  <c r="AB6" i="62"/>
  <c r="Q6" i="62"/>
  <c r="O6" i="62"/>
  <c r="N6" i="62"/>
  <c r="J6" i="62"/>
  <c r="P6" i="62" s="1"/>
  <c r="AG5" i="62"/>
  <c r="AF5" i="62"/>
  <c r="AE5" i="62"/>
  <c r="AD5" i="62"/>
  <c r="AC5" i="62"/>
  <c r="AB5" i="62"/>
  <c r="Q5" i="62"/>
  <c r="O5" i="62"/>
  <c r="N5" i="62"/>
  <c r="J5" i="62"/>
  <c r="P5" i="62" s="1"/>
  <c r="AG4" i="62"/>
  <c r="AF4" i="62"/>
  <c r="AE4" i="62"/>
  <c r="AD4" i="62"/>
  <c r="AC4" i="62"/>
  <c r="AB4" i="62"/>
  <c r="Q4" i="62"/>
  <c r="O4" i="62"/>
  <c r="N4" i="62"/>
  <c r="J4" i="62"/>
  <c r="P4" i="62" s="1"/>
  <c r="AG3" i="62"/>
  <c r="AF3" i="62"/>
  <c r="AE3" i="62"/>
  <c r="AD3" i="62"/>
  <c r="AC3" i="62"/>
  <c r="AB3" i="62"/>
  <c r="Q3" i="62"/>
  <c r="O3" i="62"/>
  <c r="N3" i="62"/>
  <c r="I153" i="61"/>
  <c r="AF146" i="61"/>
  <c r="AB146" i="61"/>
  <c r="AJ11" i="61" s="1"/>
  <c r="AL11" i="61" s="1"/>
  <c r="AA146" i="61"/>
  <c r="AJ10" i="61" s="1"/>
  <c r="AL10" i="61" s="1"/>
  <c r="Z146" i="61"/>
  <c r="AJ9" i="61" s="1"/>
  <c r="AL9" i="61" s="1"/>
  <c r="Y146" i="61"/>
  <c r="AJ8" i="61" s="1"/>
  <c r="AL8" i="61" s="1"/>
  <c r="X146" i="61"/>
  <c r="AJ7" i="61" s="1"/>
  <c r="AL7" i="61" s="1"/>
  <c r="W146" i="61"/>
  <c r="AJ6" i="61" s="1"/>
  <c r="V146" i="61"/>
  <c r="AJ5" i="61" s="1"/>
  <c r="AL5" i="61" s="1"/>
  <c r="U146" i="61"/>
  <c r="AJ4" i="61" s="1"/>
  <c r="T146" i="61"/>
  <c r="AJ3" i="61" s="1"/>
  <c r="P146" i="61"/>
  <c r="I146" i="61"/>
  <c r="H146" i="61"/>
  <c r="AG73" i="61"/>
  <c r="J73" i="61"/>
  <c r="L73" i="61" s="1"/>
  <c r="AG72" i="61"/>
  <c r="J72" i="61"/>
  <c r="L72" i="61" s="1"/>
  <c r="AG71" i="61"/>
  <c r="J71" i="61"/>
  <c r="L71" i="61" s="1"/>
  <c r="AG70" i="61"/>
  <c r="J70" i="61"/>
  <c r="L70" i="61" s="1"/>
  <c r="AG69" i="61"/>
  <c r="J69" i="61"/>
  <c r="L69" i="61" s="1"/>
  <c r="AG68" i="61"/>
  <c r="J68" i="61"/>
  <c r="AG67" i="61"/>
  <c r="J67" i="61"/>
  <c r="AG66" i="61"/>
  <c r="J66" i="61"/>
  <c r="L66" i="61" s="1"/>
  <c r="AG65" i="61"/>
  <c r="J65" i="61"/>
  <c r="L65" i="61" s="1"/>
  <c r="AG64" i="61"/>
  <c r="J64" i="61"/>
  <c r="L64" i="61" s="1"/>
  <c r="AG63" i="61"/>
  <c r="J63" i="61"/>
  <c r="L63" i="61" s="1"/>
  <c r="AG62" i="61"/>
  <c r="J62" i="61"/>
  <c r="AG61" i="61"/>
  <c r="J61" i="61"/>
  <c r="AG60" i="61"/>
  <c r="J60" i="61"/>
  <c r="L60" i="61" s="1"/>
  <c r="AG59" i="61"/>
  <c r="J59" i="61"/>
  <c r="L59" i="61" s="1"/>
  <c r="AG58" i="61"/>
  <c r="J58" i="61"/>
  <c r="AG57" i="61"/>
  <c r="J57" i="61"/>
  <c r="AG56" i="61"/>
  <c r="J56" i="61"/>
  <c r="AG55" i="61"/>
  <c r="J55" i="61"/>
  <c r="AG54" i="61"/>
  <c r="J54" i="61"/>
  <c r="AG53" i="61"/>
  <c r="J53" i="61"/>
  <c r="L53" i="61" s="1"/>
  <c r="AG52" i="61"/>
  <c r="J52" i="61"/>
  <c r="L52" i="61" s="1"/>
  <c r="AG51" i="61"/>
  <c r="J51" i="61"/>
  <c r="L51" i="61" s="1"/>
  <c r="AG50" i="61"/>
  <c r="J50" i="61"/>
  <c r="L50" i="61" s="1"/>
  <c r="AG49" i="61"/>
  <c r="J49" i="61"/>
  <c r="L49" i="61" s="1"/>
  <c r="AG48" i="61"/>
  <c r="AG47" i="61"/>
  <c r="AG46" i="61"/>
  <c r="AG45" i="61"/>
  <c r="AG44" i="61"/>
  <c r="AG43" i="61"/>
  <c r="AG42" i="61"/>
  <c r="AG41" i="61"/>
  <c r="AG40" i="61"/>
  <c r="AG39" i="61"/>
  <c r="AG38" i="61"/>
  <c r="AG37" i="61"/>
  <c r="J37" i="61"/>
  <c r="AG36" i="61"/>
  <c r="AG35" i="61"/>
  <c r="AG34" i="61"/>
  <c r="J34" i="61"/>
  <c r="AG33" i="61"/>
  <c r="AG32" i="61"/>
  <c r="AG31" i="61"/>
  <c r="AG30" i="61"/>
  <c r="AG29" i="61"/>
  <c r="AG28" i="61"/>
  <c r="AG27" i="61"/>
  <c r="AG26" i="61"/>
  <c r="AG25" i="61"/>
  <c r="AG24" i="61"/>
  <c r="AG23" i="61"/>
  <c r="AG22" i="61"/>
  <c r="J22" i="61"/>
  <c r="AG21" i="61"/>
  <c r="AG20" i="61"/>
  <c r="AG19" i="61"/>
  <c r="AG18" i="61"/>
  <c r="AG17" i="61"/>
  <c r="AG16" i="61"/>
  <c r="J16" i="61"/>
  <c r="AG15" i="61"/>
  <c r="J15" i="61"/>
  <c r="AL14" i="61"/>
  <c r="AG14" i="61"/>
  <c r="J14" i="61"/>
  <c r="AL13" i="61"/>
  <c r="J13" i="61"/>
  <c r="AG12" i="61"/>
  <c r="J12" i="61"/>
  <c r="L12" i="61" s="1"/>
  <c r="AG11" i="61"/>
  <c r="J11" i="61"/>
  <c r="L11" i="61" s="1"/>
  <c r="AG10" i="61"/>
  <c r="J10" i="61"/>
  <c r="L10" i="61" s="1"/>
  <c r="AG8" i="61"/>
  <c r="J8" i="61"/>
  <c r="L8" i="61" s="1"/>
  <c r="AG7" i="61"/>
  <c r="J7" i="61"/>
  <c r="L7" i="61" s="1"/>
  <c r="AG6" i="61"/>
  <c r="J6" i="61"/>
  <c r="L6" i="61" s="1"/>
  <c r="AG5" i="61"/>
  <c r="J5" i="61"/>
  <c r="L5" i="61" s="1"/>
  <c r="AG4" i="61"/>
  <c r="J4" i="61"/>
  <c r="L4" i="61" s="1"/>
  <c r="AG3" i="61"/>
  <c r="J3" i="61"/>
  <c r="L3" i="61" s="1"/>
  <c r="AG2" i="61"/>
  <c r="J2" i="61"/>
  <c r="L2" i="61" s="1"/>
  <c r="I82" i="59"/>
  <c r="H82" i="59"/>
  <c r="N23" i="60"/>
  <c r="N22" i="60"/>
  <c r="AH14" i="59"/>
  <c r="AH13" i="59"/>
  <c r="AH2" i="59"/>
  <c r="AH4" i="59"/>
  <c r="AH3" i="59"/>
  <c r="AH6" i="59"/>
  <c r="H8" i="60"/>
  <c r="H3" i="60"/>
  <c r="AL12" i="61" l="1"/>
  <c r="AJ15" i="61"/>
  <c r="AL15" i="61" s="1"/>
  <c r="H151" i="61"/>
  <c r="H153" i="61" s="1"/>
  <c r="H155" i="61" s="1"/>
  <c r="D152" i="61" s="1"/>
  <c r="D151" i="61"/>
  <c r="L12" i="62"/>
  <c r="R12" i="62" s="1"/>
  <c r="Q19" i="62"/>
  <c r="O19" i="62"/>
  <c r="AK17" i="61"/>
  <c r="AL6" i="61"/>
  <c r="AL3" i="61"/>
  <c r="S146" i="61"/>
  <c r="AJ2" i="61" s="1"/>
  <c r="AL2" i="61" s="1"/>
  <c r="AL4" i="61"/>
  <c r="L37" i="61"/>
  <c r="L36" i="61"/>
  <c r="L23" i="61"/>
  <c r="L13" i="61"/>
  <c r="L21" i="61"/>
  <c r="L40" i="61"/>
  <c r="L61" i="61"/>
  <c r="L22" i="61"/>
  <c r="L18" i="61"/>
  <c r="L62" i="61"/>
  <c r="L17" i="61"/>
  <c r="L39" i="61"/>
  <c r="L14" i="61"/>
  <c r="L54" i="61"/>
  <c r="L95" i="61"/>
  <c r="L15" i="61"/>
  <c r="L55" i="61"/>
  <c r="L56" i="61"/>
  <c r="L16" i="61"/>
  <c r="L57" i="61"/>
  <c r="L67" i="61"/>
  <c r="L58" i="61"/>
  <c r="L68" i="61"/>
  <c r="L34" i="61"/>
  <c r="L38" i="61"/>
  <c r="L20" i="61"/>
  <c r="K146" i="61"/>
  <c r="L48" i="61"/>
  <c r="L33" i="61"/>
  <c r="L32" i="61"/>
  <c r="L31" i="61"/>
  <c r="L47" i="61"/>
  <c r="L26" i="61"/>
  <c r="L45" i="61"/>
  <c r="L25" i="61"/>
  <c r="L29" i="61"/>
  <c r="L41" i="61"/>
  <c r="L44" i="61"/>
  <c r="L24" i="61"/>
  <c r="L30" i="61"/>
  <c r="L28" i="61"/>
  <c r="L27" i="61"/>
  <c r="L46" i="61"/>
  <c r="L42" i="61"/>
  <c r="L43" i="61"/>
  <c r="L19" i="61"/>
  <c r="Z20" i="62"/>
  <c r="AB19" i="62"/>
  <c r="G146" i="61"/>
  <c r="Q148" i="61" s="1"/>
  <c r="AC19" i="62"/>
  <c r="AG19" i="62"/>
  <c r="AD19" i="62"/>
  <c r="AE19" i="62"/>
  <c r="AF19" i="62"/>
  <c r="N19" i="62"/>
  <c r="J3" i="62"/>
  <c r="L6" i="62"/>
  <c r="R6" i="62" s="1"/>
  <c r="L9" i="62"/>
  <c r="R9" i="62" s="1"/>
  <c r="L17" i="62"/>
  <c r="R17" i="62" s="1"/>
  <c r="L14" i="62"/>
  <c r="R14" i="62" s="1"/>
  <c r="J8" i="62"/>
  <c r="L11" i="62"/>
  <c r="R11" i="62" s="1"/>
  <c r="L5" i="62"/>
  <c r="R5" i="62" s="1"/>
  <c r="H19" i="62"/>
  <c r="L16" i="62"/>
  <c r="R16" i="62" s="1"/>
  <c r="L13" i="62"/>
  <c r="R13" i="62" s="1"/>
  <c r="L7" i="62"/>
  <c r="R7" i="62" s="1"/>
  <c r="L10" i="62"/>
  <c r="R10" i="62" s="1"/>
  <c r="L4" i="62"/>
  <c r="R4" i="62" s="1"/>
  <c r="J146" i="61"/>
  <c r="J152" i="61"/>
  <c r="K152" i="61" s="1"/>
  <c r="AG13" i="61"/>
  <c r="AG146" i="61" s="1"/>
  <c r="S13" i="59"/>
  <c r="AD13" i="59" s="1"/>
  <c r="Q13" i="59"/>
  <c r="G13" i="59"/>
  <c r="J13" i="59" s="1"/>
  <c r="L13" i="59" s="1"/>
  <c r="Z19" i="60"/>
  <c r="Y19" i="60"/>
  <c r="W19" i="60"/>
  <c r="V19" i="60"/>
  <c r="U19" i="60"/>
  <c r="K19" i="60"/>
  <c r="I19" i="60"/>
  <c r="G19" i="60"/>
  <c r="AG18" i="60"/>
  <c r="AF18" i="60"/>
  <c r="AE18" i="60"/>
  <c r="AD18" i="60"/>
  <c r="AC18" i="60"/>
  <c r="AB18" i="60"/>
  <c r="Q18" i="60"/>
  <c r="P18" i="60"/>
  <c r="O18" i="60"/>
  <c r="N18" i="60"/>
  <c r="J18" i="60"/>
  <c r="L18" i="60" s="1"/>
  <c r="R18" i="60" s="1"/>
  <c r="AG17" i="60"/>
  <c r="AF17" i="60"/>
  <c r="AE17" i="60"/>
  <c r="AD17" i="60"/>
  <c r="AC17" i="60"/>
  <c r="AB17" i="60"/>
  <c r="Q17" i="60"/>
  <c r="O17" i="60"/>
  <c r="N17" i="60"/>
  <c r="J17" i="60"/>
  <c r="P17" i="60" s="1"/>
  <c r="AG16" i="60"/>
  <c r="AF16" i="60"/>
  <c r="AE16" i="60"/>
  <c r="AD16" i="60"/>
  <c r="AC16" i="60"/>
  <c r="AB16" i="60"/>
  <c r="Q16" i="60"/>
  <c r="O16" i="60"/>
  <c r="N16" i="60"/>
  <c r="J16" i="60"/>
  <c r="P16" i="60" s="1"/>
  <c r="AG15" i="60"/>
  <c r="AF15" i="60"/>
  <c r="AD15" i="60"/>
  <c r="AC15" i="60"/>
  <c r="AB15" i="60"/>
  <c r="AE15" i="60"/>
  <c r="Q15" i="60"/>
  <c r="O15" i="60"/>
  <c r="N15" i="60"/>
  <c r="AG14" i="60"/>
  <c r="AF14" i="60"/>
  <c r="AE14" i="60"/>
  <c r="AD14" i="60"/>
  <c r="AC14" i="60"/>
  <c r="AB14" i="60"/>
  <c r="Q14" i="60"/>
  <c r="O14" i="60"/>
  <c r="N14" i="60"/>
  <c r="J14" i="60"/>
  <c r="P14" i="60" s="1"/>
  <c r="AG13" i="60"/>
  <c r="AF13" i="60"/>
  <c r="AE13" i="60"/>
  <c r="AD13" i="60"/>
  <c r="AC13" i="60"/>
  <c r="AB13" i="60"/>
  <c r="Q13" i="60"/>
  <c r="O13" i="60"/>
  <c r="N13" i="60"/>
  <c r="J13" i="60"/>
  <c r="P13" i="60" s="1"/>
  <c r="AG12" i="60"/>
  <c r="AF12" i="60"/>
  <c r="AE12" i="60"/>
  <c r="AD12" i="60"/>
  <c r="AC12" i="60"/>
  <c r="AB12" i="60"/>
  <c r="Q12" i="60"/>
  <c r="O12" i="60"/>
  <c r="N12" i="60"/>
  <c r="J12" i="60"/>
  <c r="L12" i="60" s="1"/>
  <c r="R12" i="60" s="1"/>
  <c r="AG11" i="60"/>
  <c r="AF11" i="60"/>
  <c r="AE11" i="60"/>
  <c r="AD11" i="60"/>
  <c r="AC11" i="60"/>
  <c r="AB11" i="60"/>
  <c r="Q11" i="60"/>
  <c r="O11" i="60"/>
  <c r="N11" i="60"/>
  <c r="J11" i="60"/>
  <c r="P11" i="60" s="1"/>
  <c r="AG10" i="60"/>
  <c r="AF10" i="60"/>
  <c r="AE10" i="60"/>
  <c r="AD10" i="60"/>
  <c r="AC10" i="60"/>
  <c r="AB10" i="60"/>
  <c r="Q10" i="60"/>
  <c r="O10" i="60"/>
  <c r="N10" i="60"/>
  <c r="J10" i="60"/>
  <c r="P10" i="60" s="1"/>
  <c r="AG9" i="60"/>
  <c r="AF9" i="60"/>
  <c r="AE9" i="60"/>
  <c r="AD9" i="60"/>
  <c r="AC9" i="60"/>
  <c r="AB9" i="60"/>
  <c r="Q9" i="60"/>
  <c r="P9" i="60"/>
  <c r="O9" i="60"/>
  <c r="N9" i="60"/>
  <c r="J9" i="60"/>
  <c r="L9" i="60" s="1"/>
  <c r="R9" i="60" s="1"/>
  <c r="AG8" i="60"/>
  <c r="AF8" i="60"/>
  <c r="AE8" i="60"/>
  <c r="AD8" i="60"/>
  <c r="AC8" i="60"/>
  <c r="AB8" i="60"/>
  <c r="Q8" i="60"/>
  <c r="O8" i="60"/>
  <c r="H19" i="60"/>
  <c r="AG7" i="60"/>
  <c r="AF7" i="60"/>
  <c r="AE7" i="60"/>
  <c r="AD7" i="60"/>
  <c r="AC7" i="60"/>
  <c r="AB7" i="60"/>
  <c r="Q7" i="60"/>
  <c r="O7" i="60"/>
  <c r="N7" i="60"/>
  <c r="J7" i="60"/>
  <c r="P7" i="60" s="1"/>
  <c r="AG6" i="60"/>
  <c r="AF6" i="60"/>
  <c r="AE6" i="60"/>
  <c r="AD6" i="60"/>
  <c r="AC6" i="60"/>
  <c r="AB6" i="60"/>
  <c r="Q6" i="60"/>
  <c r="O6" i="60"/>
  <c r="N6" i="60"/>
  <c r="J6" i="60"/>
  <c r="L6" i="60" s="1"/>
  <c r="R6" i="60" s="1"/>
  <c r="AG5" i="60"/>
  <c r="AF5" i="60"/>
  <c r="AE5" i="60"/>
  <c r="AD5" i="60"/>
  <c r="AC5" i="60"/>
  <c r="AB5" i="60"/>
  <c r="Q5" i="60"/>
  <c r="O5" i="60"/>
  <c r="N5" i="60"/>
  <c r="J5" i="60"/>
  <c r="P5" i="60" s="1"/>
  <c r="AG4" i="60"/>
  <c r="AF4" i="60"/>
  <c r="AE4" i="60"/>
  <c r="AD4" i="60"/>
  <c r="AC4" i="60"/>
  <c r="AB4" i="60"/>
  <c r="Q4" i="60"/>
  <c r="O4" i="60"/>
  <c r="N4" i="60"/>
  <c r="J4" i="60"/>
  <c r="P4" i="60" s="1"/>
  <c r="AG3" i="60"/>
  <c r="AF3" i="60"/>
  <c r="AE3" i="60"/>
  <c r="AD3" i="60"/>
  <c r="AC3" i="60"/>
  <c r="AB3" i="60"/>
  <c r="Q3" i="60"/>
  <c r="O3" i="60"/>
  <c r="N3" i="60"/>
  <c r="J3" i="60"/>
  <c r="L3" i="60" s="1"/>
  <c r="S9" i="59"/>
  <c r="Q9" i="59"/>
  <c r="Q76" i="59" s="1"/>
  <c r="G9" i="59"/>
  <c r="J9" i="59" s="1"/>
  <c r="L9" i="59" s="1"/>
  <c r="I83" i="59"/>
  <c r="AI14" i="59"/>
  <c r="AI13" i="59"/>
  <c r="AC76" i="59"/>
  <c r="AG12" i="59" s="1"/>
  <c r="AI12" i="59" s="1"/>
  <c r="AB76" i="59"/>
  <c r="AG11" i="59" s="1"/>
  <c r="AI11" i="59" s="1"/>
  <c r="AA76" i="59"/>
  <c r="AG10" i="59" s="1"/>
  <c r="AI10" i="59" s="1"/>
  <c r="Z76" i="59"/>
  <c r="AG9" i="59" s="1"/>
  <c r="AI9" i="59" s="1"/>
  <c r="Y76" i="59"/>
  <c r="AG8" i="59" s="1"/>
  <c r="AI8" i="59" s="1"/>
  <c r="X76" i="59"/>
  <c r="AG7" i="59" s="1"/>
  <c r="AI7" i="59" s="1"/>
  <c r="W76" i="59"/>
  <c r="AG6" i="59" s="1"/>
  <c r="V76" i="59"/>
  <c r="AG5" i="59" s="1"/>
  <c r="T76" i="59"/>
  <c r="AG3" i="59" s="1"/>
  <c r="P76" i="59"/>
  <c r="K76" i="59"/>
  <c r="I76" i="59"/>
  <c r="H76" i="59"/>
  <c r="D81" i="59" s="1"/>
  <c r="AD75" i="59"/>
  <c r="J75" i="59"/>
  <c r="L75" i="59" s="1"/>
  <c r="AD74" i="59"/>
  <c r="J74" i="59"/>
  <c r="L74" i="59" s="1"/>
  <c r="AD73" i="59"/>
  <c r="J73" i="59"/>
  <c r="L73" i="59" s="1"/>
  <c r="AD72" i="59"/>
  <c r="J72" i="59"/>
  <c r="L72" i="59" s="1"/>
  <c r="AD71" i="59"/>
  <c r="J71" i="59"/>
  <c r="L71" i="59" s="1"/>
  <c r="AD70" i="59"/>
  <c r="J70" i="59"/>
  <c r="L70" i="59" s="1"/>
  <c r="AD69" i="59"/>
  <c r="J69" i="59"/>
  <c r="L69" i="59" s="1"/>
  <c r="AD68" i="59"/>
  <c r="J68" i="59"/>
  <c r="L68" i="59" s="1"/>
  <c r="AD67" i="59"/>
  <c r="J67" i="59"/>
  <c r="L67" i="59" s="1"/>
  <c r="AD66" i="59"/>
  <c r="J66" i="59"/>
  <c r="L66" i="59" s="1"/>
  <c r="AD65" i="59"/>
  <c r="J65" i="59"/>
  <c r="L65" i="59" s="1"/>
  <c r="AD64" i="59"/>
  <c r="J64" i="59"/>
  <c r="L64" i="59" s="1"/>
  <c r="AD63" i="59"/>
  <c r="J63" i="59"/>
  <c r="L63" i="59" s="1"/>
  <c r="AD62" i="59"/>
  <c r="J62" i="59"/>
  <c r="L62" i="59" s="1"/>
  <c r="AD61" i="59"/>
  <c r="J61" i="59"/>
  <c r="L61" i="59" s="1"/>
  <c r="AD60" i="59"/>
  <c r="J60" i="59"/>
  <c r="L60" i="59" s="1"/>
  <c r="AD59" i="59"/>
  <c r="J59" i="59"/>
  <c r="L59" i="59" s="1"/>
  <c r="AD58" i="59"/>
  <c r="J58" i="59"/>
  <c r="L58" i="59" s="1"/>
  <c r="AD57" i="59"/>
  <c r="J57" i="59"/>
  <c r="L57" i="59" s="1"/>
  <c r="AD56" i="59"/>
  <c r="J56" i="59"/>
  <c r="L56" i="59" s="1"/>
  <c r="AD55" i="59"/>
  <c r="J55" i="59"/>
  <c r="L55" i="59" s="1"/>
  <c r="AD54" i="59"/>
  <c r="J54" i="59"/>
  <c r="L54" i="59" s="1"/>
  <c r="U76" i="59"/>
  <c r="AG4" i="59" s="1"/>
  <c r="J53" i="59"/>
  <c r="L53" i="59" s="1"/>
  <c r="AD52" i="59"/>
  <c r="J52" i="59"/>
  <c r="L52" i="59" s="1"/>
  <c r="AD51" i="59"/>
  <c r="J51" i="59"/>
  <c r="L51" i="59" s="1"/>
  <c r="AD50" i="59"/>
  <c r="J50" i="59"/>
  <c r="L50" i="59" s="1"/>
  <c r="AD49" i="59"/>
  <c r="J49" i="59"/>
  <c r="L49" i="59" s="1"/>
  <c r="AD48" i="59"/>
  <c r="J48" i="59"/>
  <c r="L48" i="59" s="1"/>
  <c r="AD47" i="59"/>
  <c r="J47" i="59"/>
  <c r="L47" i="59" s="1"/>
  <c r="AD46" i="59"/>
  <c r="J46" i="59"/>
  <c r="L46" i="59" s="1"/>
  <c r="AD45" i="59"/>
  <c r="J45" i="59"/>
  <c r="L45" i="59" s="1"/>
  <c r="AD44" i="59"/>
  <c r="J44" i="59"/>
  <c r="L44" i="59" s="1"/>
  <c r="AD43" i="59"/>
  <c r="J43" i="59"/>
  <c r="L43" i="59" s="1"/>
  <c r="AD42" i="59"/>
  <c r="J42" i="59"/>
  <c r="L42" i="59" s="1"/>
  <c r="AD41" i="59"/>
  <c r="J41" i="59"/>
  <c r="L41" i="59" s="1"/>
  <c r="AD40" i="59"/>
  <c r="J40" i="59"/>
  <c r="L40" i="59" s="1"/>
  <c r="AD39" i="59"/>
  <c r="J39" i="59"/>
  <c r="L39" i="59" s="1"/>
  <c r="AD38" i="59"/>
  <c r="J38" i="59"/>
  <c r="L38" i="59" s="1"/>
  <c r="AD37" i="59"/>
  <c r="J37" i="59"/>
  <c r="L37" i="59" s="1"/>
  <c r="AD36" i="59"/>
  <c r="J36" i="59"/>
  <c r="L36" i="59" s="1"/>
  <c r="AD35" i="59"/>
  <c r="J35" i="59"/>
  <c r="L35" i="59" s="1"/>
  <c r="AD34" i="59"/>
  <c r="J34" i="59"/>
  <c r="L34" i="59" s="1"/>
  <c r="AD33" i="59"/>
  <c r="J33" i="59"/>
  <c r="L33" i="59" s="1"/>
  <c r="AD32" i="59"/>
  <c r="J32" i="59"/>
  <c r="L32" i="59" s="1"/>
  <c r="AD31" i="59"/>
  <c r="J31" i="59"/>
  <c r="L31" i="59" s="1"/>
  <c r="AD30" i="59"/>
  <c r="J30" i="59"/>
  <c r="L30" i="59" s="1"/>
  <c r="AD29" i="59"/>
  <c r="J29" i="59"/>
  <c r="L29" i="59" s="1"/>
  <c r="AD28" i="59"/>
  <c r="J28" i="59"/>
  <c r="L28" i="59" s="1"/>
  <c r="AD27" i="59"/>
  <c r="J27" i="59"/>
  <c r="L27" i="59" s="1"/>
  <c r="AD26" i="59"/>
  <c r="J26" i="59"/>
  <c r="L26" i="59" s="1"/>
  <c r="AD25" i="59"/>
  <c r="J25" i="59"/>
  <c r="L25" i="59" s="1"/>
  <c r="AD24" i="59"/>
  <c r="J24" i="59"/>
  <c r="L24" i="59" s="1"/>
  <c r="AD23" i="59"/>
  <c r="J23" i="59"/>
  <c r="L23" i="59" s="1"/>
  <c r="AD22" i="59"/>
  <c r="J22" i="59"/>
  <c r="L22" i="59" s="1"/>
  <c r="AD21" i="59"/>
  <c r="J21" i="59"/>
  <c r="L21" i="59" s="1"/>
  <c r="AD20" i="59"/>
  <c r="J20" i="59"/>
  <c r="L20" i="59" s="1"/>
  <c r="AD19" i="59"/>
  <c r="J19" i="59"/>
  <c r="L19" i="59" s="1"/>
  <c r="AD18" i="59"/>
  <c r="J18" i="59"/>
  <c r="L18" i="59" s="1"/>
  <c r="AD17" i="59"/>
  <c r="J17" i="59"/>
  <c r="L17" i="59" s="1"/>
  <c r="AD16" i="59"/>
  <c r="J16" i="59"/>
  <c r="L16" i="59" s="1"/>
  <c r="AD15" i="59"/>
  <c r="J15" i="59"/>
  <c r="L15" i="59" s="1"/>
  <c r="AD14" i="59"/>
  <c r="J14" i="59"/>
  <c r="L14" i="59" s="1"/>
  <c r="AD12" i="59"/>
  <c r="J12" i="59"/>
  <c r="L12" i="59" s="1"/>
  <c r="AD11" i="59"/>
  <c r="J11" i="59"/>
  <c r="L11" i="59" s="1"/>
  <c r="AD10" i="59"/>
  <c r="J10" i="59"/>
  <c r="L10" i="59" s="1"/>
  <c r="AD8" i="59"/>
  <c r="J8" i="59"/>
  <c r="L8" i="59" s="1"/>
  <c r="J7" i="59"/>
  <c r="L7" i="59" s="1"/>
  <c r="AD6" i="59"/>
  <c r="J6" i="59"/>
  <c r="L6" i="59" s="1"/>
  <c r="AD5" i="59"/>
  <c r="J5" i="59"/>
  <c r="L5" i="59" s="1"/>
  <c r="AD4" i="59"/>
  <c r="J4" i="59"/>
  <c r="L4" i="59" s="1"/>
  <c r="AD3" i="59"/>
  <c r="J3" i="59"/>
  <c r="L3" i="59" s="1"/>
  <c r="AD2" i="59"/>
  <c r="J2" i="59"/>
  <c r="L2" i="59" s="1"/>
  <c r="N6" i="58"/>
  <c r="N9" i="58"/>
  <c r="N14" i="58"/>
  <c r="J151" i="61" l="1"/>
  <c r="K151" i="61" s="1"/>
  <c r="K153" i="61" s="1"/>
  <c r="J153" i="61"/>
  <c r="AJ17" i="61"/>
  <c r="L146" i="61"/>
  <c r="Z21" i="62"/>
  <c r="N25" i="62"/>
  <c r="AG20" i="62"/>
  <c r="AG21" i="62" s="1"/>
  <c r="P8" i="62"/>
  <c r="L8" i="62"/>
  <c r="R8" i="62" s="1"/>
  <c r="L3" i="62"/>
  <c r="J19" i="62"/>
  <c r="P3" i="62"/>
  <c r="AL17" i="61"/>
  <c r="D153" i="61"/>
  <c r="AF19" i="60"/>
  <c r="P3" i="60"/>
  <c r="AI3" i="59"/>
  <c r="AI4" i="59"/>
  <c r="AI15" i="59"/>
  <c r="AI5" i="59"/>
  <c r="AI6" i="59"/>
  <c r="AH17" i="59"/>
  <c r="S76" i="59"/>
  <c r="AG2" i="59" s="1"/>
  <c r="AI2" i="59" s="1"/>
  <c r="G76" i="59"/>
  <c r="Q78" i="59" s="1"/>
  <c r="AB19" i="60"/>
  <c r="AC19" i="60"/>
  <c r="AD19" i="60"/>
  <c r="AG19" i="60"/>
  <c r="Q19" i="60"/>
  <c r="O19" i="60"/>
  <c r="P6" i="60"/>
  <c r="P12" i="60"/>
  <c r="AE19" i="60"/>
  <c r="X19" i="60"/>
  <c r="Z20" i="60" s="1"/>
  <c r="Z21" i="60" s="1"/>
  <c r="R3" i="60"/>
  <c r="L5" i="60"/>
  <c r="R5" i="60" s="1"/>
  <c r="L7" i="60"/>
  <c r="R7" i="60" s="1"/>
  <c r="L10" i="60"/>
  <c r="R10" i="60" s="1"/>
  <c r="L16" i="60"/>
  <c r="R16" i="60" s="1"/>
  <c r="L14" i="60"/>
  <c r="R14" i="60" s="1"/>
  <c r="J8" i="60"/>
  <c r="L11" i="60"/>
  <c r="R11" i="60" s="1"/>
  <c r="L17" i="60"/>
  <c r="R17" i="60" s="1"/>
  <c r="N8" i="60"/>
  <c r="L13" i="60"/>
  <c r="R13" i="60" s="1"/>
  <c r="L4" i="60"/>
  <c r="R4" i="60" s="1"/>
  <c r="J15" i="60"/>
  <c r="AD9" i="59"/>
  <c r="H81" i="59"/>
  <c r="H83" i="59" s="1"/>
  <c r="L76" i="59"/>
  <c r="J76" i="59"/>
  <c r="AD7" i="59"/>
  <c r="J82" i="59"/>
  <c r="K82" i="59" s="1"/>
  <c r="AD53" i="59"/>
  <c r="X15" i="58"/>
  <c r="H15" i="58"/>
  <c r="I105" i="57"/>
  <c r="AG93" i="57"/>
  <c r="AG94" i="57"/>
  <c r="AG95" i="57"/>
  <c r="AG96" i="57"/>
  <c r="J84" i="57"/>
  <c r="L84" i="57" s="1"/>
  <c r="J85" i="57"/>
  <c r="L85" i="57" s="1"/>
  <c r="J86" i="57"/>
  <c r="L86" i="57" s="1"/>
  <c r="J87" i="57"/>
  <c r="L87" i="57" s="1"/>
  <c r="J88" i="57"/>
  <c r="L88" i="57" s="1"/>
  <c r="J89" i="57"/>
  <c r="L89" i="57" s="1"/>
  <c r="J90" i="57"/>
  <c r="L90" i="57" s="1"/>
  <c r="J91" i="57"/>
  <c r="L91" i="57" s="1"/>
  <c r="J92" i="57"/>
  <c r="L92" i="57" s="1"/>
  <c r="J93" i="57"/>
  <c r="L93" i="57" s="1"/>
  <c r="J94" i="57"/>
  <c r="L94" i="57" s="1"/>
  <c r="J95" i="57"/>
  <c r="L95" i="57" s="1"/>
  <c r="J96" i="57"/>
  <c r="L96" i="57" s="1"/>
  <c r="J97" i="57"/>
  <c r="L97" i="57" s="1"/>
  <c r="J98" i="57"/>
  <c r="L98" i="57" s="1"/>
  <c r="J99" i="57"/>
  <c r="L99" i="57" s="1"/>
  <c r="AE100" i="57"/>
  <c r="AJ14" i="57" s="1"/>
  <c r="AG84" i="57"/>
  <c r="AG85" i="57"/>
  <c r="AG86" i="57"/>
  <c r="AG87" i="57"/>
  <c r="AG88" i="57"/>
  <c r="AG89" i="57"/>
  <c r="AG90" i="57"/>
  <c r="AG91" i="57"/>
  <c r="AG92" i="57"/>
  <c r="AG99" i="57"/>
  <c r="Q81" i="57"/>
  <c r="G81" i="57"/>
  <c r="J81" i="57" s="1"/>
  <c r="L81" i="57" s="1"/>
  <c r="AB100" i="57"/>
  <c r="AJ11" i="57" s="1"/>
  <c r="AC100" i="57"/>
  <c r="AJ12" i="57" s="1"/>
  <c r="AD100" i="57"/>
  <c r="AJ13" i="57" s="1"/>
  <c r="AG75" i="57"/>
  <c r="AG76" i="57"/>
  <c r="AG77" i="57"/>
  <c r="AG78" i="57"/>
  <c r="AG79" i="57"/>
  <c r="AG80" i="57"/>
  <c r="AG81" i="57"/>
  <c r="AG82" i="57"/>
  <c r="AG83" i="57"/>
  <c r="J78" i="57"/>
  <c r="L78" i="57" s="1"/>
  <c r="J79" i="57"/>
  <c r="L79" i="57" s="1"/>
  <c r="J80" i="57"/>
  <c r="L80" i="57" s="1"/>
  <c r="J82" i="57"/>
  <c r="L82" i="57" s="1"/>
  <c r="J83" i="57"/>
  <c r="L83" i="57" s="1"/>
  <c r="J75" i="57"/>
  <c r="L75" i="57" s="1"/>
  <c r="J76" i="57"/>
  <c r="L76" i="57" s="1"/>
  <c r="J77" i="57"/>
  <c r="L77" i="57" s="1"/>
  <c r="S65" i="57"/>
  <c r="U54" i="57"/>
  <c r="AM2" i="61" l="1"/>
  <c r="AM16" i="61"/>
  <c r="P19" i="62"/>
  <c r="L19" i="62"/>
  <c r="R3" i="62"/>
  <c r="R19" i="62" s="1"/>
  <c r="AM9" i="61"/>
  <c r="AM4" i="61"/>
  <c r="AM7" i="61"/>
  <c r="AM10" i="61"/>
  <c r="AM5" i="61"/>
  <c r="AM11" i="61"/>
  <c r="AM6" i="61"/>
  <c r="AM13" i="61"/>
  <c r="AM8" i="61"/>
  <c r="AM14" i="61"/>
  <c r="AM12" i="61"/>
  <c r="AM15" i="61"/>
  <c r="AM3" i="61"/>
  <c r="AG20" i="60"/>
  <c r="J81" i="59"/>
  <c r="J83" i="59" s="1"/>
  <c r="AG17" i="59"/>
  <c r="N25" i="60"/>
  <c r="L8" i="60"/>
  <c r="R8" i="60" s="1"/>
  <c r="P8" i="60"/>
  <c r="N19" i="60"/>
  <c r="P15" i="60"/>
  <c r="L15" i="60"/>
  <c r="R15" i="60" s="1"/>
  <c r="R19" i="60" s="1"/>
  <c r="J19" i="60"/>
  <c r="L19" i="60"/>
  <c r="H85" i="59"/>
  <c r="D82" i="59" s="1"/>
  <c r="D83" i="59" s="1"/>
  <c r="AD76" i="59"/>
  <c r="AI17" i="59"/>
  <c r="S53" i="57"/>
  <c r="AA100" i="57"/>
  <c r="AJ10" i="57" s="1"/>
  <c r="H8" i="58"/>
  <c r="AM17" i="61" l="1"/>
  <c r="AJ2" i="59"/>
  <c r="AI21" i="59"/>
  <c r="AG21" i="60"/>
  <c r="K81" i="59"/>
  <c r="K83" i="59" s="1"/>
  <c r="P19" i="60"/>
  <c r="AJ5" i="59"/>
  <c r="AJ11" i="59"/>
  <c r="AJ15" i="59"/>
  <c r="AJ3" i="59"/>
  <c r="AJ6" i="59"/>
  <c r="AJ9" i="59"/>
  <c r="AJ12" i="59"/>
  <c r="AJ8" i="59"/>
  <c r="AJ10" i="59"/>
  <c r="AJ14" i="59"/>
  <c r="AJ4" i="59"/>
  <c r="AJ13" i="59"/>
  <c r="AJ7" i="59"/>
  <c r="S32" i="57"/>
  <c r="S18" i="57"/>
  <c r="AJ17" i="59" l="1"/>
  <c r="S7" i="57"/>
  <c r="AG7" i="57" s="1"/>
  <c r="Z19" i="58"/>
  <c r="Y19" i="58"/>
  <c r="X19" i="58"/>
  <c r="W19" i="58"/>
  <c r="V19" i="58"/>
  <c r="U19" i="58"/>
  <c r="K19" i="58"/>
  <c r="I19" i="58"/>
  <c r="H19" i="58"/>
  <c r="G19" i="58"/>
  <c r="AG18" i="58"/>
  <c r="AF18" i="58"/>
  <c r="AE18" i="58"/>
  <c r="AD18" i="58"/>
  <c r="AC18" i="58"/>
  <c r="AB18" i="58"/>
  <c r="Q18" i="58"/>
  <c r="O18" i="58"/>
  <c r="N18" i="58"/>
  <c r="J18" i="58"/>
  <c r="L18" i="58" s="1"/>
  <c r="R18" i="58" s="1"/>
  <c r="AG17" i="58"/>
  <c r="AF17" i="58"/>
  <c r="AE17" i="58"/>
  <c r="AD17" i="58"/>
  <c r="AC17" i="58"/>
  <c r="AB17" i="58"/>
  <c r="Q17" i="58"/>
  <c r="O17" i="58"/>
  <c r="N17" i="58"/>
  <c r="J17" i="58"/>
  <c r="P17" i="58" s="1"/>
  <c r="AG16" i="58"/>
  <c r="AF16" i="58"/>
  <c r="AE16" i="58"/>
  <c r="AD16" i="58"/>
  <c r="AC16" i="58"/>
  <c r="AB16" i="58"/>
  <c r="Q16" i="58"/>
  <c r="O16" i="58"/>
  <c r="N16" i="58"/>
  <c r="J16" i="58"/>
  <c r="P16" i="58" s="1"/>
  <c r="AG15" i="58"/>
  <c r="AF15" i="58"/>
  <c r="AE15" i="58"/>
  <c r="AD15" i="58"/>
  <c r="AC15" i="58"/>
  <c r="AB15" i="58"/>
  <c r="Q15" i="58"/>
  <c r="O15" i="58"/>
  <c r="N15" i="58"/>
  <c r="J15" i="58"/>
  <c r="P15" i="58" s="1"/>
  <c r="AG14" i="58"/>
  <c r="AF14" i="58"/>
  <c r="AE14" i="58"/>
  <c r="AD14" i="58"/>
  <c r="AC14" i="58"/>
  <c r="AB14" i="58"/>
  <c r="Q14" i="58"/>
  <c r="O14" i="58"/>
  <c r="J14" i="58"/>
  <c r="P14" i="58" s="1"/>
  <c r="AG13" i="58"/>
  <c r="AF13" i="58"/>
  <c r="AE13" i="58"/>
  <c r="AD13" i="58"/>
  <c r="AC13" i="58"/>
  <c r="AB13" i="58"/>
  <c r="Q13" i="58"/>
  <c r="O13" i="58"/>
  <c r="N13" i="58"/>
  <c r="J13" i="58"/>
  <c r="P13" i="58" s="1"/>
  <c r="AG12" i="58"/>
  <c r="AF12" i="58"/>
  <c r="AE12" i="58"/>
  <c r="AD12" i="58"/>
  <c r="AC12" i="58"/>
  <c r="AB12" i="58"/>
  <c r="Q12" i="58"/>
  <c r="O12" i="58"/>
  <c r="N12" i="58"/>
  <c r="J12" i="58"/>
  <c r="L12" i="58" s="1"/>
  <c r="R12" i="58" s="1"/>
  <c r="AG11" i="58"/>
  <c r="AF11" i="58"/>
  <c r="AE11" i="58"/>
  <c r="AD11" i="58"/>
  <c r="AC11" i="58"/>
  <c r="AB11" i="58"/>
  <c r="Q11" i="58"/>
  <c r="O11" i="58"/>
  <c r="N11" i="58"/>
  <c r="J11" i="58"/>
  <c r="L11" i="58" s="1"/>
  <c r="R11" i="58" s="1"/>
  <c r="AG10" i="58"/>
  <c r="AF10" i="58"/>
  <c r="AE10" i="58"/>
  <c r="AD10" i="58"/>
  <c r="AC10" i="58"/>
  <c r="AB10" i="58"/>
  <c r="Q10" i="58"/>
  <c r="O10" i="58"/>
  <c r="N10" i="58"/>
  <c r="J10" i="58"/>
  <c r="AG9" i="58"/>
  <c r="AF9" i="58"/>
  <c r="AE9" i="58"/>
  <c r="AD9" i="58"/>
  <c r="AC9" i="58"/>
  <c r="AB9" i="58"/>
  <c r="Q9" i="58"/>
  <c r="O9" i="58"/>
  <c r="J9" i="58"/>
  <c r="P9" i="58" s="1"/>
  <c r="AG8" i="58"/>
  <c r="AF8" i="58"/>
  <c r="AE8" i="58"/>
  <c r="AD8" i="58"/>
  <c r="AC8" i="58"/>
  <c r="AB8" i="58"/>
  <c r="Q8" i="58"/>
  <c r="O8" i="58"/>
  <c r="N8" i="58"/>
  <c r="J8" i="58"/>
  <c r="L8" i="58" s="1"/>
  <c r="R8" i="58" s="1"/>
  <c r="AG7" i="58"/>
  <c r="AF7" i="58"/>
  <c r="AE7" i="58"/>
  <c r="AD7" i="58"/>
  <c r="AC7" i="58"/>
  <c r="AB7" i="58"/>
  <c r="Q7" i="58"/>
  <c r="O7" i="58"/>
  <c r="N7" i="58"/>
  <c r="J7" i="58"/>
  <c r="P7" i="58" s="1"/>
  <c r="AG6" i="58"/>
  <c r="AF6" i="58"/>
  <c r="AE6" i="58"/>
  <c r="AD6" i="58"/>
  <c r="AC6" i="58"/>
  <c r="AB6" i="58"/>
  <c r="Q6" i="58"/>
  <c r="O6" i="58"/>
  <c r="J6" i="58"/>
  <c r="P6" i="58" s="1"/>
  <c r="AG5" i="58"/>
  <c r="AF5" i="58"/>
  <c r="AE5" i="58"/>
  <c r="AD5" i="58"/>
  <c r="AC5" i="58"/>
  <c r="AB5" i="58"/>
  <c r="Q5" i="58"/>
  <c r="O5" i="58"/>
  <c r="N5" i="58"/>
  <c r="J5" i="58"/>
  <c r="L5" i="58" s="1"/>
  <c r="R5" i="58" s="1"/>
  <c r="AG4" i="58"/>
  <c r="AF4" i="58"/>
  <c r="AE4" i="58"/>
  <c r="AD4" i="58"/>
  <c r="AC4" i="58"/>
  <c r="AB4" i="58"/>
  <c r="Q4" i="58"/>
  <c r="O4" i="58"/>
  <c r="N4" i="58"/>
  <c r="J4" i="58"/>
  <c r="L4" i="58" s="1"/>
  <c r="R4" i="58" s="1"/>
  <c r="AG3" i="58"/>
  <c r="AF3" i="58"/>
  <c r="AE3" i="58"/>
  <c r="AD3" i="58"/>
  <c r="AC3" i="58"/>
  <c r="AB3" i="58"/>
  <c r="Q3" i="58"/>
  <c r="O3" i="58"/>
  <c r="N3" i="58"/>
  <c r="J3" i="58"/>
  <c r="P3" i="58" s="1"/>
  <c r="AF100" i="57"/>
  <c r="AJ15" i="57" s="1"/>
  <c r="Z100" i="57"/>
  <c r="AJ9" i="57" s="1"/>
  <c r="AL9" i="57" s="1"/>
  <c r="Y100" i="57"/>
  <c r="AJ8" i="57" s="1"/>
  <c r="AL8" i="57" s="1"/>
  <c r="X100" i="57"/>
  <c r="AJ7" i="57" s="1"/>
  <c r="AL7" i="57" s="1"/>
  <c r="W100" i="57"/>
  <c r="AJ6" i="57" s="1"/>
  <c r="V100" i="57"/>
  <c r="AJ5" i="57" s="1"/>
  <c r="T100" i="57"/>
  <c r="AJ3" i="57" s="1"/>
  <c r="Q100" i="57"/>
  <c r="P100" i="57"/>
  <c r="K100" i="57"/>
  <c r="K103" i="57" s="1"/>
  <c r="I100" i="57"/>
  <c r="H100" i="57"/>
  <c r="AG74" i="57"/>
  <c r="J74" i="57"/>
  <c r="L74" i="57" s="1"/>
  <c r="AG73" i="57"/>
  <c r="J73" i="57"/>
  <c r="L73" i="57" s="1"/>
  <c r="AG72" i="57"/>
  <c r="J72" i="57"/>
  <c r="L72" i="57" s="1"/>
  <c r="AG71" i="57"/>
  <c r="J71" i="57"/>
  <c r="L71" i="57" s="1"/>
  <c r="AG70" i="57"/>
  <c r="J70" i="57"/>
  <c r="L70" i="57" s="1"/>
  <c r="AG69" i="57"/>
  <c r="J69" i="57"/>
  <c r="L69" i="57" s="1"/>
  <c r="AG68" i="57"/>
  <c r="J68" i="57"/>
  <c r="L68" i="57" s="1"/>
  <c r="AG67" i="57"/>
  <c r="J67" i="57"/>
  <c r="L67" i="57" s="1"/>
  <c r="AG66" i="57"/>
  <c r="J66" i="57"/>
  <c r="L66" i="57" s="1"/>
  <c r="AG65" i="57"/>
  <c r="J65" i="57"/>
  <c r="L65" i="57" s="1"/>
  <c r="AG64" i="57"/>
  <c r="J64" i="57"/>
  <c r="L64" i="57" s="1"/>
  <c r="AG63" i="57"/>
  <c r="J63" i="57"/>
  <c r="L63" i="57" s="1"/>
  <c r="AG62" i="57"/>
  <c r="J62" i="57"/>
  <c r="L62" i="57" s="1"/>
  <c r="AG61" i="57"/>
  <c r="J61" i="57"/>
  <c r="L61" i="57" s="1"/>
  <c r="AG60" i="57"/>
  <c r="J60" i="57"/>
  <c r="L60" i="57" s="1"/>
  <c r="AG59" i="57"/>
  <c r="J59" i="57"/>
  <c r="L59" i="57" s="1"/>
  <c r="AG58" i="57"/>
  <c r="J58" i="57"/>
  <c r="L58" i="57" s="1"/>
  <c r="AG57" i="57"/>
  <c r="J57" i="57"/>
  <c r="L57" i="57" s="1"/>
  <c r="AG56" i="57"/>
  <c r="J56" i="57"/>
  <c r="L56" i="57" s="1"/>
  <c r="AG55" i="57"/>
  <c r="J55" i="57"/>
  <c r="L55" i="57" s="1"/>
  <c r="AG54" i="57"/>
  <c r="J54" i="57"/>
  <c r="L54" i="57" s="1"/>
  <c r="AG53" i="57"/>
  <c r="J53" i="57"/>
  <c r="L53" i="57" s="1"/>
  <c r="AG52" i="57"/>
  <c r="J52" i="57"/>
  <c r="L52" i="57" s="1"/>
  <c r="AG51" i="57"/>
  <c r="J51" i="57"/>
  <c r="L51" i="57" s="1"/>
  <c r="AG50" i="57"/>
  <c r="J50" i="57"/>
  <c r="L50" i="57" s="1"/>
  <c r="AG49" i="57"/>
  <c r="J49" i="57"/>
  <c r="L49" i="57" s="1"/>
  <c r="AG48" i="57"/>
  <c r="J48" i="57"/>
  <c r="L48" i="57" s="1"/>
  <c r="AG47" i="57"/>
  <c r="J47" i="57"/>
  <c r="L47" i="57" s="1"/>
  <c r="AG46" i="57"/>
  <c r="J46" i="57"/>
  <c r="L46" i="57" s="1"/>
  <c r="AG45" i="57"/>
  <c r="J45" i="57"/>
  <c r="L45" i="57" s="1"/>
  <c r="AG44" i="57"/>
  <c r="J44" i="57"/>
  <c r="L44" i="57" s="1"/>
  <c r="AG43" i="57"/>
  <c r="J43" i="57"/>
  <c r="L43" i="57" s="1"/>
  <c r="AG42" i="57"/>
  <c r="J42" i="57"/>
  <c r="L42" i="57" s="1"/>
  <c r="AG41" i="57"/>
  <c r="J41" i="57"/>
  <c r="L41" i="57" s="1"/>
  <c r="AG40" i="57"/>
  <c r="J40" i="57"/>
  <c r="L40" i="57" s="1"/>
  <c r="AG39" i="57"/>
  <c r="J39" i="57"/>
  <c r="L39" i="57" s="1"/>
  <c r="AG38" i="57"/>
  <c r="J38" i="57"/>
  <c r="L38" i="57" s="1"/>
  <c r="AG37" i="57"/>
  <c r="J37" i="57"/>
  <c r="L37" i="57" s="1"/>
  <c r="AG36" i="57"/>
  <c r="J36" i="57"/>
  <c r="L36" i="57" s="1"/>
  <c r="AG35" i="57"/>
  <c r="J35" i="57"/>
  <c r="L35" i="57" s="1"/>
  <c r="AG34" i="57"/>
  <c r="J34" i="57"/>
  <c r="L34" i="57" s="1"/>
  <c r="AG33" i="57"/>
  <c r="J33" i="57"/>
  <c r="L33" i="57" s="1"/>
  <c r="AG32" i="57"/>
  <c r="J32" i="57"/>
  <c r="L32" i="57" s="1"/>
  <c r="AG31" i="57"/>
  <c r="J31" i="57"/>
  <c r="L31" i="57" s="1"/>
  <c r="AG30" i="57"/>
  <c r="J30" i="57"/>
  <c r="L30" i="57" s="1"/>
  <c r="AG29" i="57"/>
  <c r="J29" i="57"/>
  <c r="L29" i="57" s="1"/>
  <c r="AG28" i="57"/>
  <c r="J28" i="57"/>
  <c r="L28" i="57" s="1"/>
  <c r="AG27" i="57"/>
  <c r="J27" i="57"/>
  <c r="L27" i="57" s="1"/>
  <c r="AG26" i="57"/>
  <c r="J26" i="57"/>
  <c r="L26" i="57" s="1"/>
  <c r="AG25" i="57"/>
  <c r="J25" i="57"/>
  <c r="L25" i="57" s="1"/>
  <c r="AG24" i="57"/>
  <c r="J24" i="57"/>
  <c r="L24" i="57" s="1"/>
  <c r="AG23" i="57"/>
  <c r="U100" i="57"/>
  <c r="AJ4" i="57" s="1"/>
  <c r="J23" i="57"/>
  <c r="L23" i="57" s="1"/>
  <c r="AG22" i="57"/>
  <c r="J22" i="57"/>
  <c r="L22" i="57" s="1"/>
  <c r="AG21" i="57"/>
  <c r="J21" i="57"/>
  <c r="L21" i="57" s="1"/>
  <c r="AG20" i="57"/>
  <c r="J20" i="57"/>
  <c r="L20" i="57" s="1"/>
  <c r="AG19" i="57"/>
  <c r="J19" i="57"/>
  <c r="L19" i="57" s="1"/>
  <c r="AG18" i="57"/>
  <c r="J18" i="57"/>
  <c r="L18" i="57" s="1"/>
  <c r="AG17" i="57"/>
  <c r="J17" i="57"/>
  <c r="L17" i="57" s="1"/>
  <c r="AG16" i="57"/>
  <c r="J16" i="57"/>
  <c r="L16" i="57" s="1"/>
  <c r="AG15" i="57"/>
  <c r="J15" i="57"/>
  <c r="L15" i="57" s="1"/>
  <c r="AL14" i="57"/>
  <c r="AG14" i="57"/>
  <c r="J14" i="57"/>
  <c r="L14" i="57" s="1"/>
  <c r="AL13" i="57"/>
  <c r="AG13" i="57"/>
  <c r="J13" i="57"/>
  <c r="L13" i="57" s="1"/>
  <c r="AL12" i="57"/>
  <c r="AG12" i="57"/>
  <c r="J12" i="57"/>
  <c r="L12" i="57" s="1"/>
  <c r="AL11" i="57"/>
  <c r="AG11" i="57"/>
  <c r="J11" i="57"/>
  <c r="L11" i="57" s="1"/>
  <c r="AG10" i="57"/>
  <c r="J10" i="57"/>
  <c r="L10" i="57" s="1"/>
  <c r="AG9" i="57"/>
  <c r="J9" i="57"/>
  <c r="L9" i="57" s="1"/>
  <c r="AG8" i="57"/>
  <c r="J8" i="57"/>
  <c r="L8" i="57" s="1"/>
  <c r="J7" i="57"/>
  <c r="L7" i="57" s="1"/>
  <c r="AG6" i="57"/>
  <c r="J6" i="57"/>
  <c r="L6" i="57" s="1"/>
  <c r="AG5" i="57"/>
  <c r="G100" i="57"/>
  <c r="AG4" i="57"/>
  <c r="J4" i="57"/>
  <c r="L4" i="57" s="1"/>
  <c r="AG3" i="57"/>
  <c r="J3" i="57"/>
  <c r="L3" i="57" s="1"/>
  <c r="AG2" i="57"/>
  <c r="J2" i="57"/>
  <c r="L2" i="57" s="1"/>
  <c r="N13" i="56"/>
  <c r="N12" i="56"/>
  <c r="N11" i="56"/>
  <c r="N10" i="56"/>
  <c r="N9" i="56"/>
  <c r="N8" i="56"/>
  <c r="N7" i="56"/>
  <c r="N6" i="56"/>
  <c r="N5" i="56"/>
  <c r="N4" i="56"/>
  <c r="N23" i="56" s="1"/>
  <c r="I83" i="55" s="1"/>
  <c r="N3" i="56"/>
  <c r="I82" i="55"/>
  <c r="AB73" i="55"/>
  <c r="AB74" i="55"/>
  <c r="AB75" i="55"/>
  <c r="AB76" i="55"/>
  <c r="AB70" i="55"/>
  <c r="AB71" i="55"/>
  <c r="AB72" i="55"/>
  <c r="J70" i="55"/>
  <c r="L70" i="55" s="1"/>
  <c r="J71" i="55"/>
  <c r="L71" i="55" s="1"/>
  <c r="J72" i="55"/>
  <c r="L72" i="55" s="1"/>
  <c r="J73" i="55"/>
  <c r="L73" i="55" s="1"/>
  <c r="J74" i="55"/>
  <c r="L74" i="55" s="1"/>
  <c r="J75" i="55"/>
  <c r="L75" i="55" s="1"/>
  <c r="S44" i="55"/>
  <c r="U23" i="55"/>
  <c r="G7" i="55"/>
  <c r="Q7" i="55"/>
  <c r="S7" i="55"/>
  <c r="G5" i="55"/>
  <c r="Z19" i="56"/>
  <c r="Y19" i="56"/>
  <c r="X19" i="56"/>
  <c r="W19" i="56"/>
  <c r="V19" i="56"/>
  <c r="U19" i="56"/>
  <c r="K19" i="56"/>
  <c r="I19" i="56"/>
  <c r="G19" i="56"/>
  <c r="AG18" i="56"/>
  <c r="AF18" i="56"/>
  <c r="AE18" i="56"/>
  <c r="AD18" i="56"/>
  <c r="AC18" i="56"/>
  <c r="AB18" i="56"/>
  <c r="Q18" i="56"/>
  <c r="O18" i="56"/>
  <c r="N18" i="56"/>
  <c r="J18" i="56"/>
  <c r="P18" i="56" s="1"/>
  <c r="AG17" i="56"/>
  <c r="AF17" i="56"/>
  <c r="AE17" i="56"/>
  <c r="AD17" i="56"/>
  <c r="AC17" i="56"/>
  <c r="AB17" i="56"/>
  <c r="Q17" i="56"/>
  <c r="O17" i="56"/>
  <c r="N17" i="56"/>
  <c r="J17" i="56"/>
  <c r="P17" i="56" s="1"/>
  <c r="AG16" i="56"/>
  <c r="AF16" i="56"/>
  <c r="AE16" i="56"/>
  <c r="AD16" i="56"/>
  <c r="AC16" i="56"/>
  <c r="AB16" i="56"/>
  <c r="Q16" i="56"/>
  <c r="O16" i="56"/>
  <c r="N16" i="56"/>
  <c r="J16" i="56"/>
  <c r="P16" i="56" s="1"/>
  <c r="AG15" i="56"/>
  <c r="AF15" i="56"/>
  <c r="AE15" i="56"/>
  <c r="AD15" i="56"/>
  <c r="AC15" i="56"/>
  <c r="AB15" i="56"/>
  <c r="Q15" i="56"/>
  <c r="O15" i="56"/>
  <c r="N15" i="56"/>
  <c r="J15" i="56"/>
  <c r="P15" i="56" s="1"/>
  <c r="AG14" i="56"/>
  <c r="AF14" i="56"/>
  <c r="AE14" i="56"/>
  <c r="AD14" i="56"/>
  <c r="AC14" i="56"/>
  <c r="AB14" i="56"/>
  <c r="Q14" i="56"/>
  <c r="O14" i="56"/>
  <c r="N14" i="56"/>
  <c r="J14" i="56"/>
  <c r="P14" i="56" s="1"/>
  <c r="AG13" i="56"/>
  <c r="AF13" i="56"/>
  <c r="AE13" i="56"/>
  <c r="AD13" i="56"/>
  <c r="AC13" i="56"/>
  <c r="AB13" i="56"/>
  <c r="Q13" i="56"/>
  <c r="O13" i="56"/>
  <c r="J13" i="56"/>
  <c r="P13" i="56" s="1"/>
  <c r="AG12" i="56"/>
  <c r="AF12" i="56"/>
  <c r="AE12" i="56"/>
  <c r="AD12" i="56"/>
  <c r="AC12" i="56"/>
  <c r="AB12" i="56"/>
  <c r="Q12" i="56"/>
  <c r="O12" i="56"/>
  <c r="J12" i="56"/>
  <c r="P12" i="56" s="1"/>
  <c r="AG11" i="56"/>
  <c r="AF11" i="56"/>
  <c r="AE11" i="56"/>
  <c r="AD11" i="56"/>
  <c r="AC11" i="56"/>
  <c r="AB11" i="56"/>
  <c r="Q11" i="56"/>
  <c r="O11" i="56"/>
  <c r="J11" i="56"/>
  <c r="L11" i="56" s="1"/>
  <c r="R11" i="56" s="1"/>
  <c r="AG10" i="56"/>
  <c r="AF10" i="56"/>
  <c r="AE10" i="56"/>
  <c r="AD10" i="56"/>
  <c r="AC10" i="56"/>
  <c r="AB10" i="56"/>
  <c r="Q10" i="56"/>
  <c r="O10" i="56"/>
  <c r="J10" i="56"/>
  <c r="AG9" i="56"/>
  <c r="AF9" i="56"/>
  <c r="AE9" i="56"/>
  <c r="AD9" i="56"/>
  <c r="AC9" i="56"/>
  <c r="AB9" i="56"/>
  <c r="Q9" i="56"/>
  <c r="O9" i="56"/>
  <c r="AG8" i="56"/>
  <c r="AF8" i="56"/>
  <c r="AE8" i="56"/>
  <c r="AD8" i="56"/>
  <c r="AC8" i="56"/>
  <c r="AB8" i="56"/>
  <c r="Q8" i="56"/>
  <c r="O8" i="56"/>
  <c r="J8" i="56"/>
  <c r="P8" i="56" s="1"/>
  <c r="AG7" i="56"/>
  <c r="AF7" i="56"/>
  <c r="AE7" i="56"/>
  <c r="AD7" i="56"/>
  <c r="AC7" i="56"/>
  <c r="AB7" i="56"/>
  <c r="Q7" i="56"/>
  <c r="O7" i="56"/>
  <c r="AG6" i="56"/>
  <c r="AF6" i="56"/>
  <c r="AE6" i="56"/>
  <c r="AD6" i="56"/>
  <c r="AC6" i="56"/>
  <c r="AB6" i="56"/>
  <c r="Q6" i="56"/>
  <c r="O6" i="56"/>
  <c r="AG5" i="56"/>
  <c r="AF5" i="56"/>
  <c r="AE5" i="56"/>
  <c r="AD5" i="56"/>
  <c r="AC5" i="56"/>
  <c r="AB5" i="56"/>
  <c r="Q5" i="56"/>
  <c r="O5" i="56"/>
  <c r="J5" i="56"/>
  <c r="P5" i="56" s="1"/>
  <c r="AG4" i="56"/>
  <c r="AF4" i="56"/>
  <c r="AE4" i="56"/>
  <c r="AD4" i="56"/>
  <c r="AC4" i="56"/>
  <c r="AB4" i="56"/>
  <c r="Q4" i="56"/>
  <c r="O4" i="56"/>
  <c r="J4" i="56"/>
  <c r="P4" i="56" s="1"/>
  <c r="AG3" i="56"/>
  <c r="AF3" i="56"/>
  <c r="AE3" i="56"/>
  <c r="AD3" i="56"/>
  <c r="AC3" i="56"/>
  <c r="AB3" i="56"/>
  <c r="Q3" i="56"/>
  <c r="O3" i="56"/>
  <c r="P18" i="58" l="1"/>
  <c r="N23" i="58"/>
  <c r="I106" i="57" s="1"/>
  <c r="I107" i="57" s="1"/>
  <c r="L15" i="58"/>
  <c r="R15" i="58" s="1"/>
  <c r="L17" i="58"/>
  <c r="R17" i="58" s="1"/>
  <c r="N22" i="58"/>
  <c r="AD19" i="58"/>
  <c r="AK4" i="57" s="1"/>
  <c r="AL4" i="57" s="1"/>
  <c r="S100" i="57"/>
  <c r="AJ2" i="57" s="1"/>
  <c r="AL2" i="57" s="1"/>
  <c r="Z20" i="58"/>
  <c r="Z21" i="58" s="1"/>
  <c r="AE19" i="58"/>
  <c r="AK5" i="57" s="1"/>
  <c r="AL5" i="57" s="1"/>
  <c r="O19" i="58"/>
  <c r="Q19" i="58"/>
  <c r="AF19" i="58"/>
  <c r="AK15" i="57" s="1"/>
  <c r="AL15" i="57" s="1"/>
  <c r="AG19" i="58"/>
  <c r="AB19" i="58"/>
  <c r="AK6" i="57" s="1"/>
  <c r="AL6" i="57" s="1"/>
  <c r="AC19" i="58"/>
  <c r="AK3" i="57" s="1"/>
  <c r="P5" i="58"/>
  <c r="N19" i="58"/>
  <c r="P11" i="58"/>
  <c r="P4" i="58"/>
  <c r="J19" i="58"/>
  <c r="P8" i="58"/>
  <c r="L16" i="58"/>
  <c r="R16" i="58" s="1"/>
  <c r="L13" i="58"/>
  <c r="R13" i="58" s="1"/>
  <c r="L9" i="58"/>
  <c r="R9" i="58" s="1"/>
  <c r="L6" i="58"/>
  <c r="R6" i="58" s="1"/>
  <c r="L3" i="58"/>
  <c r="P12" i="58"/>
  <c r="L14" i="58"/>
  <c r="R14" i="58" s="1"/>
  <c r="L10" i="58"/>
  <c r="R10" i="58" s="1"/>
  <c r="L7" i="58"/>
  <c r="R7" i="58" s="1"/>
  <c r="P10" i="58"/>
  <c r="AL10" i="57"/>
  <c r="H105" i="57"/>
  <c r="AG100" i="57"/>
  <c r="J5" i="57"/>
  <c r="L5" i="57" s="1"/>
  <c r="L100" i="57" s="1"/>
  <c r="N22" i="56"/>
  <c r="H83" i="55" s="1"/>
  <c r="P11" i="56"/>
  <c r="Z20" i="56"/>
  <c r="AE19" i="56"/>
  <c r="AF19" i="56"/>
  <c r="AF11" i="55" s="1"/>
  <c r="AB19" i="56"/>
  <c r="AF6" i="55" s="1"/>
  <c r="AC19" i="56"/>
  <c r="AF3" i="55" s="1"/>
  <c r="AD19" i="56"/>
  <c r="AF10" i="55" s="1"/>
  <c r="AG19" i="56"/>
  <c r="AF12" i="55" s="1"/>
  <c r="Q19" i="56"/>
  <c r="O19" i="56"/>
  <c r="P10" i="56"/>
  <c r="L10" i="56"/>
  <c r="R10" i="56" s="1"/>
  <c r="N19" i="56"/>
  <c r="D83" i="55" s="1"/>
  <c r="L4" i="56"/>
  <c r="R4" i="56" s="1"/>
  <c r="J7" i="56"/>
  <c r="H19" i="56"/>
  <c r="L16" i="56"/>
  <c r="R16" i="56" s="1"/>
  <c r="L13" i="56"/>
  <c r="R13" i="56" s="1"/>
  <c r="J3" i="56"/>
  <c r="J6" i="56"/>
  <c r="J9" i="56"/>
  <c r="L18" i="56"/>
  <c r="R18" i="56" s="1"/>
  <c r="L15" i="56"/>
  <c r="R15" i="56" s="1"/>
  <c r="L12" i="56"/>
  <c r="R12" i="56" s="1"/>
  <c r="L5" i="56"/>
  <c r="R5" i="56" s="1"/>
  <c r="L8" i="56"/>
  <c r="R8" i="56" s="1"/>
  <c r="L17" i="56"/>
  <c r="R17" i="56" s="1"/>
  <c r="L14" i="56"/>
  <c r="R14" i="56" s="1"/>
  <c r="I84" i="55"/>
  <c r="AA77" i="55"/>
  <c r="AE10" i="55" s="1"/>
  <c r="AG15" i="55"/>
  <c r="AG13" i="55"/>
  <c r="Z77" i="55"/>
  <c r="AG11" i="55"/>
  <c r="Y77" i="55"/>
  <c r="X77" i="55"/>
  <c r="W77" i="55"/>
  <c r="AE6" i="55" s="1"/>
  <c r="V77" i="55"/>
  <c r="U77" i="55"/>
  <c r="AE4" i="55" s="1"/>
  <c r="T77" i="55"/>
  <c r="S77" i="55"/>
  <c r="AE2" i="55" s="1"/>
  <c r="AG2" i="55" s="1"/>
  <c r="Q77" i="55"/>
  <c r="P77" i="55"/>
  <c r="I77" i="55"/>
  <c r="H77" i="55"/>
  <c r="G77" i="55"/>
  <c r="AB69" i="55"/>
  <c r="J69" i="55"/>
  <c r="L69" i="55" s="1"/>
  <c r="AB68" i="55"/>
  <c r="J68" i="55"/>
  <c r="L68" i="55" s="1"/>
  <c r="AB67" i="55"/>
  <c r="J67" i="55"/>
  <c r="L67" i="55" s="1"/>
  <c r="AB66" i="55"/>
  <c r="J66" i="55"/>
  <c r="L66" i="55" s="1"/>
  <c r="AB65" i="55"/>
  <c r="J65" i="55"/>
  <c r="L65" i="55" s="1"/>
  <c r="AB64" i="55"/>
  <c r="J64" i="55"/>
  <c r="L64" i="55" s="1"/>
  <c r="AB63" i="55"/>
  <c r="J63" i="55"/>
  <c r="L63" i="55" s="1"/>
  <c r="AB62" i="55"/>
  <c r="J62" i="55"/>
  <c r="L62" i="55" s="1"/>
  <c r="AB61" i="55"/>
  <c r="J61" i="55"/>
  <c r="L61" i="55" s="1"/>
  <c r="AB60" i="55"/>
  <c r="J60" i="55"/>
  <c r="L60" i="55" s="1"/>
  <c r="AB59" i="55"/>
  <c r="J59" i="55"/>
  <c r="AB58" i="55"/>
  <c r="J58" i="55"/>
  <c r="L58" i="55" s="1"/>
  <c r="AB57" i="55"/>
  <c r="J57" i="55"/>
  <c r="L57" i="55" s="1"/>
  <c r="AB56" i="55"/>
  <c r="J56" i="55"/>
  <c r="L56" i="55" s="1"/>
  <c r="AB55" i="55"/>
  <c r="J55" i="55"/>
  <c r="L55" i="55" s="1"/>
  <c r="AB54" i="55"/>
  <c r="J54" i="55"/>
  <c r="L54" i="55" s="1"/>
  <c r="AB53" i="55"/>
  <c r="J53" i="55"/>
  <c r="L53" i="55" s="1"/>
  <c r="AB52" i="55"/>
  <c r="J52" i="55"/>
  <c r="L52" i="55" s="1"/>
  <c r="AB51" i="55"/>
  <c r="J51" i="55"/>
  <c r="L51" i="55" s="1"/>
  <c r="AB50" i="55"/>
  <c r="J50" i="55"/>
  <c r="L50" i="55" s="1"/>
  <c r="AB49" i="55"/>
  <c r="J49" i="55"/>
  <c r="L49" i="55" s="1"/>
  <c r="AB48" i="55"/>
  <c r="J48" i="55"/>
  <c r="L48" i="55" s="1"/>
  <c r="AB47" i="55"/>
  <c r="J47" i="55"/>
  <c r="L47" i="55" s="1"/>
  <c r="AB46" i="55"/>
  <c r="J46" i="55"/>
  <c r="L46" i="55" s="1"/>
  <c r="AB45" i="55"/>
  <c r="J45" i="55"/>
  <c r="L45" i="55" s="1"/>
  <c r="AB44" i="55"/>
  <c r="K77" i="55"/>
  <c r="J44" i="55"/>
  <c r="L44" i="55" s="1"/>
  <c r="AB43" i="55"/>
  <c r="J43" i="55"/>
  <c r="L43" i="55" s="1"/>
  <c r="AB42" i="55"/>
  <c r="J42" i="55"/>
  <c r="L42" i="55" s="1"/>
  <c r="AB41" i="55"/>
  <c r="J41" i="55"/>
  <c r="L41" i="55" s="1"/>
  <c r="AB40" i="55"/>
  <c r="J40" i="55"/>
  <c r="L40" i="55" s="1"/>
  <c r="AB39" i="55"/>
  <c r="J39" i="55"/>
  <c r="L39" i="55" s="1"/>
  <c r="AB38" i="55"/>
  <c r="J38" i="55"/>
  <c r="L38" i="55" s="1"/>
  <c r="AB37" i="55"/>
  <c r="J37" i="55"/>
  <c r="L37" i="55" s="1"/>
  <c r="AB36" i="55"/>
  <c r="J36" i="55"/>
  <c r="L36" i="55" s="1"/>
  <c r="AB35" i="55"/>
  <c r="J35" i="55"/>
  <c r="L35" i="55" s="1"/>
  <c r="AB34" i="55"/>
  <c r="J34" i="55"/>
  <c r="L34" i="55" s="1"/>
  <c r="AB33" i="55"/>
  <c r="J33" i="55"/>
  <c r="L33" i="55" s="1"/>
  <c r="AB32" i="55"/>
  <c r="J32" i="55"/>
  <c r="L32" i="55" s="1"/>
  <c r="AB31" i="55"/>
  <c r="J31" i="55"/>
  <c r="L31" i="55" s="1"/>
  <c r="AB30" i="55"/>
  <c r="J30" i="55"/>
  <c r="L30" i="55" s="1"/>
  <c r="AB29" i="55"/>
  <c r="J29" i="55"/>
  <c r="L29" i="55" s="1"/>
  <c r="AB28" i="55"/>
  <c r="J28" i="55"/>
  <c r="L28" i="55" s="1"/>
  <c r="AB27" i="55"/>
  <c r="J27" i="55"/>
  <c r="L27" i="55" s="1"/>
  <c r="AB26" i="55"/>
  <c r="J26" i="55"/>
  <c r="L26" i="55" s="1"/>
  <c r="AB25" i="55"/>
  <c r="J25" i="55"/>
  <c r="L25" i="55" s="1"/>
  <c r="AB24" i="55"/>
  <c r="J24" i="55"/>
  <c r="L24" i="55" s="1"/>
  <c r="AG23" i="55"/>
  <c r="AB23" i="55"/>
  <c r="J23" i="55"/>
  <c r="L23" i="55" s="1"/>
  <c r="AB22" i="55"/>
  <c r="J22" i="55"/>
  <c r="L22" i="55" s="1"/>
  <c r="AB21" i="55"/>
  <c r="J21" i="55"/>
  <c r="L21" i="55" s="1"/>
  <c r="AB20" i="55"/>
  <c r="J20" i="55"/>
  <c r="L20" i="55" s="1"/>
  <c r="AB19" i="55"/>
  <c r="J19" i="55"/>
  <c r="L19" i="55" s="1"/>
  <c r="AG18" i="55"/>
  <c r="AB18" i="55"/>
  <c r="J18" i="55"/>
  <c r="L18" i="55" s="1"/>
  <c r="AB17" i="55"/>
  <c r="J17" i="55"/>
  <c r="L17" i="55" s="1"/>
  <c r="AG16" i="55"/>
  <c r="AB16" i="55"/>
  <c r="J16" i="55"/>
  <c r="L16" i="55" s="1"/>
  <c r="AB15" i="55"/>
  <c r="J15" i="55"/>
  <c r="L15" i="55" s="1"/>
  <c r="AB14" i="55"/>
  <c r="J14" i="55"/>
  <c r="L14" i="55" s="1"/>
  <c r="AB13" i="55"/>
  <c r="J13" i="55"/>
  <c r="L13" i="55" s="1"/>
  <c r="AB12" i="55"/>
  <c r="J12" i="55"/>
  <c r="L12" i="55" s="1"/>
  <c r="AB11" i="55"/>
  <c r="J11" i="55"/>
  <c r="L11" i="55" s="1"/>
  <c r="AB10" i="55"/>
  <c r="J10" i="55"/>
  <c r="L10" i="55" s="1"/>
  <c r="AB9" i="55"/>
  <c r="J9" i="55"/>
  <c r="L9" i="55" s="1"/>
  <c r="AB8" i="55"/>
  <c r="J8" i="55"/>
  <c r="L8" i="55" s="1"/>
  <c r="AB7" i="55"/>
  <c r="J7" i="55"/>
  <c r="L7" i="55" s="1"/>
  <c r="AB6" i="55"/>
  <c r="J6" i="55"/>
  <c r="L6" i="55" s="1"/>
  <c r="AB5" i="55"/>
  <c r="J5" i="55"/>
  <c r="L5" i="55" s="1"/>
  <c r="AB4" i="55"/>
  <c r="J4" i="55"/>
  <c r="L4" i="55" s="1"/>
  <c r="AB3" i="55"/>
  <c r="J3" i="55"/>
  <c r="L3" i="55" s="1"/>
  <c r="AB2" i="55"/>
  <c r="J2" i="55"/>
  <c r="L2" i="55" s="1"/>
  <c r="H79" i="53"/>
  <c r="H80" i="53"/>
  <c r="J80" i="53" s="1"/>
  <c r="I79" i="53"/>
  <c r="AF74" i="53"/>
  <c r="AK15" i="53" s="1"/>
  <c r="AE74" i="53"/>
  <c r="AK17" i="53" s="1"/>
  <c r="AH69" i="53"/>
  <c r="AH68" i="53"/>
  <c r="AH67" i="53"/>
  <c r="AH66" i="53"/>
  <c r="AK17" i="57" l="1"/>
  <c r="H106" i="57"/>
  <c r="J106" i="57" s="1"/>
  <c r="K106" i="57" s="1"/>
  <c r="N25" i="58"/>
  <c r="AL3" i="57"/>
  <c r="AL17" i="57" s="1"/>
  <c r="AM2" i="57" s="1"/>
  <c r="D106" i="57"/>
  <c r="AG20" i="58"/>
  <c r="AG21" i="58" s="1"/>
  <c r="AJ17" i="57"/>
  <c r="P19" i="58"/>
  <c r="L19" i="58"/>
  <c r="R3" i="58"/>
  <c r="R19" i="58" s="1"/>
  <c r="J105" i="57"/>
  <c r="J100" i="57"/>
  <c r="AE5" i="55"/>
  <c r="AG5" i="55" s="1"/>
  <c r="AE7" i="55"/>
  <c r="AG7" i="55" s="1"/>
  <c r="AG10" i="55"/>
  <c r="AE8" i="55"/>
  <c r="AG8" i="55" s="1"/>
  <c r="AG12" i="55"/>
  <c r="AE9" i="55"/>
  <c r="AG9" i="55" s="1"/>
  <c r="AG4" i="55"/>
  <c r="AE3" i="55"/>
  <c r="AG3" i="55" s="1"/>
  <c r="AF24" i="55"/>
  <c r="AG17" i="55"/>
  <c r="AG14" i="55"/>
  <c r="AG6" i="55"/>
  <c r="H82" i="55"/>
  <c r="H84" i="55" s="1"/>
  <c r="Z21" i="56"/>
  <c r="AG20" i="56"/>
  <c r="AG21" i="56" s="1"/>
  <c r="P7" i="56"/>
  <c r="L7" i="56"/>
  <c r="R7" i="56" s="1"/>
  <c r="P9" i="56"/>
  <c r="L9" i="56"/>
  <c r="R9" i="56" s="1"/>
  <c r="P6" i="56"/>
  <c r="L6" i="56"/>
  <c r="R6" i="56" s="1"/>
  <c r="P3" i="56"/>
  <c r="L3" i="56"/>
  <c r="J19" i="56"/>
  <c r="AB77" i="55"/>
  <c r="L59" i="55"/>
  <c r="L77" i="55"/>
  <c r="J77" i="55"/>
  <c r="J83" i="55"/>
  <c r="K83" i="55" s="1"/>
  <c r="J69" i="53"/>
  <c r="L69" i="53" s="1"/>
  <c r="J68" i="53"/>
  <c r="J67" i="53"/>
  <c r="L67" i="53" s="1"/>
  <c r="J66" i="53"/>
  <c r="L66" i="53" s="1"/>
  <c r="H10" i="54"/>
  <c r="G10" i="54"/>
  <c r="I9" i="54"/>
  <c r="H7" i="54"/>
  <c r="H6" i="54"/>
  <c r="H3" i="54"/>
  <c r="J107" i="57" l="1"/>
  <c r="H107" i="57"/>
  <c r="K105" i="57"/>
  <c r="K107" i="57" s="1"/>
  <c r="AM13" i="57"/>
  <c r="AM15" i="57"/>
  <c r="AM4" i="57"/>
  <c r="AM11" i="57"/>
  <c r="AM10" i="57"/>
  <c r="AM5" i="57"/>
  <c r="AM7" i="57"/>
  <c r="AM6" i="57"/>
  <c r="AM14" i="57"/>
  <c r="AM9" i="57"/>
  <c r="AM8" i="57"/>
  <c r="AM3" i="57"/>
  <c r="AM12" i="57"/>
  <c r="AE24" i="55"/>
  <c r="H86" i="55"/>
  <c r="D82" i="55"/>
  <c r="J82" i="55"/>
  <c r="K82" i="55" s="1"/>
  <c r="K84" i="55" s="1"/>
  <c r="D84" i="55"/>
  <c r="P19" i="56"/>
  <c r="R3" i="56"/>
  <c r="R19" i="56" s="1"/>
  <c r="L19" i="56"/>
  <c r="AG24" i="55"/>
  <c r="AH2" i="55" s="1"/>
  <c r="L68" i="53"/>
  <c r="AH8" i="53"/>
  <c r="H19" i="54"/>
  <c r="AB11" i="54"/>
  <c r="AF18" i="54"/>
  <c r="AF17" i="54"/>
  <c r="AF16" i="54"/>
  <c r="AF15" i="54"/>
  <c r="AF14" i="54"/>
  <c r="AF13" i="54"/>
  <c r="AF12" i="54"/>
  <c r="AF11" i="54"/>
  <c r="AF10" i="54"/>
  <c r="AF9" i="54"/>
  <c r="AF8" i="54"/>
  <c r="AF7" i="54"/>
  <c r="AF6" i="54"/>
  <c r="AF5" i="54"/>
  <c r="AF4" i="54"/>
  <c r="AF3" i="54"/>
  <c r="Y19" i="54"/>
  <c r="AG18" i="54"/>
  <c r="AE18" i="54"/>
  <c r="AD18" i="54"/>
  <c r="AC18" i="54"/>
  <c r="AB18" i="54"/>
  <c r="Q18" i="54"/>
  <c r="O18" i="54"/>
  <c r="N18" i="54"/>
  <c r="J18" i="54"/>
  <c r="P18" i="54" s="1"/>
  <c r="AG17" i="54"/>
  <c r="AE17" i="54"/>
  <c r="AD17" i="54"/>
  <c r="AC17" i="54"/>
  <c r="AB17" i="54"/>
  <c r="Q17" i="54"/>
  <c r="O17" i="54"/>
  <c r="N17" i="54"/>
  <c r="J17" i="54"/>
  <c r="L17" i="54" s="1"/>
  <c r="R17" i="54" s="1"/>
  <c r="AG16" i="54"/>
  <c r="AE16" i="54"/>
  <c r="AD16" i="54"/>
  <c r="AC16" i="54"/>
  <c r="AB16" i="54"/>
  <c r="Q16" i="54"/>
  <c r="O16" i="54"/>
  <c r="AG15" i="54"/>
  <c r="AE15" i="54"/>
  <c r="AD15" i="54"/>
  <c r="AC15" i="54"/>
  <c r="AB15" i="54"/>
  <c r="Q15" i="54"/>
  <c r="O15" i="54"/>
  <c r="N15" i="54"/>
  <c r="J15" i="54"/>
  <c r="P15" i="54" s="1"/>
  <c r="AG14" i="54"/>
  <c r="AE14" i="54"/>
  <c r="AD14" i="54"/>
  <c r="AC14" i="54"/>
  <c r="AB14" i="54"/>
  <c r="Q14" i="54"/>
  <c r="O14" i="54"/>
  <c r="N14" i="54"/>
  <c r="J14" i="54"/>
  <c r="L14" i="54" s="1"/>
  <c r="R14" i="54" s="1"/>
  <c r="AG13" i="54"/>
  <c r="AE13" i="54"/>
  <c r="AD13" i="54"/>
  <c r="AC13" i="54"/>
  <c r="AB13" i="54"/>
  <c r="Q13" i="54"/>
  <c r="O13" i="54"/>
  <c r="N13" i="54"/>
  <c r="J13" i="54"/>
  <c r="P13" i="54" s="1"/>
  <c r="AG12" i="54"/>
  <c r="AE12" i="54"/>
  <c r="AD12" i="54"/>
  <c r="AC12" i="54"/>
  <c r="AB12" i="54"/>
  <c r="Q12" i="54"/>
  <c r="O12" i="54"/>
  <c r="N12" i="54"/>
  <c r="J12" i="54"/>
  <c r="P12" i="54" s="1"/>
  <c r="AG11" i="54"/>
  <c r="AE11" i="54"/>
  <c r="AD11" i="54"/>
  <c r="AC11" i="54"/>
  <c r="Q11" i="54"/>
  <c r="O11" i="54"/>
  <c r="N11" i="54"/>
  <c r="J11" i="54"/>
  <c r="L11" i="54" s="1"/>
  <c r="R11" i="54" s="1"/>
  <c r="AG10" i="54"/>
  <c r="AE10" i="54"/>
  <c r="AD10" i="54"/>
  <c r="AC10" i="54"/>
  <c r="AB10" i="54"/>
  <c r="Q10" i="54"/>
  <c r="O10" i="54"/>
  <c r="N10" i="54"/>
  <c r="J10" i="54"/>
  <c r="P10" i="54" s="1"/>
  <c r="AG9" i="54"/>
  <c r="AE9" i="54"/>
  <c r="AD9" i="54"/>
  <c r="AC9" i="54"/>
  <c r="AB9" i="54"/>
  <c r="Q9" i="54"/>
  <c r="O9" i="54"/>
  <c r="N9" i="54"/>
  <c r="J9" i="54"/>
  <c r="P9" i="54" s="1"/>
  <c r="AG8" i="54"/>
  <c r="AE8" i="54"/>
  <c r="AD8" i="54"/>
  <c r="AC8" i="54"/>
  <c r="AB8" i="54"/>
  <c r="Q8" i="54"/>
  <c r="O8" i="54"/>
  <c r="N8" i="54"/>
  <c r="J8" i="54"/>
  <c r="P8" i="54" s="1"/>
  <c r="Z19" i="54"/>
  <c r="X19" i="54"/>
  <c r="W19" i="54"/>
  <c r="V19" i="54"/>
  <c r="K19" i="54"/>
  <c r="G19" i="54"/>
  <c r="AG7" i="54"/>
  <c r="AE7" i="54"/>
  <c r="AD7" i="54"/>
  <c r="AC7" i="54"/>
  <c r="AB7" i="54"/>
  <c r="Q7" i="54"/>
  <c r="O7" i="54"/>
  <c r="J7" i="54"/>
  <c r="P7" i="54" s="1"/>
  <c r="N7" i="54"/>
  <c r="AG6" i="54"/>
  <c r="AE6" i="54"/>
  <c r="AD6" i="54"/>
  <c r="AC6" i="54"/>
  <c r="AB6" i="54"/>
  <c r="Q6" i="54"/>
  <c r="N6" i="54"/>
  <c r="AG5" i="54"/>
  <c r="AE5" i="54"/>
  <c r="AD5" i="54"/>
  <c r="AC5" i="54"/>
  <c r="AB5" i="54"/>
  <c r="Q5" i="54"/>
  <c r="O5" i="54"/>
  <c r="N5" i="54"/>
  <c r="J5" i="54"/>
  <c r="L5" i="54" s="1"/>
  <c r="R5" i="54" s="1"/>
  <c r="AG4" i="54"/>
  <c r="AE4" i="54"/>
  <c r="AD4" i="54"/>
  <c r="AC4" i="54"/>
  <c r="AB4" i="54"/>
  <c r="Q4" i="54"/>
  <c r="O4" i="54"/>
  <c r="AG3" i="54"/>
  <c r="AE3" i="54"/>
  <c r="AD3" i="54"/>
  <c r="AC3" i="54"/>
  <c r="AB3" i="54"/>
  <c r="Q3" i="54"/>
  <c r="O3" i="54"/>
  <c r="N3" i="54"/>
  <c r="I80" i="53" s="1"/>
  <c r="J3" i="54"/>
  <c r="L3" i="54" s="1"/>
  <c r="AH63" i="53"/>
  <c r="AH43" i="53"/>
  <c r="AH42" i="53"/>
  <c r="AH41" i="53"/>
  <c r="AH40" i="53"/>
  <c r="AH38" i="53"/>
  <c r="AH36" i="53"/>
  <c r="AH20" i="53"/>
  <c r="AH19" i="53"/>
  <c r="AH17" i="53"/>
  <c r="AH13" i="53"/>
  <c r="AH9" i="53"/>
  <c r="Y74" i="53"/>
  <c r="AK8" i="53" s="1"/>
  <c r="AD74" i="53"/>
  <c r="AC74" i="53"/>
  <c r="AB74" i="53"/>
  <c r="Z74" i="53"/>
  <c r="AK9" i="53" s="1"/>
  <c r="AM9" i="53" s="1"/>
  <c r="X74" i="53"/>
  <c r="AK7" i="53" s="1"/>
  <c r="AM7" i="53" s="1"/>
  <c r="W74" i="53"/>
  <c r="AK6" i="53" s="1"/>
  <c r="V74" i="53"/>
  <c r="AK5" i="53" s="1"/>
  <c r="AM5" i="53" s="1"/>
  <c r="U74" i="53"/>
  <c r="AK4" i="53" s="1"/>
  <c r="AM4" i="53" s="1"/>
  <c r="T74" i="53"/>
  <c r="AK3" i="53" s="1"/>
  <c r="AM3" i="53" s="1"/>
  <c r="S74" i="53"/>
  <c r="AK2" i="53" s="1"/>
  <c r="Q74" i="53"/>
  <c r="AH24" i="53"/>
  <c r="AH25" i="53"/>
  <c r="AH26" i="53"/>
  <c r="AH27" i="53"/>
  <c r="AH28" i="53"/>
  <c r="AH30" i="53"/>
  <c r="AH33" i="53"/>
  <c r="AH34" i="53"/>
  <c r="AH39" i="53"/>
  <c r="AH57" i="53"/>
  <c r="AH61" i="53"/>
  <c r="AH64" i="53"/>
  <c r="J17" i="53"/>
  <c r="L17" i="53" s="1"/>
  <c r="AH62" i="53"/>
  <c r="AH59" i="53"/>
  <c r="AH58" i="53"/>
  <c r="AH46" i="53"/>
  <c r="J33" i="53"/>
  <c r="L33" i="53" s="1"/>
  <c r="J53" i="53"/>
  <c r="L53" i="53" s="1"/>
  <c r="P74" i="53"/>
  <c r="AG74" i="53"/>
  <c r="AK14" i="53" s="1"/>
  <c r="AA74" i="53"/>
  <c r="AK10" i="53" s="1"/>
  <c r="AM10" i="53" s="1"/>
  <c r="AH73" i="53"/>
  <c r="AH65" i="53"/>
  <c r="AH53" i="53"/>
  <c r="AH52" i="53"/>
  <c r="AH37" i="53"/>
  <c r="AH29" i="53"/>
  <c r="AM23" i="53"/>
  <c r="AM18" i="53"/>
  <c r="D105" i="57" l="1"/>
  <c r="D107" i="57" s="1"/>
  <c r="H109" i="57"/>
  <c r="AM17" i="57"/>
  <c r="J84" i="55"/>
  <c r="AH13" i="55"/>
  <c r="AH18" i="55"/>
  <c r="AH7" i="55"/>
  <c r="AH17" i="55"/>
  <c r="AH15" i="55"/>
  <c r="AH14" i="55"/>
  <c r="AH9" i="55"/>
  <c r="AH3" i="55"/>
  <c r="AH23" i="55"/>
  <c r="AH10" i="55"/>
  <c r="AH4" i="55"/>
  <c r="AH16" i="55"/>
  <c r="AH5" i="55"/>
  <c r="AH11" i="55"/>
  <c r="AH8" i="55"/>
  <c r="AH6" i="55"/>
  <c r="AH12" i="55"/>
  <c r="AK11" i="53"/>
  <c r="AM11" i="53" s="1"/>
  <c r="AK12" i="53"/>
  <c r="AM12" i="53" s="1"/>
  <c r="AK13" i="53"/>
  <c r="AM13" i="53" s="1"/>
  <c r="J16" i="54"/>
  <c r="L16" i="54" s="1"/>
  <c r="R16" i="54" s="1"/>
  <c r="N16" i="54"/>
  <c r="AF19" i="54"/>
  <c r="L15" i="54"/>
  <c r="R15" i="54" s="1"/>
  <c r="P17" i="54"/>
  <c r="P11" i="54"/>
  <c r="L10" i="54"/>
  <c r="R10" i="54" s="1"/>
  <c r="L12" i="54"/>
  <c r="R12" i="54" s="1"/>
  <c r="P14" i="54"/>
  <c r="L9" i="54"/>
  <c r="R9" i="54" s="1"/>
  <c r="L8" i="54"/>
  <c r="R8" i="54" s="1"/>
  <c r="L13" i="54"/>
  <c r="R13" i="54" s="1"/>
  <c r="L18" i="54"/>
  <c r="R18" i="54" s="1"/>
  <c r="AD19" i="54"/>
  <c r="AC19" i="54"/>
  <c r="AE19" i="54"/>
  <c r="AL2" i="53" s="1"/>
  <c r="AG19" i="54"/>
  <c r="AB19" i="54"/>
  <c r="Q19" i="54"/>
  <c r="P5" i="54"/>
  <c r="P3" i="54"/>
  <c r="R3" i="54"/>
  <c r="N4" i="54"/>
  <c r="N19" i="54" s="1"/>
  <c r="D80" i="53" s="1"/>
  <c r="U19" i="54"/>
  <c r="Z20" i="54" s="1"/>
  <c r="Z21" i="54" s="1"/>
  <c r="J4" i="54"/>
  <c r="L7" i="54"/>
  <c r="R7" i="54" s="1"/>
  <c r="J13" i="53"/>
  <c r="L13" i="53" s="1"/>
  <c r="J12" i="53"/>
  <c r="L12" i="53" s="1"/>
  <c r="J52" i="53"/>
  <c r="L52" i="53" s="1"/>
  <c r="J37" i="53"/>
  <c r="L37" i="53" s="1"/>
  <c r="J57" i="53"/>
  <c r="L57" i="53" s="1"/>
  <c r="J18" i="53"/>
  <c r="L18" i="53" s="1"/>
  <c r="J49" i="53"/>
  <c r="L49" i="53" s="1"/>
  <c r="J26" i="53"/>
  <c r="L26" i="53" s="1"/>
  <c r="AH6" i="53"/>
  <c r="AH55" i="53"/>
  <c r="AH31" i="53"/>
  <c r="AH11" i="53"/>
  <c r="AH12" i="53"/>
  <c r="AH32" i="53"/>
  <c r="AH10" i="53"/>
  <c r="AH7" i="53"/>
  <c r="AH35" i="53"/>
  <c r="AH15" i="53"/>
  <c r="AH4" i="53"/>
  <c r="AH2" i="53"/>
  <c r="J65" i="53"/>
  <c r="L65" i="53" s="1"/>
  <c r="AH45" i="53"/>
  <c r="AH47" i="53"/>
  <c r="AH49" i="53"/>
  <c r="AH50" i="53"/>
  <c r="AH48" i="53"/>
  <c r="J9" i="53"/>
  <c r="L9" i="53" s="1"/>
  <c r="J29" i="53"/>
  <c r="L29" i="53" s="1"/>
  <c r="AH54" i="53"/>
  <c r="J30" i="53"/>
  <c r="L30" i="53" s="1"/>
  <c r="J50" i="53"/>
  <c r="L50" i="53" s="1"/>
  <c r="AH51" i="53"/>
  <c r="J10" i="53"/>
  <c r="L10" i="53" s="1"/>
  <c r="AH5" i="53"/>
  <c r="J11" i="53"/>
  <c r="L11" i="53" s="1"/>
  <c r="J31" i="53"/>
  <c r="L31" i="53" s="1"/>
  <c r="J64" i="53"/>
  <c r="L64" i="53" s="1"/>
  <c r="J45" i="53"/>
  <c r="L45" i="53" s="1"/>
  <c r="AH60" i="53"/>
  <c r="I74" i="53"/>
  <c r="H74" i="53"/>
  <c r="K74" i="53"/>
  <c r="J25" i="53"/>
  <c r="L25" i="53" s="1"/>
  <c r="J44" i="53"/>
  <c r="L44" i="53" s="1"/>
  <c r="J48" i="53"/>
  <c r="L48" i="53" s="1"/>
  <c r="J28" i="53"/>
  <c r="L28" i="53" s="1"/>
  <c r="J8" i="53"/>
  <c r="L8" i="53" s="1"/>
  <c r="J16" i="53"/>
  <c r="L16" i="53" s="1"/>
  <c r="J36" i="53"/>
  <c r="L36" i="53" s="1"/>
  <c r="J56" i="53"/>
  <c r="L56" i="53" s="1"/>
  <c r="J27" i="53"/>
  <c r="L27" i="53" s="1"/>
  <c r="J6" i="53"/>
  <c r="L6" i="53" s="1"/>
  <c r="J32" i="53"/>
  <c r="L32" i="53" s="1"/>
  <c r="J46" i="53"/>
  <c r="L46" i="53" s="1"/>
  <c r="J51" i="53"/>
  <c r="L51" i="53" s="1"/>
  <c r="J47" i="53"/>
  <c r="L47" i="53" s="1"/>
  <c r="J7" i="53"/>
  <c r="L7" i="53" s="1"/>
  <c r="J3" i="53"/>
  <c r="L3" i="53" s="1"/>
  <c r="J23" i="53"/>
  <c r="L23" i="53" s="1"/>
  <c r="J43" i="53"/>
  <c r="L43" i="53" s="1"/>
  <c r="J61" i="53"/>
  <c r="L61" i="53" s="1"/>
  <c r="J21" i="53"/>
  <c r="L21" i="53" s="1"/>
  <c r="AH21" i="53"/>
  <c r="AH3" i="53"/>
  <c r="AH44" i="53"/>
  <c r="AH56" i="53"/>
  <c r="J58" i="53"/>
  <c r="L58" i="53" s="1"/>
  <c r="J38" i="53"/>
  <c r="L38" i="53" s="1"/>
  <c r="AH16" i="53"/>
  <c r="AH18" i="53"/>
  <c r="J55" i="53"/>
  <c r="L55" i="53" s="1"/>
  <c r="J60" i="53"/>
  <c r="L60" i="53" s="1"/>
  <c r="J40" i="53"/>
  <c r="L40" i="53" s="1"/>
  <c r="J20" i="53"/>
  <c r="L20" i="53" s="1"/>
  <c r="J19" i="53"/>
  <c r="L19" i="53" s="1"/>
  <c r="AH14" i="53"/>
  <c r="AH23" i="53"/>
  <c r="J34" i="53"/>
  <c r="L34" i="53" s="1"/>
  <c r="J15" i="53"/>
  <c r="L15" i="53" s="1"/>
  <c r="J42" i="53"/>
  <c r="L42" i="53" s="1"/>
  <c r="J54" i="53"/>
  <c r="L54" i="53" s="1"/>
  <c r="J63" i="53"/>
  <c r="L63" i="53" s="1"/>
  <c r="J39" i="53"/>
  <c r="L39" i="53" s="1"/>
  <c r="J4" i="53"/>
  <c r="L4" i="53" s="1"/>
  <c r="J5" i="53"/>
  <c r="L5" i="53" s="1"/>
  <c r="J24" i="53"/>
  <c r="L24" i="53" s="1"/>
  <c r="J35" i="53"/>
  <c r="L35" i="53" s="1"/>
  <c r="J59" i="53"/>
  <c r="L59" i="53" s="1"/>
  <c r="J62" i="53"/>
  <c r="L62" i="53" s="1"/>
  <c r="J22" i="53"/>
  <c r="L22" i="53" s="1"/>
  <c r="J41" i="53"/>
  <c r="L41" i="53" s="1"/>
  <c r="J14" i="53"/>
  <c r="L14" i="53" s="1"/>
  <c r="G74" i="53"/>
  <c r="J2" i="53"/>
  <c r="L2" i="53" s="1"/>
  <c r="AH22" i="53"/>
  <c r="AH24" i="55" l="1"/>
  <c r="AL14" i="53"/>
  <c r="AM14" i="53" s="1"/>
  <c r="AM15" i="53"/>
  <c r="AL6" i="53"/>
  <c r="AM6" i="53" s="1"/>
  <c r="AL16" i="53"/>
  <c r="AM16" i="53" s="1"/>
  <c r="AL8" i="53"/>
  <c r="AM8" i="53" s="1"/>
  <c r="AL17" i="53"/>
  <c r="AM17" i="53" s="1"/>
  <c r="P16" i="54"/>
  <c r="AM2" i="53"/>
  <c r="AK24" i="53"/>
  <c r="AG20" i="54"/>
  <c r="AG21" i="54" s="1"/>
  <c r="I19" i="54"/>
  <c r="O6" i="54"/>
  <c r="O19" i="54" s="1"/>
  <c r="J6" i="54"/>
  <c r="L4" i="54"/>
  <c r="P4" i="54"/>
  <c r="J79" i="53"/>
  <c r="J81" i="53" s="1"/>
  <c r="AH74" i="53"/>
  <c r="L74" i="53"/>
  <c r="J74" i="53"/>
  <c r="AM24" i="53" l="1"/>
  <c r="AL24" i="53"/>
  <c r="K80" i="53"/>
  <c r="I81" i="53"/>
  <c r="AN2" i="53"/>
  <c r="R4" i="54"/>
  <c r="P6" i="54"/>
  <c r="P19" i="54" s="1"/>
  <c r="L6" i="54"/>
  <c r="R6" i="54" s="1"/>
  <c r="J19" i="54"/>
  <c r="H81" i="53"/>
  <c r="K79" i="53"/>
  <c r="AN12" i="53"/>
  <c r="AN15" i="53"/>
  <c r="AN23" i="53"/>
  <c r="AN7" i="53"/>
  <c r="AN3" i="53"/>
  <c r="AN10" i="53"/>
  <c r="AN17" i="53"/>
  <c r="AN18" i="53"/>
  <c r="AN14" i="53"/>
  <c r="AN4" i="53"/>
  <c r="AN11" i="53"/>
  <c r="AN6" i="53"/>
  <c r="AN13" i="53"/>
  <c r="AN9" i="53"/>
  <c r="AN16" i="53"/>
  <c r="AN5" i="53"/>
  <c r="AN8" i="53"/>
  <c r="D79" i="53" l="1"/>
  <c r="D81" i="53" s="1"/>
  <c r="K81" i="53"/>
  <c r="L19" i="54"/>
  <c r="R19" i="54"/>
  <c r="H83" i="53"/>
  <c r="AN24" i="53"/>
</calcChain>
</file>

<file path=xl/sharedStrings.xml><?xml version="1.0" encoding="utf-8"?>
<sst xmlns="http://schemas.openxmlformats.org/spreadsheetml/2006/main" count="7841" uniqueCount="2447">
  <si>
    <t>SERVICIOS LOGISTICOS</t>
  </si>
  <si>
    <t xml:space="preserve">HONORARIOS </t>
  </si>
  <si>
    <t>RECONOCIMIENTO ADUANERO</t>
  </si>
  <si>
    <t xml:space="preserve">LIBERACION DE DOCUMENTOS </t>
  </si>
  <si>
    <t xml:space="preserve">SERVICIO EXTRAORDINARIO </t>
  </si>
  <si>
    <t>SERVICIOS COMPLEMENTARIOS</t>
  </si>
  <si>
    <t>SERIE</t>
  </si>
  <si>
    <t>FACTURA</t>
  </si>
  <si>
    <t>TRAFICO</t>
  </si>
  <si>
    <t>FECHA</t>
  </si>
  <si>
    <t>CLIENTE</t>
  </si>
  <si>
    <t>CLIENTENOMBRE</t>
  </si>
  <si>
    <t>COMPROBADOS</t>
  </si>
  <si>
    <t>COMPLEMENTARIOS</t>
  </si>
  <si>
    <t>IVA</t>
  </si>
  <si>
    <t>SUBTOTAL</t>
  </si>
  <si>
    <t>ANTICIPO</t>
  </si>
  <si>
    <t>TOTAL</t>
  </si>
  <si>
    <t>TIPOCAMBIO</t>
  </si>
  <si>
    <t>MONEDA</t>
  </si>
  <si>
    <t>C0024</t>
  </si>
  <si>
    <t>SELLOS Y RETENES DE SAN LUIS</t>
  </si>
  <si>
    <t>C0002</t>
  </si>
  <si>
    <t>TOTAL MXN</t>
  </si>
  <si>
    <t>TOTAL USD</t>
  </si>
  <si>
    <t>BASE 16%</t>
  </si>
  <si>
    <t>BASE 0%</t>
  </si>
  <si>
    <t>IVA 16%</t>
  </si>
  <si>
    <t>T O T A L</t>
  </si>
  <si>
    <t>TOTAL FACTURADOS</t>
  </si>
  <si>
    <t>TOTAL FACTURACION</t>
  </si>
  <si>
    <t>TOTAL SAT</t>
  </si>
  <si>
    <t>( vs )</t>
  </si>
  <si>
    <t>( = )</t>
  </si>
  <si>
    <t>DIFERENCIA</t>
  </si>
  <si>
    <t>MXN</t>
  </si>
  <si>
    <t>USD</t>
  </si>
  <si>
    <t>CLIENTE NOMBRE</t>
  </si>
  <si>
    <t>INFORMACION EN USD</t>
  </si>
  <si>
    <t>INFORMACION EN MXN</t>
  </si>
  <si>
    <t>C0001</t>
  </si>
  <si>
    <t>ARMOR MEXICO IMAGING SUPPLIES</t>
  </si>
  <si>
    <t>C0004</t>
  </si>
  <si>
    <t>ALMACENAJES</t>
  </si>
  <si>
    <t>IMPUESTOS ADUANALES (TER)</t>
  </si>
  <si>
    <t xml:space="preserve">NAPS-GUANAJUATO CAM </t>
  </si>
  <si>
    <t>CONSOLIDACION DE ENTRADAS</t>
  </si>
  <si>
    <t xml:space="preserve">CUOTA </t>
  </si>
  <si>
    <t xml:space="preserve">CERTIFICADO DE ORIGEN </t>
  </si>
  <si>
    <t xml:space="preserve">NAPS-GUANAJUATO AMERICAN BOA </t>
  </si>
  <si>
    <t xml:space="preserve">REVALIDACION GUIA / BOL </t>
  </si>
  <si>
    <t xml:space="preserve">DEMORAS </t>
  </si>
  <si>
    <t xml:space="preserve">GASTOS EN DESTINO </t>
  </si>
  <si>
    <t>C0069</t>
  </si>
  <si>
    <t>MANIOBRAS</t>
  </si>
  <si>
    <t xml:space="preserve">LIMPIEZA DE CONTENEDOR </t>
  </si>
  <si>
    <t>ND AUTOMOTIVE SYSTEMS MEXICO</t>
  </si>
  <si>
    <t>C0067</t>
  </si>
  <si>
    <t xml:space="preserve">DOCUMENTACION, ALMACENAJES Y MANIOBRAS ( TER) </t>
  </si>
  <si>
    <t>PORCENTAJE</t>
  </si>
  <si>
    <t xml:space="preserve">SERVICIO LOGISTICO </t>
  </si>
  <si>
    <t>C0084</t>
  </si>
  <si>
    <t>CGL24102159</t>
  </si>
  <si>
    <t>CGL24082033</t>
  </si>
  <si>
    <t>CGL24112312</t>
  </si>
  <si>
    <t>CGL24122402</t>
  </si>
  <si>
    <t>2-002317</t>
  </si>
  <si>
    <t>CGL24122374</t>
  </si>
  <si>
    <t>2-002318</t>
  </si>
  <si>
    <t>CGL24112354</t>
  </si>
  <si>
    <t>1-002319</t>
  </si>
  <si>
    <t>CGL24122437</t>
  </si>
  <si>
    <t>1-002320</t>
  </si>
  <si>
    <t>CGL24122431</t>
  </si>
  <si>
    <t>2-002321</t>
  </si>
  <si>
    <t>CGL24122391</t>
  </si>
  <si>
    <t>2-002322</t>
  </si>
  <si>
    <t>CGL24122418</t>
  </si>
  <si>
    <t>1-002323</t>
  </si>
  <si>
    <t>CGL24112348</t>
  </si>
  <si>
    <t>1-002324</t>
  </si>
  <si>
    <t>CGL24122383</t>
  </si>
  <si>
    <t>2-002325</t>
  </si>
  <si>
    <t>1-002326</t>
  </si>
  <si>
    <t>CGL24122395</t>
  </si>
  <si>
    <t>1-002327</t>
  </si>
  <si>
    <t>CGL24122396</t>
  </si>
  <si>
    <t>1-002328</t>
  </si>
  <si>
    <t>CGL24122392</t>
  </si>
  <si>
    <t>2-002329</t>
  </si>
  <si>
    <t>1-002330</t>
  </si>
  <si>
    <t>CGL24122433</t>
  </si>
  <si>
    <t>1-002331</t>
  </si>
  <si>
    <t>CGL24122379</t>
  </si>
  <si>
    <t>1-002332</t>
  </si>
  <si>
    <t>CGL24122390</t>
  </si>
  <si>
    <t>2-002333</t>
  </si>
  <si>
    <t>CGL24122417</t>
  </si>
  <si>
    <t>1-002335</t>
  </si>
  <si>
    <t>CGL24122414</t>
  </si>
  <si>
    <t>2-002336</t>
  </si>
  <si>
    <t>CGL25012441</t>
  </si>
  <si>
    <t>2-002337</t>
  </si>
  <si>
    <t>CGL25012442</t>
  </si>
  <si>
    <t>2-002338</t>
  </si>
  <si>
    <t>CGL25012452</t>
  </si>
  <si>
    <t>2-002339</t>
  </si>
  <si>
    <t>CGL24122420</t>
  </si>
  <si>
    <t>2-002340</t>
  </si>
  <si>
    <t>CGL24122385</t>
  </si>
  <si>
    <t>2-002341</t>
  </si>
  <si>
    <t>CGL24122384</t>
  </si>
  <si>
    <t>2-002342</t>
  </si>
  <si>
    <t>CGL25012444</t>
  </si>
  <si>
    <t>2-002343</t>
  </si>
  <si>
    <t>CGL24122434</t>
  </si>
  <si>
    <t>1-002344</t>
  </si>
  <si>
    <t>CGL24122393</t>
  </si>
  <si>
    <t>1-002345</t>
  </si>
  <si>
    <t>CGL25012457</t>
  </si>
  <si>
    <t>2-002346</t>
  </si>
  <si>
    <t>CGL24122428</t>
  </si>
  <si>
    <t>2-002347</t>
  </si>
  <si>
    <t>CGL24122429</t>
  </si>
  <si>
    <t>2-002348</t>
  </si>
  <si>
    <t>CGL24122404</t>
  </si>
  <si>
    <t>1-002349</t>
  </si>
  <si>
    <t>CGL25012465</t>
  </si>
  <si>
    <t>2-002350</t>
  </si>
  <si>
    <t>CGL25012440</t>
  </si>
  <si>
    <t>1-002351</t>
  </si>
  <si>
    <t>CGL25012474</t>
  </si>
  <si>
    <t>2-002352</t>
  </si>
  <si>
    <t>CGL25012461</t>
  </si>
  <si>
    <t>1-002353</t>
  </si>
  <si>
    <t>CGL25012443</t>
  </si>
  <si>
    <t>1-002354</t>
  </si>
  <si>
    <t>CGL25012496</t>
  </si>
  <si>
    <t>1-002355</t>
  </si>
  <si>
    <t>1-002359</t>
  </si>
  <si>
    <t>CGL25012495</t>
  </si>
  <si>
    <t>2-002361</t>
  </si>
  <si>
    <t>CGL25012489</t>
  </si>
  <si>
    <t>2-002362</t>
  </si>
  <si>
    <t>CGL25012497</t>
  </si>
  <si>
    <t>1-002363</t>
  </si>
  <si>
    <t>CGL24112355</t>
  </si>
  <si>
    <t>CGL24122435</t>
  </si>
  <si>
    <t>CGL24122430</t>
  </si>
  <si>
    <t>CGL24122432</t>
  </si>
  <si>
    <t>1-002334</t>
  </si>
  <si>
    <t>2-002356</t>
  </si>
  <si>
    <t>2-002357</t>
  </si>
  <si>
    <t>1-002358</t>
  </si>
  <si>
    <t>1-002360</t>
  </si>
  <si>
    <t>CHEMICAL COLOR DE MEXICO</t>
  </si>
  <si>
    <t xml:space="preserve">JOINT PRODUCTION TECTRAN </t>
  </si>
  <si>
    <t>C0089</t>
  </si>
  <si>
    <t>2-002364</t>
  </si>
  <si>
    <t>2-002365</t>
  </si>
  <si>
    <t>2-002366</t>
  </si>
  <si>
    <t>2-002367</t>
  </si>
  <si>
    <t>2-002368</t>
  </si>
  <si>
    <t>1-002369</t>
  </si>
  <si>
    <t>1-002370</t>
  </si>
  <si>
    <t>2-002371</t>
  </si>
  <si>
    <t>2-002372</t>
  </si>
  <si>
    <t>2-002373</t>
  </si>
  <si>
    <t>1-002374</t>
  </si>
  <si>
    <t>1-002375</t>
  </si>
  <si>
    <t>2-002376</t>
  </si>
  <si>
    <t>1-002377</t>
  </si>
  <si>
    <t>1-002378</t>
  </si>
  <si>
    <t>2-002379</t>
  </si>
  <si>
    <t>2-002383</t>
  </si>
  <si>
    <t>CGL25012450</t>
  </si>
  <si>
    <t>CGL25012468</t>
  </si>
  <si>
    <t>CGL25012481</t>
  </si>
  <si>
    <t>CGL25012478</t>
  </si>
  <si>
    <t>CGL25012449</t>
  </si>
  <si>
    <t>CGL24122421</t>
  </si>
  <si>
    <t>CGL24122436</t>
  </si>
  <si>
    <t>CGL25012487</t>
  </si>
  <si>
    <t>CGL25012486</t>
  </si>
  <si>
    <t>CGL25012471</t>
  </si>
  <si>
    <t>CGL25012439</t>
  </si>
  <si>
    <t>CGL25012485</t>
  </si>
  <si>
    <t>CGL24122407</t>
  </si>
  <si>
    <t>CGL25012473</t>
  </si>
  <si>
    <t>CGL25012494</t>
  </si>
  <si>
    <t>CGL25012498</t>
  </si>
  <si>
    <t>CGL25012482</t>
  </si>
  <si>
    <t>CGL25012470</t>
  </si>
  <si>
    <t>CGL24122397</t>
  </si>
  <si>
    <t>CGL24071864</t>
  </si>
  <si>
    <t>2-002380</t>
  </si>
  <si>
    <t>1-002381</t>
  </si>
  <si>
    <t>1-002382</t>
  </si>
  <si>
    <t>C0081</t>
  </si>
  <si>
    <t xml:space="preserve">JOINT PRODUCTION HONOR </t>
  </si>
  <si>
    <t>JOINT PRODUCTION BLACK SMITH</t>
  </si>
  <si>
    <t>2-002384</t>
  </si>
  <si>
    <t>1-002385</t>
  </si>
  <si>
    <t>2-002386</t>
  </si>
  <si>
    <t>2-002388</t>
  </si>
  <si>
    <t>1-002389</t>
  </si>
  <si>
    <t>2-002390</t>
  </si>
  <si>
    <t>2-002391</t>
  </si>
  <si>
    <t>1-002392</t>
  </si>
  <si>
    <t>1-002393</t>
  </si>
  <si>
    <t>CGL25012484</t>
  </si>
  <si>
    <t>CGL24112357</t>
  </si>
  <si>
    <t>CGL25012504</t>
  </si>
  <si>
    <t>CGL25012503</t>
  </si>
  <si>
    <t>CGL25012438</t>
  </si>
  <si>
    <t>CGL25012520</t>
  </si>
  <si>
    <t>CGL25012500</t>
  </si>
  <si>
    <t>CGL25012458</t>
  </si>
  <si>
    <t>CGL25012483</t>
  </si>
  <si>
    <t>MEGALUMINIO SERVICIOS</t>
  </si>
  <si>
    <t>NAPS-GUANAJUATO</t>
  </si>
  <si>
    <t>CORE GLOBAL TRANSPORT</t>
  </si>
  <si>
    <t>JOINT PRODUCTION</t>
  </si>
  <si>
    <t>C0012</t>
  </si>
  <si>
    <t>C0079</t>
  </si>
  <si>
    <t xml:space="preserve">REPARACION DE DAÑOS DE CONTENEDOR </t>
  </si>
  <si>
    <t>1-002387</t>
  </si>
  <si>
    <t>CGL25012469</t>
  </si>
  <si>
    <t>INVICONT OÜ</t>
  </si>
  <si>
    <t>C0090</t>
  </si>
  <si>
    <t>1-002395</t>
  </si>
  <si>
    <t>1-002396</t>
  </si>
  <si>
    <t>1-002397</t>
  </si>
  <si>
    <t>1-002398</t>
  </si>
  <si>
    <t>1-002399</t>
  </si>
  <si>
    <t>1-002400</t>
  </si>
  <si>
    <t>CGL25012475</t>
  </si>
  <si>
    <t>CGL25012515</t>
  </si>
  <si>
    <t>CGL25012513</t>
  </si>
  <si>
    <t>CGL24122386</t>
  </si>
  <si>
    <t>HM ULUSLARARASI PROJE TASIMACILIGI A.S</t>
  </si>
  <si>
    <t xml:space="preserve">REVALIDACION GUIA </t>
  </si>
  <si>
    <t>C0085</t>
  </si>
  <si>
    <t>2-002401</t>
  </si>
  <si>
    <t>2-002402</t>
  </si>
  <si>
    <t>CGL25012522</t>
  </si>
  <si>
    <t>CGL25012464</t>
  </si>
  <si>
    <t>1-002403</t>
  </si>
  <si>
    <t>2-002404</t>
  </si>
  <si>
    <t>2-002405</t>
  </si>
  <si>
    <t>2-002406</t>
  </si>
  <si>
    <t>2-002407</t>
  </si>
  <si>
    <t>2-002408</t>
  </si>
  <si>
    <t>2-002409</t>
  </si>
  <si>
    <t>2-002410</t>
  </si>
  <si>
    <t>2-002411</t>
  </si>
  <si>
    <t>2-002412</t>
  </si>
  <si>
    <t>CGL25012501</t>
  </si>
  <si>
    <t>CGL25022547</t>
  </si>
  <si>
    <t>CGL25012488</t>
  </si>
  <si>
    <t>CGL25012528</t>
  </si>
  <si>
    <t>CGL24122416</t>
  </si>
  <si>
    <t>CGL25022551</t>
  </si>
  <si>
    <t>CGL25012511</t>
  </si>
  <si>
    <t>CGL25012507</t>
  </si>
  <si>
    <t>CGL25012456</t>
  </si>
  <si>
    <t>CGL25012539</t>
  </si>
  <si>
    <t>2-002413</t>
  </si>
  <si>
    <t>2-002414</t>
  </si>
  <si>
    <t>1-002415</t>
  </si>
  <si>
    <t>2-002417</t>
  </si>
  <si>
    <t>1-002418</t>
  </si>
  <si>
    <t>1-002419</t>
  </si>
  <si>
    <t>1-002420</t>
  </si>
  <si>
    <t>1-002423</t>
  </si>
  <si>
    <t>1-002424</t>
  </si>
  <si>
    <t>2-002425</t>
  </si>
  <si>
    <t>2-002428</t>
  </si>
  <si>
    <t>1-002429</t>
  </si>
  <si>
    <t>2-002430</t>
  </si>
  <si>
    <t>2-002431</t>
  </si>
  <si>
    <t>2-002432</t>
  </si>
  <si>
    <t>2-002433</t>
  </si>
  <si>
    <t>2-002434</t>
  </si>
  <si>
    <t>1-002435</t>
  </si>
  <si>
    <t>1-002438</t>
  </si>
  <si>
    <t>2-002439</t>
  </si>
  <si>
    <t>2-002440</t>
  </si>
  <si>
    <t>2-002441</t>
  </si>
  <si>
    <t>2-002442</t>
  </si>
  <si>
    <t>1-002443</t>
  </si>
  <si>
    <t>2-002444</t>
  </si>
  <si>
    <t>1-002445</t>
  </si>
  <si>
    <t>CGL25012479</t>
  </si>
  <si>
    <t>CGL25012512</t>
  </si>
  <si>
    <t>CGL25022546</t>
  </si>
  <si>
    <t>CGL25022550</t>
  </si>
  <si>
    <t>CGL25012491</t>
  </si>
  <si>
    <t>CGL25012492</t>
  </si>
  <si>
    <t>CGL25012510</t>
  </si>
  <si>
    <t>CGL25022541</t>
  </si>
  <si>
    <t>CGL25012463</t>
  </si>
  <si>
    <t>CGL25022548</t>
  </si>
  <si>
    <t>CGL25012530</t>
  </si>
  <si>
    <t>CGL25022559</t>
  </si>
  <si>
    <t>CGL25022560</t>
  </si>
  <si>
    <t>CGL25022555</t>
  </si>
  <si>
    <t>CGL25022565</t>
  </si>
  <si>
    <t>CGL25012533</t>
  </si>
  <si>
    <t>CGL25012532</t>
  </si>
  <si>
    <t>CGL25012538</t>
  </si>
  <si>
    <t>CGL25022542</t>
  </si>
  <si>
    <t>CGL25022545</t>
  </si>
  <si>
    <t>CGL25022544</t>
  </si>
  <si>
    <t>CGL25022556</t>
  </si>
  <si>
    <t>CGL25012516</t>
  </si>
  <si>
    <t>CGL25022575</t>
  </si>
  <si>
    <t>CGL25012540</t>
  </si>
  <si>
    <t>HAHN AUTOMATION</t>
  </si>
  <si>
    <t>C0005</t>
  </si>
  <si>
    <t xml:space="preserve">ACONDICIONAMIENTO DE EMBALAJE </t>
  </si>
  <si>
    <t>CGL25012490</t>
  </si>
  <si>
    <t>1-002421</t>
  </si>
  <si>
    <t>1-002422</t>
  </si>
  <si>
    <t>1-002426</t>
  </si>
  <si>
    <t>1-002436</t>
  </si>
  <si>
    <t>1-002437</t>
  </si>
  <si>
    <t>GOMSA INTEGRADORA</t>
  </si>
  <si>
    <t>INNOVATIVE PORTING SL</t>
  </si>
  <si>
    <t>DESCAFEINADORES MEXICANOS</t>
  </si>
  <si>
    <t>C0086</t>
  </si>
  <si>
    <t>C0091</t>
  </si>
  <si>
    <t>C0093</t>
  </si>
  <si>
    <t>2-002446</t>
  </si>
  <si>
    <t>1-002447</t>
  </si>
  <si>
    <t>2-002448</t>
  </si>
  <si>
    <t>2-002449</t>
  </si>
  <si>
    <t>CGL25012536</t>
  </si>
  <si>
    <t>CGL24122389</t>
  </si>
  <si>
    <t>CGL25022563</t>
  </si>
  <si>
    <t>1-002450</t>
  </si>
  <si>
    <t>1-002451</t>
  </si>
  <si>
    <t>2-002452</t>
  </si>
  <si>
    <t>2-002453</t>
  </si>
  <si>
    <t>2-002455</t>
  </si>
  <si>
    <t>1-002456</t>
  </si>
  <si>
    <t>2-002457</t>
  </si>
  <si>
    <t>1-002458</t>
  </si>
  <si>
    <t>2-002459</t>
  </si>
  <si>
    <t>CGL25022554</t>
  </si>
  <si>
    <t>CGL25012447</t>
  </si>
  <si>
    <t>CGL25022581</t>
  </si>
  <si>
    <t>CGL25022586</t>
  </si>
  <si>
    <t>CGL25022572</t>
  </si>
  <si>
    <t>CGL25022569</t>
  </si>
  <si>
    <t>CGL25022552</t>
  </si>
  <si>
    <t>2-002460</t>
  </si>
  <si>
    <t>2-002461</t>
  </si>
  <si>
    <t>2-002462</t>
  </si>
  <si>
    <t>2-002464</t>
  </si>
  <si>
    <t>2-002465</t>
  </si>
  <si>
    <t>2-002466</t>
  </si>
  <si>
    <t>2-002467</t>
  </si>
  <si>
    <t>2-002468</t>
  </si>
  <si>
    <t>2-002469</t>
  </si>
  <si>
    <t>1-002470</t>
  </si>
  <si>
    <t>CGL25022603</t>
  </si>
  <si>
    <t>CGL25022597</t>
  </si>
  <si>
    <t>CGL25022596</t>
  </si>
  <si>
    <t>CGL25022595</t>
  </si>
  <si>
    <t>CGL25022600</t>
  </si>
  <si>
    <t>CGL25022598</t>
  </si>
  <si>
    <t>CGL25022570</t>
  </si>
  <si>
    <t>CGL25022573</t>
  </si>
  <si>
    <t>CGL25022574</t>
  </si>
  <si>
    <t>CGL25012480</t>
  </si>
  <si>
    <t>1-002454</t>
  </si>
  <si>
    <t>2-002463</t>
  </si>
  <si>
    <t>CGL25012519</t>
  </si>
  <si>
    <t>1-002471</t>
  </si>
  <si>
    <t>1-002474</t>
  </si>
  <si>
    <t>2-002475</t>
  </si>
  <si>
    <t>2-002476</t>
  </si>
  <si>
    <t>2-002477</t>
  </si>
  <si>
    <t>CGL25022583</t>
  </si>
  <si>
    <t>CGL25012521</t>
  </si>
  <si>
    <t>CGL25022614</t>
  </si>
  <si>
    <t>CGL25012525</t>
  </si>
  <si>
    <t>CGL25022610</t>
  </si>
  <si>
    <t>1-002472</t>
  </si>
  <si>
    <t>1-002473</t>
  </si>
  <si>
    <t>CGL25012499</t>
  </si>
  <si>
    <t>1-002478</t>
  </si>
  <si>
    <t>2-002479</t>
  </si>
  <si>
    <t>CGL25012535</t>
  </si>
  <si>
    <t>CGL25022605</t>
  </si>
  <si>
    <t>GASTOS EN DESTINO</t>
  </si>
  <si>
    <t>CGL25022585</t>
  </si>
  <si>
    <t>CGL25022594</t>
  </si>
  <si>
    <t>CGL25022593</t>
  </si>
  <si>
    <t>1-002480</t>
  </si>
  <si>
    <t>2-002483</t>
  </si>
  <si>
    <t>2-002484</t>
  </si>
  <si>
    <t>NAPS-GUANAJUATO CAM</t>
  </si>
  <si>
    <t>CGL25012472</t>
  </si>
  <si>
    <t>1-002481</t>
  </si>
  <si>
    <t>1-002482</t>
  </si>
  <si>
    <t>CLEVELAND DIE QUERETARO</t>
  </si>
  <si>
    <t>1-002485</t>
  </si>
  <si>
    <t>2-002486</t>
  </si>
  <si>
    <t>2-002487</t>
  </si>
  <si>
    <t>1-002488</t>
  </si>
  <si>
    <t>CGL25022566</t>
  </si>
  <si>
    <t>CGL25022577</t>
  </si>
  <si>
    <t>CGL25022599</t>
  </si>
  <si>
    <t>CGL25022628</t>
  </si>
  <si>
    <t>1-002489</t>
  </si>
  <si>
    <t>CGL25022564</t>
  </si>
  <si>
    <t>C0006</t>
  </si>
  <si>
    <t>1-002490</t>
  </si>
  <si>
    <t>1-002491</t>
  </si>
  <si>
    <t>CGL25032636</t>
  </si>
  <si>
    <t>CGL25032675</t>
  </si>
  <si>
    <t>CGL25012529</t>
  </si>
  <si>
    <t>CGL25022626</t>
  </si>
  <si>
    <t>CGL25032639</t>
  </si>
  <si>
    <t>CGL25032640</t>
  </si>
  <si>
    <t>CGL25032641</t>
  </si>
  <si>
    <t>CGL25022627</t>
  </si>
  <si>
    <t>CGL25032671</t>
  </si>
  <si>
    <t>CGL25022612</t>
  </si>
  <si>
    <t>CGL25022591</t>
  </si>
  <si>
    <t>2-002492</t>
  </si>
  <si>
    <t>2-002493</t>
  </si>
  <si>
    <t>2-002494</t>
  </si>
  <si>
    <t>2-002495</t>
  </si>
  <si>
    <t>2-002496</t>
  </si>
  <si>
    <t>2-002497</t>
  </si>
  <si>
    <t>1-002498</t>
  </si>
  <si>
    <t>2-002500</t>
  </si>
  <si>
    <t>1-002501</t>
  </si>
  <si>
    <t>CGL25032644</t>
  </si>
  <si>
    <t>2-002499</t>
  </si>
  <si>
    <t>2-002502</t>
  </si>
  <si>
    <t>2-002503</t>
  </si>
  <si>
    <t>2-002504</t>
  </si>
  <si>
    <t>2-002505</t>
  </si>
  <si>
    <t>1-002507</t>
  </si>
  <si>
    <t>2-002508</t>
  </si>
  <si>
    <t>2-002509</t>
  </si>
  <si>
    <t>2-002510</t>
  </si>
  <si>
    <t>2-002511</t>
  </si>
  <si>
    <t>2-002512</t>
  </si>
  <si>
    <t>2-002513</t>
  </si>
  <si>
    <t>2-002514</t>
  </si>
  <si>
    <t>1-002515</t>
  </si>
  <si>
    <t>2-002517</t>
  </si>
  <si>
    <t>2-002518</t>
  </si>
  <si>
    <t>1-002519</t>
  </si>
  <si>
    <t>1-002520</t>
  </si>
  <si>
    <t>1-002521</t>
  </si>
  <si>
    <t>CGL25032674</t>
  </si>
  <si>
    <t>CGL25032652</t>
  </si>
  <si>
    <t>CGL25032648</t>
  </si>
  <si>
    <t>CGL25032653</t>
  </si>
  <si>
    <t>CGL25022604</t>
  </si>
  <si>
    <t>CGL25022588</t>
  </si>
  <si>
    <t>CGL25032632</t>
  </si>
  <si>
    <t>CGL25032660</t>
  </si>
  <si>
    <t>CGL25032662</t>
  </si>
  <si>
    <t>CGL25032656</t>
  </si>
  <si>
    <t>CGL25032661</t>
  </si>
  <si>
    <t>CGL25022625</t>
  </si>
  <si>
    <t>CGL25022578</t>
  </si>
  <si>
    <t>CGL25022543</t>
  </si>
  <si>
    <t>CGL25032650</t>
  </si>
  <si>
    <t>CGL25032637</t>
  </si>
  <si>
    <t>CGL25032633</t>
  </si>
  <si>
    <t xml:space="preserve">RECONOCIMIENTO ADUANERO </t>
  </si>
  <si>
    <t>1-002506</t>
  </si>
  <si>
    <t>1-002516</t>
  </si>
  <si>
    <t>CGL25022582</t>
  </si>
  <si>
    <t>2-002523</t>
  </si>
  <si>
    <t>2-002524</t>
  </si>
  <si>
    <t>2-002525</t>
  </si>
  <si>
    <t>1-002526</t>
  </si>
  <si>
    <t>2-002527</t>
  </si>
  <si>
    <t>2-002528</t>
  </si>
  <si>
    <t>2-002529</t>
  </si>
  <si>
    <t>2-002530</t>
  </si>
  <si>
    <t>2-002531</t>
  </si>
  <si>
    <t>2-002532</t>
  </si>
  <si>
    <t>2-002533</t>
  </si>
  <si>
    <t>1-002534</t>
  </si>
  <si>
    <t>2-002535</t>
  </si>
  <si>
    <t>2-002536</t>
  </si>
  <si>
    <t>1-002537</t>
  </si>
  <si>
    <t>1-002538</t>
  </si>
  <si>
    <t>CGL25022613</t>
  </si>
  <si>
    <t>CGL25032649</t>
  </si>
  <si>
    <t>CGL25032683</t>
  </si>
  <si>
    <t>CGL25032667</t>
  </si>
  <si>
    <t>CGL25022622</t>
  </si>
  <si>
    <t>CGL25032634</t>
  </si>
  <si>
    <t>CGL25032642</t>
  </si>
  <si>
    <t>CGL25032635</t>
  </si>
  <si>
    <t>CGL25032647</t>
  </si>
  <si>
    <t>CGL25032645</t>
  </si>
  <si>
    <t>CGL25032638</t>
  </si>
  <si>
    <t>CGL25022631</t>
  </si>
  <si>
    <t>CGL25032682</t>
  </si>
  <si>
    <t>CGL25032690</t>
  </si>
  <si>
    <t>CGL24092105</t>
  </si>
  <si>
    <t>2-002522</t>
  </si>
  <si>
    <t xml:space="preserve">GASTOS EN ORIGEN </t>
  </si>
  <si>
    <t>1-002539</t>
  </si>
  <si>
    <t>2-002540</t>
  </si>
  <si>
    <t>2-002541</t>
  </si>
  <si>
    <t>2-002542</t>
  </si>
  <si>
    <t>2-002543</t>
  </si>
  <si>
    <t>2-002544</t>
  </si>
  <si>
    <t>2-002545</t>
  </si>
  <si>
    <t>1-002546</t>
  </si>
  <si>
    <t>2-002549</t>
  </si>
  <si>
    <t>2-002550</t>
  </si>
  <si>
    <t>1-002551</t>
  </si>
  <si>
    <t>1-002552</t>
  </si>
  <si>
    <t>1-002553</t>
  </si>
  <si>
    <t>CGL25022606</t>
  </si>
  <si>
    <t>CGL25032678</t>
  </si>
  <si>
    <t>CGL25032703</t>
  </si>
  <si>
    <t>CGL25032704</t>
  </si>
  <si>
    <t>CGL25032680</t>
  </si>
  <si>
    <t>CGL25032681</t>
  </si>
  <si>
    <t>CGL25032699</t>
  </si>
  <si>
    <t>CGL25012517</t>
  </si>
  <si>
    <t>CGL25022621</t>
  </si>
  <si>
    <t>CGL25032646</t>
  </si>
  <si>
    <t>CGL25032676</t>
  </si>
  <si>
    <t>CGL25022579</t>
  </si>
  <si>
    <t>CGL25032710</t>
  </si>
  <si>
    <t>HAHN AUTOMATION GROUP MEXICO</t>
  </si>
  <si>
    <t>1-002547</t>
  </si>
  <si>
    <t>1-002548</t>
  </si>
  <si>
    <t>CGL25022568</t>
  </si>
  <si>
    <t xml:space="preserve">SERVICIOS EXTRAORDINARIO </t>
  </si>
  <si>
    <t xml:space="preserve">SERVICIOS COMPLEMENTARIOS </t>
  </si>
  <si>
    <t>2-002554</t>
  </si>
  <si>
    <t>1-002555</t>
  </si>
  <si>
    <t>1-002556</t>
  </si>
  <si>
    <t>1-002557</t>
  </si>
  <si>
    <t>2-002558</t>
  </si>
  <si>
    <t>2-002559</t>
  </si>
  <si>
    <t>2-002560</t>
  </si>
  <si>
    <t>1-002561</t>
  </si>
  <si>
    <t>2-002562</t>
  </si>
  <si>
    <t>2-002563</t>
  </si>
  <si>
    <t>2-002564</t>
  </si>
  <si>
    <t>CGL25022618</t>
  </si>
  <si>
    <t>CGL25032654</t>
  </si>
  <si>
    <t>CGL25032732</t>
  </si>
  <si>
    <t>CGL25032733</t>
  </si>
  <si>
    <t>CGL25032657</t>
  </si>
  <si>
    <t>CGL25032698</t>
  </si>
  <si>
    <t>CGL25032700</t>
  </si>
  <si>
    <t>CGL25032673</t>
  </si>
  <si>
    <t>CGL25032691</t>
  </si>
  <si>
    <t>CGL25032695</t>
  </si>
  <si>
    <t>CGL25022620</t>
  </si>
  <si>
    <t>C0075</t>
  </si>
  <si>
    <t>1-002570</t>
  </si>
  <si>
    <t>1-002567</t>
  </si>
  <si>
    <t>1-002571</t>
  </si>
  <si>
    <t>1-002573</t>
  </si>
  <si>
    <t>1-002568</t>
  </si>
  <si>
    <t>1-002569</t>
  </si>
  <si>
    <t>CGL25022619</t>
  </si>
  <si>
    <t>CGL25032651</t>
  </si>
  <si>
    <t>CGL25032721</t>
  </si>
  <si>
    <t>CGL25032677</t>
  </si>
  <si>
    <t>CGL25022608</t>
  </si>
  <si>
    <t>1-002566</t>
  </si>
  <si>
    <t>1-002565</t>
  </si>
  <si>
    <t>2-002572</t>
  </si>
  <si>
    <t>CGL25032694</t>
  </si>
  <si>
    <t xml:space="preserve">SERVICIO DE MENSAJERIA </t>
  </si>
  <si>
    <t xml:space="preserve">LIBRACION DE DOCUMENTOS </t>
  </si>
  <si>
    <t>JOINT PRODUCTION (HCMF)</t>
  </si>
  <si>
    <t>1-002574</t>
  </si>
  <si>
    <t>1-002575</t>
  </si>
  <si>
    <t>1-002576</t>
  </si>
  <si>
    <t>1-002577</t>
  </si>
  <si>
    <t>1-002578</t>
  </si>
  <si>
    <t>2-002579</t>
  </si>
  <si>
    <t>2-002580</t>
  </si>
  <si>
    <t>2-002581</t>
  </si>
  <si>
    <t>2-002582</t>
  </si>
  <si>
    <t>1-002583</t>
  </si>
  <si>
    <t>2-002584</t>
  </si>
  <si>
    <t>2-002585</t>
  </si>
  <si>
    <t>2-002586</t>
  </si>
  <si>
    <t>CGL25022629</t>
  </si>
  <si>
    <t>CGL25032669</t>
  </si>
  <si>
    <t>CGL25032672</t>
  </si>
  <si>
    <t>CGL25022607</t>
  </si>
  <si>
    <t>CGL25032707</t>
  </si>
  <si>
    <t>CGL25032702</t>
  </si>
  <si>
    <t>CGL25032701</t>
  </si>
  <si>
    <t>CGL25012445</t>
  </si>
  <si>
    <t>CGL25022580</t>
  </si>
  <si>
    <t>CGL25032718</t>
  </si>
  <si>
    <t>CGL25032659</t>
  </si>
  <si>
    <t>CGL25032715</t>
  </si>
  <si>
    <t>1-002587</t>
  </si>
  <si>
    <t>1-002588</t>
  </si>
  <si>
    <t>2-002589</t>
  </si>
  <si>
    <t>2-002590</t>
  </si>
  <si>
    <t>1-002591</t>
  </si>
  <si>
    <t>2-002592</t>
  </si>
  <si>
    <t>1-002593</t>
  </si>
  <si>
    <t>2-002594</t>
  </si>
  <si>
    <t>2-002595</t>
  </si>
  <si>
    <t>CGL25022587</t>
  </si>
  <si>
    <t>CGL25032724</t>
  </si>
  <si>
    <t>CGL25032731</t>
  </si>
  <si>
    <t>CGL25032655</t>
  </si>
  <si>
    <t>CGL25032717</t>
  </si>
  <si>
    <t>CGL25022630</t>
  </si>
  <si>
    <t>2-002596</t>
  </si>
  <si>
    <t>1-002597</t>
  </si>
  <si>
    <t>1-002598</t>
  </si>
  <si>
    <t>2-002599</t>
  </si>
  <si>
    <t>1-002601</t>
  </si>
  <si>
    <t>CGL25032738</t>
  </si>
  <si>
    <t>CGL25032713</t>
  </si>
  <si>
    <t>CGL25032712</t>
  </si>
  <si>
    <t>CGL25032688</t>
  </si>
  <si>
    <t>CGL25032742</t>
  </si>
  <si>
    <t>CGL25032709</t>
  </si>
  <si>
    <t>1-002600</t>
  </si>
  <si>
    <t>2-002602</t>
  </si>
  <si>
    <t>2-002603</t>
  </si>
  <si>
    <t>1-002604</t>
  </si>
  <si>
    <t>2-002605</t>
  </si>
  <si>
    <t>1-002606</t>
  </si>
  <si>
    <t>2-002607</t>
  </si>
  <si>
    <t>2-002608</t>
  </si>
  <si>
    <t>2-002609</t>
  </si>
  <si>
    <t>2-002610</t>
  </si>
  <si>
    <t>1-002611</t>
  </si>
  <si>
    <t>1-002612</t>
  </si>
  <si>
    <t>2-002613</t>
  </si>
  <si>
    <t>1-002614</t>
  </si>
  <si>
    <t>2-002615</t>
  </si>
  <si>
    <t>2-002616</t>
  </si>
  <si>
    <t>CGL25032722</t>
  </si>
  <si>
    <t>CGL25032723</t>
  </si>
  <si>
    <t>CGL25032714</t>
  </si>
  <si>
    <t>CGL25042748</t>
  </si>
  <si>
    <t>CGL25022592</t>
  </si>
  <si>
    <t>CGL25022576</t>
  </si>
  <si>
    <t>CGL25042771</t>
  </si>
  <si>
    <t>CGL25042769</t>
  </si>
  <si>
    <t>CGL25032737</t>
  </si>
  <si>
    <t>CGL25032716</t>
  </si>
  <si>
    <t>CGL25032734</t>
  </si>
  <si>
    <t>CGL25032740</t>
  </si>
  <si>
    <t>CGL25042744</t>
  </si>
  <si>
    <t>CGL25042745</t>
  </si>
  <si>
    <t>ACONDICIONAMIENTO DE EMBALAJE</t>
  </si>
  <si>
    <t xml:space="preserve">CONSOLIDACION DE ETRADAS </t>
  </si>
  <si>
    <t>2-002617</t>
  </si>
  <si>
    <t>2-002618</t>
  </si>
  <si>
    <t>2-002619</t>
  </si>
  <si>
    <t>1-002620</t>
  </si>
  <si>
    <t>2-002621</t>
  </si>
  <si>
    <t>1-002622</t>
  </si>
  <si>
    <t>2-002623</t>
  </si>
  <si>
    <t>1-002624</t>
  </si>
  <si>
    <t>2-002625</t>
  </si>
  <si>
    <t>2-002626</t>
  </si>
  <si>
    <t>2-002627</t>
  </si>
  <si>
    <t>2-002628</t>
  </si>
  <si>
    <t>2-002629</t>
  </si>
  <si>
    <t>1-002630</t>
  </si>
  <si>
    <t>1-002631</t>
  </si>
  <si>
    <t>2-002632</t>
  </si>
  <si>
    <t>2-002633</t>
  </si>
  <si>
    <t>1-002634</t>
  </si>
  <si>
    <t>1-002635</t>
  </si>
  <si>
    <t>2-002638</t>
  </si>
  <si>
    <t>1-002639</t>
  </si>
  <si>
    <t>1-002640</t>
  </si>
  <si>
    <t>1-002641</t>
  </si>
  <si>
    <t>2-002642</t>
  </si>
  <si>
    <t>2-002643</t>
  </si>
  <si>
    <t>1-002644</t>
  </si>
  <si>
    <t>2-002645</t>
  </si>
  <si>
    <t>2-002646</t>
  </si>
  <si>
    <t>2-002647</t>
  </si>
  <si>
    <t>2-002648</t>
  </si>
  <si>
    <t>2-002649</t>
  </si>
  <si>
    <t>2-002650</t>
  </si>
  <si>
    <t>2-002651</t>
  </si>
  <si>
    <t>1-002652</t>
  </si>
  <si>
    <t>CGL25042750</t>
  </si>
  <si>
    <t>CGL25042751</t>
  </si>
  <si>
    <t>CGL25042789</t>
  </si>
  <si>
    <t>CGL25032697</t>
  </si>
  <si>
    <t>CGL25042779</t>
  </si>
  <si>
    <t>CGL25032720</t>
  </si>
  <si>
    <t>CGL25032739</t>
  </si>
  <si>
    <t>CGL25042757</t>
  </si>
  <si>
    <t>CGL25042773</t>
  </si>
  <si>
    <t>CGL25042774</t>
  </si>
  <si>
    <t>CGL25042787</t>
  </si>
  <si>
    <t>CGL25042790</t>
  </si>
  <si>
    <t>CGL25032730</t>
  </si>
  <si>
    <t>CGL25022615</t>
  </si>
  <si>
    <t>CGL25042776</t>
  </si>
  <si>
    <t>CGL25042777</t>
  </si>
  <si>
    <t>CGL25042780</t>
  </si>
  <si>
    <t>CGL25032696</t>
  </si>
  <si>
    <t>CGL25032741</t>
  </si>
  <si>
    <t>CGL25042839</t>
  </si>
  <si>
    <t>CGL25042791</t>
  </si>
  <si>
    <t>CGL25042847</t>
  </si>
  <si>
    <t>CGL25042848</t>
  </si>
  <si>
    <t>CGL25042806</t>
  </si>
  <si>
    <t>CGL25042835</t>
  </si>
  <si>
    <t>CGL25042792</t>
  </si>
  <si>
    <t>CGL25042759</t>
  </si>
  <si>
    <t>CGL25042836</t>
  </si>
  <si>
    <t>CGL25042811</t>
  </si>
  <si>
    <t>CGL25042809</t>
  </si>
  <si>
    <t>CGL25042810</t>
  </si>
  <si>
    <t>CGL25042827</t>
  </si>
  <si>
    <t>CGL25042794</t>
  </si>
  <si>
    <t>CGL25042760</t>
  </si>
  <si>
    <t>2-002654</t>
  </si>
  <si>
    <t>2-002655</t>
  </si>
  <si>
    <t>2-002656</t>
  </si>
  <si>
    <t>2-002657</t>
  </si>
  <si>
    <t>1-002658</t>
  </si>
  <si>
    <t>1-002659</t>
  </si>
  <si>
    <t>1-002660</t>
  </si>
  <si>
    <t>2-002661</t>
  </si>
  <si>
    <t>1-002662</t>
  </si>
  <si>
    <t>1-002663</t>
  </si>
  <si>
    <t>1-002664</t>
  </si>
  <si>
    <t>1-002665</t>
  </si>
  <si>
    <t>1-002666</t>
  </si>
  <si>
    <t>CGL25032726</t>
  </si>
  <si>
    <t>CGL25042812</t>
  </si>
  <si>
    <t>CGL25042838</t>
  </si>
  <si>
    <t>CGL25042842</t>
  </si>
  <si>
    <t>CGL25042770</t>
  </si>
  <si>
    <t>CGL25042795</t>
  </si>
  <si>
    <t>CGL25042747</t>
  </si>
  <si>
    <t>CGL25042802</t>
  </si>
  <si>
    <t>CGL25032719</t>
  </si>
  <si>
    <t>CGL25042753</t>
  </si>
  <si>
    <t>CGL25032705</t>
  </si>
  <si>
    <t>RECTIFICACIONES</t>
  </si>
  <si>
    <t>1-002636</t>
  </si>
  <si>
    <t>1-002637</t>
  </si>
  <si>
    <t>2-002653</t>
  </si>
  <si>
    <t>CGL25032668</t>
  </si>
  <si>
    <t>CGL25042860</t>
  </si>
  <si>
    <t>GASTOS EN  ORIGEN</t>
  </si>
  <si>
    <t>CGL25042849</t>
  </si>
  <si>
    <t>CGL25042850</t>
  </si>
  <si>
    <t>CGL25042793</t>
  </si>
  <si>
    <t>CGL25042762</t>
  </si>
  <si>
    <t>CGL25042875</t>
  </si>
  <si>
    <t>CGL25042784</t>
  </si>
  <si>
    <t>CGL25042788</t>
  </si>
  <si>
    <t>CGL25032689</t>
  </si>
  <si>
    <t>CGL23030260</t>
  </si>
  <si>
    <t>CGL25042885</t>
  </si>
  <si>
    <t>CGL25042851</t>
  </si>
  <si>
    <t>2-002667</t>
  </si>
  <si>
    <t>2-002668</t>
  </si>
  <si>
    <t>2-002669</t>
  </si>
  <si>
    <t>2-002670</t>
  </si>
  <si>
    <t>1-002671</t>
  </si>
  <si>
    <t>1-002672</t>
  </si>
  <si>
    <t>1-002673</t>
  </si>
  <si>
    <t>2-002674</t>
  </si>
  <si>
    <t>2-002675</t>
  </si>
  <si>
    <t>2-002677</t>
  </si>
  <si>
    <t>1-002678</t>
  </si>
  <si>
    <t xml:space="preserve">REFERENCIA </t>
  </si>
  <si>
    <t>CGL25042814</t>
  </si>
  <si>
    <t>REFERENCIA</t>
  </si>
  <si>
    <t>1-002676</t>
  </si>
  <si>
    <t>1-002679</t>
  </si>
  <si>
    <t>CGL25042884</t>
  </si>
  <si>
    <t>CGL25042877</t>
  </si>
  <si>
    <t>CGL25052886</t>
  </si>
  <si>
    <t>CGL25042743</t>
  </si>
  <si>
    <t>CGL25052893</t>
  </si>
  <si>
    <t>CGL25042881</t>
  </si>
  <si>
    <t>CGL25042857</t>
  </si>
  <si>
    <t>CGL25042858</t>
  </si>
  <si>
    <t>CGL25042855</t>
  </si>
  <si>
    <t>CGL25052901</t>
  </si>
  <si>
    <t>CGL25042859</t>
  </si>
  <si>
    <t>CGL25052887</t>
  </si>
  <si>
    <t>CGL25042761</t>
  </si>
  <si>
    <t>CGL25042754</t>
  </si>
  <si>
    <t>CGL25042775</t>
  </si>
  <si>
    <t>CGL25052907</t>
  </si>
  <si>
    <t>CGL25042768</t>
  </si>
  <si>
    <t>CGL25042852</t>
  </si>
  <si>
    <t>CGL25042876</t>
  </si>
  <si>
    <t>CGL25052908</t>
  </si>
  <si>
    <t>CGL25042807</t>
  </si>
  <si>
    <t>CGL25042841</t>
  </si>
  <si>
    <t>CGL25052894</t>
  </si>
  <si>
    <t>CGL25042821</t>
  </si>
  <si>
    <t>CGL25052935</t>
  </si>
  <si>
    <t>CGL25052910</t>
  </si>
  <si>
    <t>CGL25052911</t>
  </si>
  <si>
    <t>CGL25052912</t>
  </si>
  <si>
    <t>CGL25042861</t>
  </si>
  <si>
    <t>CGL25042862</t>
  </si>
  <si>
    <t>CGL25042765</t>
  </si>
  <si>
    <t>CGL25042758</t>
  </si>
  <si>
    <t>CGL25042764</t>
  </si>
  <si>
    <t>CGL25052921</t>
  </si>
  <si>
    <t>CGL25042872</t>
  </si>
  <si>
    <t>1-002680</t>
  </si>
  <si>
    <t>2-002681</t>
  </si>
  <si>
    <t>2-002682</t>
  </si>
  <si>
    <t>2-002683</t>
  </si>
  <si>
    <t>2-002684</t>
  </si>
  <si>
    <t>2-002685</t>
  </si>
  <si>
    <t>1-002686</t>
  </si>
  <si>
    <t>2-002687</t>
  </si>
  <si>
    <t>1-002688</t>
  </si>
  <si>
    <t>1-002689</t>
  </si>
  <si>
    <t>1-002690</t>
  </si>
  <si>
    <t>1-002691</t>
  </si>
  <si>
    <t>2-002694</t>
  </si>
  <si>
    <t>2-002695</t>
  </si>
  <si>
    <t>1-002692</t>
  </si>
  <si>
    <t>1-002696</t>
  </si>
  <si>
    <t>2-002697</t>
  </si>
  <si>
    <t>2-002698</t>
  </si>
  <si>
    <t>1-002699</t>
  </si>
  <si>
    <t>2-002700</t>
  </si>
  <si>
    <t>2-002701</t>
  </si>
  <si>
    <t>1-002702</t>
  </si>
  <si>
    <t>1-002703</t>
  </si>
  <si>
    <t>2-002704</t>
  </si>
  <si>
    <t>1-002705</t>
  </si>
  <si>
    <t>1-002706</t>
  </si>
  <si>
    <t>2-002707</t>
  </si>
  <si>
    <t>2-002708</t>
  </si>
  <si>
    <t>2-002709</t>
  </si>
  <si>
    <t>1-002710</t>
  </si>
  <si>
    <t>1-002711</t>
  </si>
  <si>
    <t>2-002712</t>
  </si>
  <si>
    <t>2-002713</t>
  </si>
  <si>
    <t>2-002714</t>
  </si>
  <si>
    <t>2-002715</t>
  </si>
  <si>
    <t>2-002716</t>
  </si>
  <si>
    <t>CORPORATIVO ADUANAL ROBLES</t>
  </si>
  <si>
    <t>C0097</t>
  </si>
  <si>
    <t>1-002717</t>
  </si>
  <si>
    <t>1-002718</t>
  </si>
  <si>
    <t>1-002719</t>
  </si>
  <si>
    <t>1-002720</t>
  </si>
  <si>
    <t>1-002721</t>
  </si>
  <si>
    <t>1-002722</t>
  </si>
  <si>
    <t>1-002723</t>
  </si>
  <si>
    <t>1-002724</t>
  </si>
  <si>
    <t>1-002725</t>
  </si>
  <si>
    <t>1-002726</t>
  </si>
  <si>
    <t>1-002727</t>
  </si>
  <si>
    <t>1-002728</t>
  </si>
  <si>
    <t>1-002729</t>
  </si>
  <si>
    <t>1-002730</t>
  </si>
  <si>
    <t>1-002731</t>
  </si>
  <si>
    <t>1-002732</t>
  </si>
  <si>
    <t>1-002733</t>
  </si>
  <si>
    <t>1-002734</t>
  </si>
  <si>
    <t>1-002735</t>
  </si>
  <si>
    <t>1-002736</t>
  </si>
  <si>
    <t>2-002737</t>
  </si>
  <si>
    <t>1-002738</t>
  </si>
  <si>
    <t>2-002739</t>
  </si>
  <si>
    <t>2-002740</t>
  </si>
  <si>
    <t>2-002741</t>
  </si>
  <si>
    <t>2-002742</t>
  </si>
  <si>
    <t>2-002743</t>
  </si>
  <si>
    <t>1-002744</t>
  </si>
  <si>
    <t>1-002745</t>
  </si>
  <si>
    <t>1-002746</t>
  </si>
  <si>
    <t>1-002747</t>
  </si>
  <si>
    <t>CGL25042831</t>
  </si>
  <si>
    <t>CGL25042820</t>
  </si>
  <si>
    <t>CGL25042819</t>
  </si>
  <si>
    <t>CGL25042818</t>
  </si>
  <si>
    <t>CGL25042823</t>
  </si>
  <si>
    <t>CGL25042817</t>
  </si>
  <si>
    <t>CGL25042816</t>
  </si>
  <si>
    <t>CGL25042815</t>
  </si>
  <si>
    <t>CGL25042801</t>
  </si>
  <si>
    <t>CGL25042813</t>
  </si>
  <si>
    <t>CGL25042833</t>
  </si>
  <si>
    <t>CGL25042822</t>
  </si>
  <si>
    <t>CGL25042828</t>
  </si>
  <si>
    <t>CGL25042799</t>
  </si>
  <si>
    <t>CGL25042803</t>
  </si>
  <si>
    <t>CGL25042853</t>
  </si>
  <si>
    <t>CGL25052902</t>
  </si>
  <si>
    <t>CGL25042868</t>
  </si>
  <si>
    <t>CGL25042805</t>
  </si>
  <si>
    <t>CGL25042804</t>
  </si>
  <si>
    <t>CGL25052892</t>
  </si>
  <si>
    <t>CGL25052897</t>
  </si>
  <si>
    <t>CGL25052896</t>
  </si>
  <si>
    <t>CGL25052923</t>
  </si>
  <si>
    <t>CGL25052895</t>
  </si>
  <si>
    <t>CGL25052940</t>
  </si>
  <si>
    <t>CGL25052945</t>
  </si>
  <si>
    <t>CGL25042840</t>
  </si>
  <si>
    <t>CGL25042772</t>
  </si>
  <si>
    <t>CGL25042834</t>
  </si>
  <si>
    <t>CGL25042767</t>
  </si>
  <si>
    <t>CGL25042856</t>
  </si>
  <si>
    <t>CGL25052904</t>
  </si>
  <si>
    <t>CGL25052903</t>
  </si>
  <si>
    <t>CGL25042854</t>
  </si>
  <si>
    <t>CGL25042749</t>
  </si>
  <si>
    <t>CGL25032643</t>
  </si>
  <si>
    <t>CGL25052931</t>
  </si>
  <si>
    <t>CGL25052929</t>
  </si>
  <si>
    <t>CGL25052928</t>
  </si>
  <si>
    <t>CGL25052888</t>
  </si>
  <si>
    <t>CGL25052930</t>
  </si>
  <si>
    <t>CGL25042874</t>
  </si>
  <si>
    <t>1-002748</t>
  </si>
  <si>
    <t>2-002749</t>
  </si>
  <si>
    <t>1-002750</t>
  </si>
  <si>
    <t>1-002751</t>
  </si>
  <si>
    <t>1-002752</t>
  </si>
  <si>
    <t>1-002753</t>
  </si>
  <si>
    <t>1-002754</t>
  </si>
  <si>
    <t>1-002755</t>
  </si>
  <si>
    <t>2-002756</t>
  </si>
  <si>
    <t>1-002757</t>
  </si>
  <si>
    <t>1-002758</t>
  </si>
  <si>
    <t>1-002759</t>
  </si>
  <si>
    <t>1-002760</t>
  </si>
  <si>
    <t>1-002761</t>
  </si>
  <si>
    <t>CGL25052899</t>
  </si>
  <si>
    <t>CGL25052913</t>
  </si>
  <si>
    <t>CGL25052914</t>
  </si>
  <si>
    <t>CGL25042845</t>
  </si>
  <si>
    <t>CGL25052920</t>
  </si>
  <si>
    <t>CGL25042800</t>
  </si>
  <si>
    <t>CGL25052924</t>
  </si>
  <si>
    <t>CGL25052922</t>
  </si>
  <si>
    <t>2-002762</t>
  </si>
  <si>
    <t>2-002763</t>
  </si>
  <si>
    <t>2-002764</t>
  </si>
  <si>
    <t>2-002765</t>
  </si>
  <si>
    <t>2-002766</t>
  </si>
  <si>
    <t>1-002767</t>
  </si>
  <si>
    <t>1-002768</t>
  </si>
  <si>
    <t>2-002769</t>
  </si>
  <si>
    <t>DEMORAS</t>
  </si>
  <si>
    <t>2-002772</t>
  </si>
  <si>
    <t>2-002773</t>
  </si>
  <si>
    <t>2-002774</t>
  </si>
  <si>
    <t>1-002775</t>
  </si>
  <si>
    <t>1-002776</t>
  </si>
  <si>
    <t>1-002777</t>
  </si>
  <si>
    <t>2-002778</t>
  </si>
  <si>
    <t>1-002779</t>
  </si>
  <si>
    <t>2-002780</t>
  </si>
  <si>
    <t>CGL25042763</t>
  </si>
  <si>
    <t>CGL25042832</t>
  </si>
  <si>
    <t>CGL25052953</t>
  </si>
  <si>
    <t>CGL25052926</t>
  </si>
  <si>
    <t>CGL25052932</t>
  </si>
  <si>
    <t>CGL25052933</t>
  </si>
  <si>
    <t>CGL25052961</t>
  </si>
  <si>
    <t>CGL25052960</t>
  </si>
  <si>
    <t>2-002771</t>
  </si>
  <si>
    <t>CGL25052942</t>
  </si>
  <si>
    <t>1-002781</t>
  </si>
  <si>
    <t>2-002782</t>
  </si>
  <si>
    <t>2-002783</t>
  </si>
  <si>
    <t>2-002784</t>
  </si>
  <si>
    <t>2-002785</t>
  </si>
  <si>
    <t>2-002786</t>
  </si>
  <si>
    <t>2-002787</t>
  </si>
  <si>
    <t>2-002790</t>
  </si>
  <si>
    <t>2-002791</t>
  </si>
  <si>
    <t>2-002792</t>
  </si>
  <si>
    <t>1-002793</t>
  </si>
  <si>
    <t>1-002794</t>
  </si>
  <si>
    <t>1-002795</t>
  </si>
  <si>
    <t>1-002796</t>
  </si>
  <si>
    <t>1-002797</t>
  </si>
  <si>
    <t>1-002798</t>
  </si>
  <si>
    <t>1-002799</t>
  </si>
  <si>
    <t>1-002800</t>
  </si>
  <si>
    <t>1-002801</t>
  </si>
  <si>
    <t>CGL25052943</t>
  </si>
  <si>
    <t>CGL25052951</t>
  </si>
  <si>
    <t>CGL25052952</t>
  </si>
  <si>
    <t>CGL25052889</t>
  </si>
  <si>
    <t>CGL25052950</t>
  </si>
  <si>
    <t>CGL25052949</t>
  </si>
  <si>
    <t>CGL25052959</t>
  </si>
  <si>
    <t>CGL25052968</t>
  </si>
  <si>
    <t>CGL25052974</t>
  </si>
  <si>
    <t>CGL25052967</t>
  </si>
  <si>
    <t>CGL25042798</t>
  </si>
  <si>
    <t>CGL24031449</t>
  </si>
  <si>
    <t>CGL25052918</t>
  </si>
  <si>
    <t>CGL25052919</t>
  </si>
  <si>
    <t>CGL25052917</t>
  </si>
  <si>
    <t>CGL25052916</t>
  </si>
  <si>
    <t>CGL25052909</t>
  </si>
  <si>
    <t>CGL25052906</t>
  </si>
  <si>
    <t>CGL25052925</t>
  </si>
  <si>
    <t>INTERIORISMO CORP</t>
  </si>
  <si>
    <t>1-002788</t>
  </si>
  <si>
    <t>1-002789</t>
  </si>
  <si>
    <t>C0055</t>
  </si>
  <si>
    <t>1-002802</t>
  </si>
  <si>
    <t>1-002803</t>
  </si>
  <si>
    <t>1-002804</t>
  </si>
  <si>
    <t>1-002806</t>
  </si>
  <si>
    <t>1-002809</t>
  </si>
  <si>
    <t>2-002810</t>
  </si>
  <si>
    <t>2-002811</t>
  </si>
  <si>
    <t>2-002812</t>
  </si>
  <si>
    <t>2-002813</t>
  </si>
  <si>
    <t>2-002814</t>
  </si>
  <si>
    <t>2-002815</t>
  </si>
  <si>
    <t>1-002816</t>
  </si>
  <si>
    <t>CGL25052956</t>
  </si>
  <si>
    <t>CGL25052954</t>
  </si>
  <si>
    <t>CGL25052955</t>
  </si>
  <si>
    <t>CGL25052966</t>
  </si>
  <si>
    <t>CGL25042873</t>
  </si>
  <si>
    <t>CGL25052941</t>
  </si>
  <si>
    <t>CGL25052998</t>
  </si>
  <si>
    <t>CGL25052996</t>
  </si>
  <si>
    <t>CGL25052981</t>
  </si>
  <si>
    <t>CGL25052982</t>
  </si>
  <si>
    <t>CGL25052964</t>
  </si>
  <si>
    <t>CGL25052973</t>
  </si>
  <si>
    <t>CGL25052915</t>
  </si>
  <si>
    <t>CGL25042746</t>
  </si>
  <si>
    <t>1-002805</t>
  </si>
  <si>
    <t>1-002807</t>
  </si>
  <si>
    <t>1-002808</t>
  </si>
  <si>
    <t>1-002753 0 %</t>
  </si>
  <si>
    <t>GASTOS EN ORIGEN</t>
  </si>
  <si>
    <t>CGL25063092</t>
  </si>
  <si>
    <t>CGL25063090</t>
  </si>
  <si>
    <t>CGL25063070</t>
  </si>
  <si>
    <t>CGL25063170</t>
  </si>
  <si>
    <t>CGL25063066</t>
  </si>
  <si>
    <t>CGL25063039</t>
  </si>
  <si>
    <t>CGL25052975</t>
  </si>
  <si>
    <t>CGL25063069</t>
  </si>
  <si>
    <t>CGL25063041</t>
  </si>
  <si>
    <t>CGL25053012</t>
  </si>
  <si>
    <t>CGL25063117</t>
  </si>
  <si>
    <t>CGL25063125</t>
  </si>
  <si>
    <t>CGL25053028</t>
  </si>
  <si>
    <t>CGL25052984</t>
  </si>
  <si>
    <t>CGL25063161</t>
  </si>
  <si>
    <t>CGL25063164</t>
  </si>
  <si>
    <t>CGL25063106</t>
  </si>
  <si>
    <t>CGL25063040</t>
  </si>
  <si>
    <t>CGL25063033</t>
  </si>
  <si>
    <t>CGL25063038</t>
  </si>
  <si>
    <t>CGL25053004</t>
  </si>
  <si>
    <t>2-002890</t>
  </si>
  <si>
    <t>2-002891</t>
  </si>
  <si>
    <t>2-002892</t>
  </si>
  <si>
    <t>2-002893</t>
  </si>
  <si>
    <t>2-002894</t>
  </si>
  <si>
    <t>2-002895</t>
  </si>
  <si>
    <t>2-002896</t>
  </si>
  <si>
    <t>2-002897</t>
  </si>
  <si>
    <t>2-002898</t>
  </si>
  <si>
    <t>2-002899</t>
  </si>
  <si>
    <t>2-002900</t>
  </si>
  <si>
    <t>2-002901</t>
  </si>
  <si>
    <t>2-002902</t>
  </si>
  <si>
    <t>2-002903</t>
  </si>
  <si>
    <t>2-002904</t>
  </si>
  <si>
    <t>2-002905</t>
  </si>
  <si>
    <t>2-002906</t>
  </si>
  <si>
    <t>2-002907</t>
  </si>
  <si>
    <t>2-002908</t>
  </si>
  <si>
    <t>2-002909</t>
  </si>
  <si>
    <t>2-002910</t>
  </si>
  <si>
    <t>2-002911</t>
  </si>
  <si>
    <t>2-002912</t>
  </si>
  <si>
    <t>2-002913</t>
  </si>
  <si>
    <t>2-002914</t>
  </si>
  <si>
    <t>2-002915</t>
  </si>
  <si>
    <t>1-002916</t>
  </si>
  <si>
    <t>CGL25063126</t>
  </si>
  <si>
    <t>CGL25063121</t>
  </si>
  <si>
    <t>CGL25063147</t>
  </si>
  <si>
    <t>CGL25063148</t>
  </si>
  <si>
    <t>CGL25063173</t>
  </si>
  <si>
    <t>CGL25063111</t>
  </si>
  <si>
    <t>2-002917</t>
  </si>
  <si>
    <t>CGL25063171</t>
  </si>
  <si>
    <t>2-002918</t>
  </si>
  <si>
    <t>CGL25063128</t>
  </si>
  <si>
    <t>1-002919</t>
  </si>
  <si>
    <t>CGL25063138</t>
  </si>
  <si>
    <t>2-002920</t>
  </si>
  <si>
    <t>1-002921</t>
  </si>
  <si>
    <t>1-002922</t>
  </si>
  <si>
    <t>1-002923</t>
  </si>
  <si>
    <t>1-002924</t>
  </si>
  <si>
    <t>1-002925</t>
  </si>
  <si>
    <t>1-002926</t>
  </si>
  <si>
    <t>2-002927</t>
  </si>
  <si>
    <t>2-002929</t>
  </si>
  <si>
    <t>2-002930</t>
  </si>
  <si>
    <t>1-002931</t>
  </si>
  <si>
    <t>2-002932</t>
  </si>
  <si>
    <t>2-002933</t>
  </si>
  <si>
    <t>2-002934</t>
  </si>
  <si>
    <t>2-002935</t>
  </si>
  <si>
    <t>CGL25052978</t>
  </si>
  <si>
    <t>CGL25063085</t>
  </si>
  <si>
    <t>CGL25063145</t>
  </si>
  <si>
    <t>CGL25063146</t>
  </si>
  <si>
    <t>CGL25063151</t>
  </si>
  <si>
    <t>CGL25063162</t>
  </si>
  <si>
    <t>CGL25063169</t>
  </si>
  <si>
    <t>CGL25053030</t>
  </si>
  <si>
    <t>CGL25053013</t>
  </si>
  <si>
    <t>CGL25063127</t>
  </si>
  <si>
    <t>CGL25063139</t>
  </si>
  <si>
    <t>CGL25073204</t>
  </si>
  <si>
    <t>CGL25063175</t>
  </si>
  <si>
    <t>CGL25073203</t>
  </si>
  <si>
    <t>CGL25073205</t>
  </si>
  <si>
    <t>2-002928</t>
  </si>
  <si>
    <t>CGL25073208</t>
  </si>
  <si>
    <t xml:space="preserve"> C0084</t>
  </si>
  <si>
    <t xml:space="preserve">JOIN PRODUCTIO TECTRAN </t>
  </si>
  <si>
    <t>2-002936</t>
  </si>
  <si>
    <t>CGL25063130</t>
  </si>
  <si>
    <t>2-002937</t>
  </si>
  <si>
    <t>CGL25063158</t>
  </si>
  <si>
    <t>2-002938</t>
  </si>
  <si>
    <t>CGL25063176</t>
  </si>
  <si>
    <t>CGL25073185</t>
  </si>
  <si>
    <t>1-002940</t>
  </si>
  <si>
    <t>CGL25052995</t>
  </si>
  <si>
    <t>2-002941</t>
  </si>
  <si>
    <t>CGL25073230</t>
  </si>
  <si>
    <t>2-002942</t>
  </si>
  <si>
    <t>CGL25063137</t>
  </si>
  <si>
    <t>2-002943</t>
  </si>
  <si>
    <t>CGL25073184</t>
  </si>
  <si>
    <t>1-002944</t>
  </si>
  <si>
    <t>CGL25073202</t>
  </si>
  <si>
    <t xml:space="preserve">MEGALUMINIO SERVICIOS </t>
  </si>
  <si>
    <t>2-002945</t>
  </si>
  <si>
    <t>CGL25073201</t>
  </si>
  <si>
    <t>JOINT PRODUCTION TECTRAN</t>
  </si>
  <si>
    <t>1-002939</t>
  </si>
  <si>
    <t>1-002946</t>
  </si>
  <si>
    <t>CGL25063140</t>
  </si>
  <si>
    <t>1-002947</t>
  </si>
  <si>
    <t>CGL25063083</t>
  </si>
  <si>
    <t>C0096</t>
  </si>
  <si>
    <t xml:space="preserve">NEXT LOGISTICS XXI S.L </t>
  </si>
  <si>
    <t>2-002948</t>
  </si>
  <si>
    <t>CGL25042786</t>
  </si>
  <si>
    <t>2-002949</t>
  </si>
  <si>
    <t>CGL25063065</t>
  </si>
  <si>
    <t>1-002950</t>
  </si>
  <si>
    <t>CGL25073231</t>
  </si>
  <si>
    <t>HAHN AUTOMATION GROUP</t>
  </si>
  <si>
    <t>2-002951</t>
  </si>
  <si>
    <t>CGL25073199</t>
  </si>
  <si>
    <t>1-002952</t>
  </si>
  <si>
    <t>CGL25063149</t>
  </si>
  <si>
    <t>1-002953</t>
  </si>
  <si>
    <t>1-002954</t>
  </si>
  <si>
    <t>2-002955</t>
  </si>
  <si>
    <t>2-002958</t>
  </si>
  <si>
    <t>1-002956</t>
  </si>
  <si>
    <t>1-002957</t>
  </si>
  <si>
    <t>CGL25053000</t>
  </si>
  <si>
    <t>CGL25053017</t>
  </si>
  <si>
    <t>CGL25073195</t>
  </si>
  <si>
    <t>CGL25063172</t>
  </si>
  <si>
    <t>CGL25063122</t>
  </si>
  <si>
    <t>CGL25063182</t>
  </si>
  <si>
    <t>1-002959</t>
  </si>
  <si>
    <t>CGL25063055</t>
  </si>
  <si>
    <t>1-002960</t>
  </si>
  <si>
    <t>CGL25063077</t>
  </si>
  <si>
    <t>1-002961</t>
  </si>
  <si>
    <t>CGL25053001</t>
  </si>
  <si>
    <t>1-002962</t>
  </si>
  <si>
    <t>CUOTA</t>
  </si>
  <si>
    <t>LIBERACIONES DOCUMENTOS</t>
  </si>
  <si>
    <t>CGL25053011</t>
  </si>
  <si>
    <t>1-002963</t>
  </si>
  <si>
    <t>1-002964</t>
  </si>
  <si>
    <t>CGL25073241</t>
  </si>
  <si>
    <t>1-002966</t>
  </si>
  <si>
    <t>CGL25042870</t>
  </si>
  <si>
    <t>C0056</t>
  </si>
  <si>
    <t xml:space="preserve">TENDENCIA INTERIOR </t>
  </si>
  <si>
    <t>1-002967</t>
  </si>
  <si>
    <t>SEGURO</t>
  </si>
  <si>
    <t>2-002968</t>
  </si>
  <si>
    <t>2-002965</t>
  </si>
  <si>
    <t>CGL25063156</t>
  </si>
  <si>
    <t>2-002969</t>
  </si>
  <si>
    <t>CGL25063142</t>
  </si>
  <si>
    <t xml:space="preserve">SELLOS Y RETENES DE SAN LUIS </t>
  </si>
  <si>
    <t>2-002970</t>
  </si>
  <si>
    <t>1-002971</t>
  </si>
  <si>
    <t>1-002972</t>
  </si>
  <si>
    <t>2-002973</t>
  </si>
  <si>
    <t>1-002974</t>
  </si>
  <si>
    <t>CGL25063143</t>
  </si>
  <si>
    <t>CGL25063178</t>
  </si>
  <si>
    <t>C0040</t>
  </si>
  <si>
    <t>CGL25063165</t>
  </si>
  <si>
    <t>NAPS-GUANAJUATO MULTITECH</t>
  </si>
  <si>
    <t>CGL25073187</t>
  </si>
  <si>
    <t>CGL25073229</t>
  </si>
  <si>
    <t>1-002975</t>
  </si>
  <si>
    <t>CGL25063167</t>
  </si>
  <si>
    <t>1-002976</t>
  </si>
  <si>
    <t>CGL25073213</t>
  </si>
  <si>
    <t>1-002977</t>
  </si>
  <si>
    <t>CGL25073206</t>
  </si>
  <si>
    <t>1-002978</t>
  </si>
  <si>
    <t>CGL25073214</t>
  </si>
  <si>
    <t>1-002979</t>
  </si>
  <si>
    <t>CGL25073218</t>
  </si>
  <si>
    <t>1-002980</t>
  </si>
  <si>
    <t>CGL25073219</t>
  </si>
  <si>
    <t>1-002981</t>
  </si>
  <si>
    <t>CGL25073220</t>
  </si>
  <si>
    <t>1-002982</t>
  </si>
  <si>
    <t>CGL25073244</t>
  </si>
  <si>
    <t>2-002983</t>
  </si>
  <si>
    <t>CGL25073247</t>
  </si>
  <si>
    <t>1-002984</t>
  </si>
  <si>
    <t>CGL25073216</t>
  </si>
  <si>
    <t>ARMOR MEXICO</t>
  </si>
  <si>
    <t>1-002985</t>
  </si>
  <si>
    <t>CGL25052946</t>
  </si>
  <si>
    <t>C0095</t>
  </si>
  <si>
    <t>SUPER POPULAR LOGISTICS</t>
  </si>
  <si>
    <t>REVALIDACION GUIA / BOL</t>
  </si>
  <si>
    <t>2-002986</t>
  </si>
  <si>
    <t>CGL25063179</t>
  </si>
  <si>
    <t>2-002987</t>
  </si>
  <si>
    <t>CGL25063131</t>
  </si>
  <si>
    <t>2-002988</t>
  </si>
  <si>
    <t>CGL25063157</t>
  </si>
  <si>
    <t>1-002989</t>
  </si>
  <si>
    <t>CGL25063166</t>
  </si>
  <si>
    <t>2-002990</t>
  </si>
  <si>
    <t>CGL25073234</t>
  </si>
  <si>
    <t>2-002991</t>
  </si>
  <si>
    <t>CGL25073251</t>
  </si>
  <si>
    <t>1-002992</t>
  </si>
  <si>
    <t>CGL25063057</t>
  </si>
  <si>
    <t>2-002993</t>
  </si>
  <si>
    <t>CGL25073281</t>
  </si>
  <si>
    <t>2-002994</t>
  </si>
  <si>
    <t>CGL25063181</t>
  </si>
  <si>
    <t>2-002995</t>
  </si>
  <si>
    <t>CGL25073210</t>
  </si>
  <si>
    <t>1-002996</t>
  </si>
  <si>
    <t>CGL25053021</t>
  </si>
  <si>
    <t>1-002997</t>
  </si>
  <si>
    <t>CGL25073225</t>
  </si>
  <si>
    <t>1-002998</t>
  </si>
  <si>
    <t>CGL25073226</t>
  </si>
  <si>
    <t>1-002999</t>
  </si>
  <si>
    <t>CGL25073227</t>
  </si>
  <si>
    <t>2-003000</t>
  </si>
  <si>
    <t>CGL25063180</t>
  </si>
  <si>
    <t>1-003001</t>
  </si>
  <si>
    <t>CGL25063075</t>
  </si>
  <si>
    <t>2-003002</t>
  </si>
  <si>
    <t>CGL25042752</t>
  </si>
  <si>
    <t>1-003003</t>
  </si>
  <si>
    <t>CGL25053002</t>
  </si>
  <si>
    <t>1-003004</t>
  </si>
  <si>
    <t>CGL25073215</t>
  </si>
  <si>
    <t>2-003005</t>
  </si>
  <si>
    <t>CGL25073284</t>
  </si>
  <si>
    <t>2-003006</t>
  </si>
  <si>
    <t>CGL25073196</t>
  </si>
  <si>
    <t>2-003007</t>
  </si>
  <si>
    <t>CGL25063132</t>
  </si>
  <si>
    <t>1-003008</t>
  </si>
  <si>
    <t>CGL25053020</t>
  </si>
  <si>
    <t>1-003009</t>
  </si>
  <si>
    <t>CGL25073174</t>
  </si>
  <si>
    <t>1-003010</t>
  </si>
  <si>
    <t>CGL25073232</t>
  </si>
  <si>
    <t>2-003011</t>
  </si>
  <si>
    <t>CGL25063102</t>
  </si>
  <si>
    <t>1-003012</t>
  </si>
  <si>
    <t>CGL25073246</t>
  </si>
  <si>
    <t>1-003013</t>
  </si>
  <si>
    <t>CGL25063109</t>
  </si>
  <si>
    <t>2-003014</t>
  </si>
  <si>
    <t>CGL25073287</t>
  </si>
  <si>
    <t>1-003015</t>
  </si>
  <si>
    <t>CGL25063107</t>
  </si>
  <si>
    <t>2-003016</t>
  </si>
  <si>
    <t>CGL25073211</t>
  </si>
  <si>
    <t>2-003017</t>
  </si>
  <si>
    <t>CGL25073209</t>
  </si>
  <si>
    <t>1-003018</t>
  </si>
  <si>
    <t>CGL25063153</t>
  </si>
  <si>
    <t>1-003019</t>
  </si>
  <si>
    <t>CGL25063048</t>
  </si>
  <si>
    <t>1-003020</t>
  </si>
  <si>
    <t xml:space="preserve">CORPORATIVO ADUANAL ROBLES </t>
  </si>
  <si>
    <t>1-003021</t>
  </si>
  <si>
    <t>CGL25063168</t>
  </si>
  <si>
    <t>1-003022</t>
  </si>
  <si>
    <t>CGL25053027</t>
  </si>
  <si>
    <t>1-003023</t>
  </si>
  <si>
    <t>C0099</t>
  </si>
  <si>
    <t>DIGIT AUTOMOTIVE DE MEXICO</t>
  </si>
  <si>
    <t>2-003024</t>
  </si>
  <si>
    <t>CGL25063183</t>
  </si>
  <si>
    <t>CGL25073262</t>
  </si>
  <si>
    <t>1-003025</t>
  </si>
  <si>
    <t>2-003026</t>
  </si>
  <si>
    <t>CGL25073298</t>
  </si>
  <si>
    <t>1-003027</t>
  </si>
  <si>
    <t>CGL25063081</t>
  </si>
  <si>
    <t>1-003028</t>
  </si>
  <si>
    <t>CGL25073186</t>
  </si>
  <si>
    <t>1-003029</t>
  </si>
  <si>
    <t>CGL25073264</t>
  </si>
  <si>
    <t>1-003030</t>
  </si>
  <si>
    <t>2-003031</t>
  </si>
  <si>
    <t>CGL25073267</t>
  </si>
  <si>
    <t>CGL25073223</t>
  </si>
  <si>
    <t>2-003032</t>
  </si>
  <si>
    <t>CGL25073250</t>
  </si>
  <si>
    <t>1-003034</t>
  </si>
  <si>
    <t>CGL25063051</t>
  </si>
  <si>
    <t>1-003035</t>
  </si>
  <si>
    <t>CGL25073263</t>
  </si>
  <si>
    <t>1-003036</t>
  </si>
  <si>
    <t>CGL25073285</t>
  </si>
  <si>
    <t xml:space="preserve">CORE GLOBAL TRANSPORT </t>
  </si>
  <si>
    <t>1-003037</t>
  </si>
  <si>
    <t xml:space="preserve">CHEMICAL COLOR DE MEXICO </t>
  </si>
  <si>
    <t>1-003038</t>
  </si>
  <si>
    <t>2-003039</t>
  </si>
  <si>
    <t>CGL25073257</t>
  </si>
  <si>
    <t>2-003040</t>
  </si>
  <si>
    <t>CGL25073312</t>
  </si>
  <si>
    <t>2-003041</t>
  </si>
  <si>
    <t>CGL25073300</t>
  </si>
  <si>
    <t>CGL25073224</t>
  </si>
  <si>
    <t>1-003043</t>
  </si>
  <si>
    <t>1-030042</t>
  </si>
  <si>
    <t>1-003044</t>
  </si>
  <si>
    <t>1-003045</t>
  </si>
  <si>
    <t>CGL25073240</t>
  </si>
  <si>
    <t>2-003046</t>
  </si>
  <si>
    <t>CGL25073249</t>
  </si>
  <si>
    <t>2-003047</t>
  </si>
  <si>
    <t>CGL25063124</t>
  </si>
  <si>
    <t>2-003048</t>
  </si>
  <si>
    <t>CGL25073260</t>
  </si>
  <si>
    <t>1-003049</t>
  </si>
  <si>
    <t>CGL25063108</t>
  </si>
  <si>
    <t>1-003050</t>
  </si>
  <si>
    <t>1-003051</t>
  </si>
  <si>
    <t>CGL25073237</t>
  </si>
  <si>
    <t>2-003052</t>
  </si>
  <si>
    <t>CGL25073313</t>
  </si>
  <si>
    <t>1-003053</t>
  </si>
  <si>
    <t>CGL25073207</t>
  </si>
  <si>
    <t>1-003054</t>
  </si>
  <si>
    <t>CGL25063177</t>
  </si>
  <si>
    <t>2-003055</t>
  </si>
  <si>
    <t>CGL25073273</t>
  </si>
  <si>
    <t>1-003056</t>
  </si>
  <si>
    <t>CGL25063136</t>
  </si>
  <si>
    <t>2-003057</t>
  </si>
  <si>
    <t>CGL25073242</t>
  </si>
  <si>
    <t>2-003058</t>
  </si>
  <si>
    <t>CGL25063100</t>
  </si>
  <si>
    <t>2-003059</t>
  </si>
  <si>
    <t>CGL25063071</t>
  </si>
  <si>
    <t>2-003060</t>
  </si>
  <si>
    <t>CGL25073190</t>
  </si>
  <si>
    <t>2-003061</t>
  </si>
  <si>
    <t>CGL25073268</t>
  </si>
  <si>
    <t>2-003062</t>
  </si>
  <si>
    <t>CGL25073283</t>
  </si>
  <si>
    <t>2-003063</t>
  </si>
  <si>
    <t>CGL25073291</t>
  </si>
  <si>
    <t>2-003064</t>
  </si>
  <si>
    <t>CGL25073297</t>
  </si>
  <si>
    <t>1-003065</t>
  </si>
  <si>
    <t>CGL25073290</t>
  </si>
  <si>
    <t>1-003066</t>
  </si>
  <si>
    <t>CGL25073248</t>
  </si>
  <si>
    <t>2-003067</t>
  </si>
  <si>
    <t>2-003068</t>
  </si>
  <si>
    <t>2-003069</t>
  </si>
  <si>
    <t>1-003070</t>
  </si>
  <si>
    <t>2-003071</t>
  </si>
  <si>
    <t>1-003072</t>
  </si>
  <si>
    <t>1-003073</t>
  </si>
  <si>
    <t>1-003074</t>
  </si>
  <si>
    <t>2-003075</t>
  </si>
  <si>
    <t>2-003076</t>
  </si>
  <si>
    <t>2-003077</t>
  </si>
  <si>
    <t>2-003078</t>
  </si>
  <si>
    <t>1-003079</t>
  </si>
  <si>
    <t>1-003080</t>
  </si>
  <si>
    <t>2-003081</t>
  </si>
  <si>
    <t>2-003082</t>
  </si>
  <si>
    <t>CGL25073228</t>
  </si>
  <si>
    <t>CGL25073296</t>
  </si>
  <si>
    <t>CGL25073311</t>
  </si>
  <si>
    <t>CGL25073302</t>
  </si>
  <si>
    <t>CGL25073289</t>
  </si>
  <si>
    <t>CGL25073233</t>
  </si>
  <si>
    <t>CGL25073245</t>
  </si>
  <si>
    <t>CGL25063101</t>
  </si>
  <si>
    <t>CGL25073274</t>
  </si>
  <si>
    <t>CGL25073299</t>
  </si>
  <si>
    <t>CGL25073301</t>
  </si>
  <si>
    <t>CGL25073288</t>
  </si>
  <si>
    <t>CGL25073256</t>
  </si>
  <si>
    <t>CGL25073303</t>
  </si>
  <si>
    <t>CGL25073259</t>
  </si>
  <si>
    <t>NEXT LOGISTICS XXI, S.L.</t>
  </si>
  <si>
    <t>2-003083</t>
  </si>
  <si>
    <t>CGL25073275</t>
  </si>
  <si>
    <t>2-003084</t>
  </si>
  <si>
    <t>CGL25073320</t>
  </si>
  <si>
    <t>2-003085</t>
  </si>
  <si>
    <t>CGL25083332</t>
  </si>
  <si>
    <t>2-003086</t>
  </si>
  <si>
    <t>CGL25083335</t>
  </si>
  <si>
    <t>1-003087</t>
  </si>
  <si>
    <t>CGL25083333</t>
  </si>
  <si>
    <t>1-003088</t>
  </si>
  <si>
    <t>CGL25083334</t>
  </si>
  <si>
    <t>2-003089</t>
  </si>
  <si>
    <t>CGL25073252</t>
  </si>
  <si>
    <t>2-003090</t>
  </si>
  <si>
    <t>CGL25083337</t>
  </si>
  <si>
    <t>2-003094</t>
  </si>
  <si>
    <t>CGL25073294</t>
  </si>
  <si>
    <t>2-003095</t>
  </si>
  <si>
    <t>CGL25083342</t>
  </si>
  <si>
    <t>1-003096</t>
  </si>
  <si>
    <t>CGL25063082</t>
  </si>
  <si>
    <t>2-003097</t>
  </si>
  <si>
    <t>CGL25073306</t>
  </si>
  <si>
    <t>1-003098</t>
  </si>
  <si>
    <t>CGL25083314</t>
  </si>
  <si>
    <t>2-003099</t>
  </si>
  <si>
    <t>CGL25083359</t>
  </si>
  <si>
    <t>2-003100</t>
  </si>
  <si>
    <t>CGL25073319</t>
  </si>
  <si>
    <t>1-003101</t>
  </si>
  <si>
    <t>CGL25063144</t>
  </si>
  <si>
    <t>2-003102</t>
  </si>
  <si>
    <t>CGL25073305</t>
  </si>
  <si>
    <t>1-003103</t>
  </si>
  <si>
    <t>CGL25083339</t>
  </si>
  <si>
    <t>1-003104</t>
  </si>
  <si>
    <t>CGL25073261</t>
  </si>
  <si>
    <t>1-003105</t>
  </si>
  <si>
    <t>C0101</t>
  </si>
  <si>
    <t xml:space="preserve">SOLUCIONES LOGISTICAS Q DE MEXICO </t>
  </si>
  <si>
    <t>1-003106</t>
  </si>
  <si>
    <t>CGL25083341</t>
  </si>
  <si>
    <t>1-003107</t>
  </si>
  <si>
    <t>CGL25083357</t>
  </si>
  <si>
    <t>1-003108</t>
  </si>
  <si>
    <t>CGL25083358</t>
  </si>
  <si>
    <t>1-003109</t>
  </si>
  <si>
    <t>CGL25083340</t>
  </si>
  <si>
    <t>2-003110</t>
  </si>
  <si>
    <t>CGL25083345</t>
  </si>
  <si>
    <t>2-003111</t>
  </si>
  <si>
    <t>CGL25083360</t>
  </si>
  <si>
    <t>2-003112</t>
  </si>
  <si>
    <t>CGL25083362</t>
  </si>
  <si>
    <t>2-003113</t>
  </si>
  <si>
    <t>CGL25073308</t>
  </si>
  <si>
    <t>2-003114</t>
  </si>
  <si>
    <t>CGL25083329</t>
  </si>
  <si>
    <t>2-003115</t>
  </si>
  <si>
    <t>CGL25073295</t>
  </si>
  <si>
    <t>1-003116</t>
  </si>
  <si>
    <t>1-003117</t>
  </si>
  <si>
    <t>2-003118</t>
  </si>
  <si>
    <t>CGL25073235</t>
  </si>
  <si>
    <t>2-003119</t>
  </si>
  <si>
    <t>CGL25083330</t>
  </si>
  <si>
    <t>2-003120</t>
  </si>
  <si>
    <t>CGL25083366</t>
  </si>
  <si>
    <t>1-003121</t>
  </si>
  <si>
    <t>2-003122</t>
  </si>
  <si>
    <t>CGL25083375</t>
  </si>
  <si>
    <t>2-003123</t>
  </si>
  <si>
    <t>CGL25083338</t>
  </si>
  <si>
    <t>2-003124</t>
  </si>
  <si>
    <t>CGL25083361</t>
  </si>
  <si>
    <t>2-003125</t>
  </si>
  <si>
    <t>CGL25083363</t>
  </si>
  <si>
    <t>2-003126</t>
  </si>
  <si>
    <t>CGL25083325</t>
  </si>
  <si>
    <t>2-003127</t>
  </si>
  <si>
    <t>CGL25073293</t>
  </si>
  <si>
    <t>2-003128</t>
  </si>
  <si>
    <t>CGL25083367</t>
  </si>
  <si>
    <t>2-003129</t>
  </si>
  <si>
    <t>CGL25073316</t>
  </si>
  <si>
    <t>1-003130</t>
  </si>
  <si>
    <t>2-003131</t>
  </si>
  <si>
    <t>CGL25073307</t>
  </si>
  <si>
    <t>2-003132</t>
  </si>
  <si>
    <t>CGL25083352</t>
  </si>
  <si>
    <t>1-003133</t>
  </si>
  <si>
    <t>CGL25083407</t>
  </si>
  <si>
    <t>2-003134</t>
  </si>
  <si>
    <t>CGL25073270</t>
  </si>
  <si>
    <t>2-003135</t>
  </si>
  <si>
    <t>CGL25083350</t>
  </si>
  <si>
    <t>2-003136</t>
  </si>
  <si>
    <t>CGL25083368</t>
  </si>
  <si>
    <t>2-003137</t>
  </si>
  <si>
    <t>CGL25083401</t>
  </si>
  <si>
    <t>2-003138</t>
  </si>
  <si>
    <t>CGL25083399</t>
  </si>
  <si>
    <t>2-003139</t>
  </si>
  <si>
    <t>CGL25083389</t>
  </si>
  <si>
    <t>2-003140</t>
  </si>
  <si>
    <t>CGL25083392</t>
  </si>
  <si>
    <t>2-003141</t>
  </si>
  <si>
    <t>1-003142</t>
  </si>
  <si>
    <t>CGL25083426</t>
  </si>
  <si>
    <t>1-003143</t>
  </si>
  <si>
    <t>1-003144</t>
  </si>
  <si>
    <t>CGL25083364</t>
  </si>
  <si>
    <t>1-003145</t>
  </si>
  <si>
    <t>CGL25083331</t>
  </si>
  <si>
    <t>1-003146</t>
  </si>
  <si>
    <t>2-003147</t>
  </si>
  <si>
    <t>CGL25083369</t>
  </si>
  <si>
    <t>1-003148</t>
  </si>
  <si>
    <t>CGL25083404</t>
  </si>
  <si>
    <t>1-003149</t>
  </si>
  <si>
    <t>CGL25063155</t>
  </si>
  <si>
    <t>NAPS-GUANAJUATO AMERICAN BOA</t>
  </si>
  <si>
    <t>1-003151</t>
  </si>
  <si>
    <t>CGL25073282</t>
  </si>
  <si>
    <t>C0098</t>
  </si>
  <si>
    <t>NAPS-JUAREZ</t>
  </si>
  <si>
    <t>2-003152</t>
  </si>
  <si>
    <t>CGL25083403</t>
  </si>
  <si>
    <t>1-003153</t>
  </si>
  <si>
    <t>CGL25083374</t>
  </si>
  <si>
    <t>2-003154</t>
  </si>
  <si>
    <t>CGL25083393</t>
  </si>
  <si>
    <t>1-003155</t>
  </si>
  <si>
    <t>CGL25083383</t>
  </si>
  <si>
    <t>1-003156</t>
  </si>
  <si>
    <t>CGL25083343</t>
  </si>
  <si>
    <t>1-003157</t>
  </si>
  <si>
    <t>CGL25083381</t>
  </si>
  <si>
    <t>1-003158</t>
  </si>
  <si>
    <t>CGL25083382</t>
  </si>
  <si>
    <t>1-003159</t>
  </si>
  <si>
    <t>CGL25083388</t>
  </si>
  <si>
    <t>1-003160</t>
  </si>
  <si>
    <t>CGL25083385</t>
  </si>
  <si>
    <t>1-003161</t>
  </si>
  <si>
    <t>CGL25083386</t>
  </si>
  <si>
    <t>1-003162</t>
  </si>
  <si>
    <t>CGL25083394</t>
  </si>
  <si>
    <t>1-003163</t>
  </si>
  <si>
    <t>CGL25083384</t>
  </si>
  <si>
    <t>2-003164</t>
  </si>
  <si>
    <t>CGL25083417</t>
  </si>
  <si>
    <t>2-003165</t>
  </si>
  <si>
    <t>CGL25083415</t>
  </si>
  <si>
    <t>1-003166</t>
  </si>
  <si>
    <t>CGL25073292</t>
  </si>
  <si>
    <t>1-003167</t>
  </si>
  <si>
    <t>CGL25083373</t>
  </si>
  <si>
    <t>2-003168</t>
  </si>
  <si>
    <t>CGL25073309</t>
  </si>
  <si>
    <t>2-003169</t>
  </si>
  <si>
    <t>CGL25083347</t>
  </si>
  <si>
    <t>1-003170</t>
  </si>
  <si>
    <t>CGL25073239</t>
  </si>
  <si>
    <t>1-003171</t>
  </si>
  <si>
    <t>CGL25063135</t>
  </si>
  <si>
    <t>2-003172</t>
  </si>
  <si>
    <t>CGL25083416</t>
  </si>
  <si>
    <t>1-003173</t>
  </si>
  <si>
    <t>CGL25073238</t>
  </si>
  <si>
    <t>1-003174</t>
  </si>
  <si>
    <t>CGL25083410</t>
  </si>
  <si>
    <t>1-003175</t>
  </si>
  <si>
    <t>CGL25083413</t>
  </si>
  <si>
    <t>1-003176</t>
  </si>
  <si>
    <t>CGL25073243</t>
  </si>
  <si>
    <t>2-003177</t>
  </si>
  <si>
    <t>CGL25083372</t>
  </si>
  <si>
    <t>1-003178</t>
  </si>
  <si>
    <t>CGL25083408</t>
  </si>
  <si>
    <t>1-003179</t>
  </si>
  <si>
    <t>CGL25083371</t>
  </si>
  <si>
    <t>1-003180</t>
  </si>
  <si>
    <t>1-003181</t>
  </si>
  <si>
    <t>CGL25083435</t>
  </si>
  <si>
    <t>2-003182</t>
  </si>
  <si>
    <t>CGL25083427</t>
  </si>
  <si>
    <t>1-003183</t>
  </si>
  <si>
    <t>CGL25093451</t>
  </si>
  <si>
    <t>2-003184</t>
  </si>
  <si>
    <t>CGL25083406</t>
  </si>
  <si>
    <t>2-003185</t>
  </si>
  <si>
    <t>CGL25083405</t>
  </si>
  <si>
    <t>2-003186</t>
  </si>
  <si>
    <t>CGL25083421</t>
  </si>
  <si>
    <t>2-003187</t>
  </si>
  <si>
    <t>CGL25083422</t>
  </si>
  <si>
    <t>2-003188</t>
  </si>
  <si>
    <t>CGL25083433</t>
  </si>
  <si>
    <t>2-003189</t>
  </si>
  <si>
    <t>CGL25083400</t>
  </si>
  <si>
    <t>1-003190</t>
  </si>
  <si>
    <t>2-003191</t>
  </si>
  <si>
    <t>CGL25083418</t>
  </si>
  <si>
    <t>2-003192</t>
  </si>
  <si>
    <t>1-003193</t>
  </si>
  <si>
    <t>CGL25083445</t>
  </si>
  <si>
    <t>1-003194</t>
  </si>
  <si>
    <t>CGL25093452</t>
  </si>
  <si>
    <t>1-003195</t>
  </si>
  <si>
    <t>CGL25083439</t>
  </si>
  <si>
    <t>1-003197</t>
  </si>
  <si>
    <t>CGL25083443</t>
  </si>
  <si>
    <t>1-003198</t>
  </si>
  <si>
    <t>CGL25083442</t>
  </si>
  <si>
    <t>1-003199</t>
  </si>
  <si>
    <t>CGL25083441</t>
  </si>
  <si>
    <t>2-003200</t>
  </si>
  <si>
    <t>CGL25093449</t>
  </si>
  <si>
    <t>2-003201</t>
  </si>
  <si>
    <t>CGL25083355</t>
  </si>
  <si>
    <t>2-003202</t>
  </si>
  <si>
    <t>CGL25073277</t>
  </si>
  <si>
    <t>2-003203</t>
  </si>
  <si>
    <t>CGL25083436</t>
  </si>
  <si>
    <t>2-003204</t>
  </si>
  <si>
    <t>CGL25093448</t>
  </si>
  <si>
    <t>1-003205</t>
  </si>
  <si>
    <t>CGL25093455</t>
  </si>
  <si>
    <t>2-003206</t>
  </si>
  <si>
    <t>CGL25083411</t>
  </si>
  <si>
    <t>2-003207</t>
  </si>
  <si>
    <t>CGL25093453</t>
  </si>
  <si>
    <t>1-003208</t>
  </si>
  <si>
    <t>CGL25083390</t>
  </si>
  <si>
    <t>2-003209</t>
  </si>
  <si>
    <t>CGL25083376</t>
  </si>
  <si>
    <t>2-003210</t>
  </si>
  <si>
    <t>CGL25093459</t>
  </si>
  <si>
    <t>1-003211</t>
  </si>
  <si>
    <t>CGL25093447</t>
  </si>
  <si>
    <t>1-003212</t>
  </si>
  <si>
    <t>CGL25083430</t>
  </si>
  <si>
    <t>2-003213</t>
  </si>
  <si>
    <t>CGL25083444</t>
  </si>
  <si>
    <t>1-003214</t>
  </si>
  <si>
    <t>CGL25083429</t>
  </si>
  <si>
    <t>2-003215</t>
  </si>
  <si>
    <t>CGL25083437</t>
  </si>
  <si>
    <t>2-003216</t>
  </si>
  <si>
    <t>CGL25083425</t>
  </si>
  <si>
    <t>1-003217</t>
  </si>
  <si>
    <t>CGL25083446</t>
  </si>
  <si>
    <t>1-003218</t>
  </si>
  <si>
    <t>CGL25093454</t>
  </si>
  <si>
    <t>2-003219</t>
  </si>
  <si>
    <t>CGL25093460</t>
  </si>
  <si>
    <t>1-003220</t>
  </si>
  <si>
    <t>CGL25083409</t>
  </si>
  <si>
    <t>1-003221</t>
  </si>
  <si>
    <t>CGL25083434</t>
  </si>
  <si>
    <t>2-003222</t>
  </si>
  <si>
    <t>CGL25093496</t>
  </si>
  <si>
    <t>2-003223</t>
  </si>
  <si>
    <t>CGL25093495</t>
  </si>
  <si>
    <t>2-003224</t>
  </si>
  <si>
    <t>CGL25083419</t>
  </si>
  <si>
    <t>2-003225</t>
  </si>
  <si>
    <t>CGL25093461</t>
  </si>
  <si>
    <t>1-003226</t>
  </si>
  <si>
    <t>CGL25093458</t>
  </si>
  <si>
    <t>1-003227</t>
  </si>
  <si>
    <t>CGL25093456</t>
  </si>
  <si>
    <t>2-003228</t>
  </si>
  <si>
    <t>CGL25093486</t>
  </si>
  <si>
    <t>1-003229</t>
  </si>
  <si>
    <t>CGL25093484</t>
  </si>
  <si>
    <t>2-003230</t>
  </si>
  <si>
    <t>CGL25093438</t>
  </si>
  <si>
    <t>SELLOS Y RETENES</t>
  </si>
  <si>
    <t>CGL25093517</t>
  </si>
  <si>
    <t>2-003231</t>
  </si>
  <si>
    <t>2-003232</t>
  </si>
  <si>
    <t>CGL25093502</t>
  </si>
  <si>
    <t>2-003233</t>
  </si>
  <si>
    <t>CGL25093507</t>
  </si>
  <si>
    <t>2-003234</t>
  </si>
  <si>
    <t>CGL25093508</t>
  </si>
  <si>
    <t>1-003235</t>
  </si>
  <si>
    <t>CGL25093501</t>
  </si>
  <si>
    <t>1-003236</t>
  </si>
  <si>
    <t>CGL25093515</t>
  </si>
  <si>
    <t>1-003237</t>
  </si>
  <si>
    <t>CGL25093489</t>
  </si>
  <si>
    <t>CGL25093500</t>
  </si>
  <si>
    <t>2-003239</t>
  </si>
  <si>
    <t>CGL25093490</t>
  </si>
  <si>
    <t>1-003240</t>
  </si>
  <si>
    <t>CGL25083412</t>
  </si>
  <si>
    <t>1-003241</t>
  </si>
  <si>
    <t>CGL25083440</t>
  </si>
  <si>
    <t>1-003242</t>
  </si>
  <si>
    <t>CGL25093503</t>
  </si>
  <si>
    <t>1-003243</t>
  </si>
  <si>
    <t>CGL25093505</t>
  </si>
  <si>
    <t>1-003244</t>
  </si>
  <si>
    <t>CGL25083328 // CGL25083336</t>
  </si>
  <si>
    <t>1-003245</t>
  </si>
  <si>
    <t>CGL25073315</t>
  </si>
  <si>
    <t xml:space="preserve">SEGURO </t>
  </si>
  <si>
    <t>1-003246</t>
  </si>
  <si>
    <t>CGL25093457</t>
  </si>
  <si>
    <t>1-003247</t>
  </si>
  <si>
    <t>CGL25093462</t>
  </si>
  <si>
    <t>1-003248</t>
  </si>
  <si>
    <t>CGL25093494</t>
  </si>
  <si>
    <t>1-003249</t>
  </si>
  <si>
    <t>CGL25093488</t>
  </si>
  <si>
    <t>2-003250</t>
  </si>
  <si>
    <t>CGL25093471</t>
  </si>
  <si>
    <t>2-003251</t>
  </si>
  <si>
    <t>CGL25083420</t>
  </si>
  <si>
    <t>2-003252</t>
  </si>
  <si>
    <t>CGL25083431</t>
  </si>
  <si>
    <t>2-003253</t>
  </si>
  <si>
    <t>CGL25093528</t>
  </si>
  <si>
    <t>1-003254</t>
  </si>
  <si>
    <t>CGL25093450</t>
  </si>
  <si>
    <t>1-003255</t>
  </si>
  <si>
    <t>CGL25093497</t>
  </si>
  <si>
    <t>1-003256</t>
  </si>
  <si>
    <t>CGL25093527</t>
  </si>
  <si>
    <t>1-003257</t>
  </si>
  <si>
    <t>CGL25093499</t>
  </si>
  <si>
    <t>1-003258</t>
  </si>
  <si>
    <t>1-003259</t>
  </si>
  <si>
    <t>1-003260</t>
  </si>
  <si>
    <t>1-003261</t>
  </si>
  <si>
    <t>1-003262</t>
  </si>
  <si>
    <t>2-003263</t>
  </si>
  <si>
    <t>CGL25093509</t>
  </si>
  <si>
    <t>1-003265</t>
  </si>
  <si>
    <t>CGL25093464</t>
  </si>
  <si>
    <t>1-003266</t>
  </si>
  <si>
    <t>CGL25022617</t>
  </si>
  <si>
    <t>1-003267</t>
  </si>
  <si>
    <t>1-003268</t>
  </si>
  <si>
    <t xml:space="preserve">ok </t>
  </si>
  <si>
    <t>2-003238</t>
  </si>
  <si>
    <t>PROFIT</t>
  </si>
  <si>
    <t>EJECUTIVO</t>
  </si>
  <si>
    <t>T OPERACIÓN</t>
  </si>
  <si>
    <t>2-003269</t>
  </si>
  <si>
    <t>CGL25093510</t>
  </si>
  <si>
    <t>2-003270</t>
  </si>
  <si>
    <t>CGL25093521</t>
  </si>
  <si>
    <t>1-003271</t>
  </si>
  <si>
    <t>CGL25093504</t>
  </si>
  <si>
    <t>2-003272</t>
  </si>
  <si>
    <t>CGL25063061</t>
  </si>
  <si>
    <t>2-003273</t>
  </si>
  <si>
    <t>CGL25093476</t>
  </si>
  <si>
    <t>2-003274</t>
  </si>
  <si>
    <t>CGL25093525</t>
  </si>
  <si>
    <t>2-003275</t>
  </si>
  <si>
    <t>CGL25093549</t>
  </si>
  <si>
    <t>2-003276</t>
  </si>
  <si>
    <t>CGL25093546</t>
  </si>
  <si>
    <t>2-003277</t>
  </si>
  <si>
    <t>CGL25093548</t>
  </si>
  <si>
    <t>1-003278</t>
  </si>
  <si>
    <t>CGL25103583</t>
  </si>
  <si>
    <t>JESSICA</t>
  </si>
  <si>
    <t>T</t>
  </si>
  <si>
    <t>MELISA</t>
  </si>
  <si>
    <t xml:space="preserve">A </t>
  </si>
  <si>
    <t>LOREFANY</t>
  </si>
  <si>
    <t>ISRAEL</t>
  </si>
  <si>
    <t>M</t>
  </si>
  <si>
    <t>1-003279</t>
  </si>
  <si>
    <t>CGL25093542</t>
  </si>
  <si>
    <t>1-003280</t>
  </si>
  <si>
    <t>CGL25093511</t>
  </si>
  <si>
    <t>2-003281</t>
  </si>
  <si>
    <t>CGL25093550</t>
  </si>
  <si>
    <t>2-003282</t>
  </si>
  <si>
    <t>CGL25093485</t>
  </si>
  <si>
    <t>2-003283</t>
  </si>
  <si>
    <t>CGL25093529</t>
  </si>
  <si>
    <t>C0017</t>
  </si>
  <si>
    <t>DISTRIBUIDORA DE HERRAMIENTAS UNICORNIO</t>
  </si>
  <si>
    <t>ELIAS</t>
  </si>
  <si>
    <t>ALONSO</t>
  </si>
  <si>
    <t>LUIS</t>
  </si>
  <si>
    <t>2-003284</t>
  </si>
  <si>
    <t>CGL25103557</t>
  </si>
  <si>
    <t xml:space="preserve">LOREFANY </t>
  </si>
  <si>
    <t>1-003285</t>
  </si>
  <si>
    <t>CGL25093482</t>
  </si>
  <si>
    <t>1-003286</t>
  </si>
  <si>
    <t>CGL25103559</t>
  </si>
  <si>
    <t>1-003287</t>
  </si>
  <si>
    <t>CGL25103558</t>
  </si>
  <si>
    <t>1-003288</t>
  </si>
  <si>
    <t>CGL25093463</t>
  </si>
  <si>
    <t>1-003289</t>
  </si>
  <si>
    <t>CGL25093522</t>
  </si>
  <si>
    <t>1-003290</t>
  </si>
  <si>
    <t>CGL25103560</t>
  </si>
  <si>
    <t>1-003291</t>
  </si>
  <si>
    <t>CGL25093541</t>
  </si>
  <si>
    <t>1-003292</t>
  </si>
  <si>
    <t>NAPS JUAREZ DURHAM</t>
  </si>
  <si>
    <t>1-003293</t>
  </si>
  <si>
    <t>CGL25103551</t>
  </si>
  <si>
    <t>1-003294</t>
  </si>
  <si>
    <t>CGL25083395</t>
  </si>
  <si>
    <t>1-003295</t>
  </si>
  <si>
    <t>A</t>
  </si>
  <si>
    <t>1-003296</t>
  </si>
  <si>
    <t>2-003297</t>
  </si>
  <si>
    <t>CGL25093519</t>
  </si>
  <si>
    <t>1-003298</t>
  </si>
  <si>
    <t>CGL25103567</t>
  </si>
  <si>
    <t>1-003299</t>
  </si>
  <si>
    <t>CGL25103552</t>
  </si>
  <si>
    <t>1-003300</t>
  </si>
  <si>
    <t>CGL25103576</t>
  </si>
  <si>
    <t>1-003301</t>
  </si>
  <si>
    <t>CGL25103554</t>
  </si>
  <si>
    <t>1-003302</t>
  </si>
  <si>
    <t>CGL25093523</t>
  </si>
  <si>
    <t>1-003303</t>
  </si>
  <si>
    <t>CGL25103556</t>
  </si>
  <si>
    <t>2-003304</t>
  </si>
  <si>
    <t>CGL25093539</t>
  </si>
  <si>
    <t>2-003305</t>
  </si>
  <si>
    <t>CGL25103561</t>
  </si>
  <si>
    <t>2-003306</t>
  </si>
  <si>
    <t>CGL25103585</t>
  </si>
  <si>
    <t>1-003307</t>
  </si>
  <si>
    <t>2-003208</t>
  </si>
  <si>
    <t>CGL25103570</t>
  </si>
  <si>
    <t>2-003309</t>
  </si>
  <si>
    <t>CGL25103568</t>
  </si>
  <si>
    <t>1-003310</t>
  </si>
  <si>
    <t>CGL25103577</t>
  </si>
  <si>
    <t>1-003311</t>
  </si>
  <si>
    <t>CGL25103555</t>
  </si>
  <si>
    <t>2-003312</t>
  </si>
  <si>
    <t>CGL25103604</t>
  </si>
  <si>
    <t>1-003313</t>
  </si>
  <si>
    <t>CGL25103553</t>
  </si>
  <si>
    <t>1-003314</t>
  </si>
  <si>
    <t>CGL25103584</t>
  </si>
  <si>
    <t>1-003315</t>
  </si>
  <si>
    <t>CGL25103602</t>
  </si>
  <si>
    <t>1-003317</t>
  </si>
  <si>
    <t>CGL23080811</t>
  </si>
  <si>
    <t>2-003318</t>
  </si>
  <si>
    <t>CGL25103591</t>
  </si>
  <si>
    <t>2-003319</t>
  </si>
  <si>
    <t>CGL25093478</t>
  </si>
  <si>
    <t>1-003320</t>
  </si>
  <si>
    <t>CGL25103640</t>
  </si>
  <si>
    <t>1-003321</t>
  </si>
  <si>
    <t>CGL25103578</t>
  </si>
  <si>
    <t>CGL25103579</t>
  </si>
  <si>
    <t>1-003223</t>
  </si>
  <si>
    <t>CGL25103580</t>
  </si>
  <si>
    <t>1-003322</t>
  </si>
  <si>
    <t>1-003324</t>
  </si>
  <si>
    <t>CGL25103644</t>
  </si>
  <si>
    <t>CGL25083387</t>
  </si>
  <si>
    <t>1-003326</t>
  </si>
  <si>
    <t>CGL25083414</t>
  </si>
  <si>
    <t>1-003327</t>
  </si>
  <si>
    <t>CGL25103545</t>
  </si>
  <si>
    <t>1-003328</t>
  </si>
  <si>
    <t>1-003329</t>
  </si>
  <si>
    <t>CGL25103572</t>
  </si>
  <si>
    <t>1-003330</t>
  </si>
  <si>
    <t>2-003331</t>
  </si>
  <si>
    <t>2-003332</t>
  </si>
  <si>
    <t>1-003333</t>
  </si>
  <si>
    <t>2-003334</t>
  </si>
  <si>
    <t>2-003335</t>
  </si>
  <si>
    <t>1-003336</t>
  </si>
  <si>
    <t>1-003337</t>
  </si>
  <si>
    <t>1-003338</t>
  </si>
  <si>
    <t>2-003339</t>
  </si>
  <si>
    <t>1-003340</t>
  </si>
  <si>
    <t>1-003341</t>
  </si>
  <si>
    <t>1-003342</t>
  </si>
  <si>
    <t>1-003343</t>
  </si>
  <si>
    <t>2-003344</t>
  </si>
  <si>
    <t>2-003345</t>
  </si>
  <si>
    <t>2-003346</t>
  </si>
  <si>
    <t>1-003347</t>
  </si>
  <si>
    <t>1-003348</t>
  </si>
  <si>
    <t>1-003349</t>
  </si>
  <si>
    <t>1-003350</t>
  </si>
  <si>
    <t>2-003351</t>
  </si>
  <si>
    <t>1-003352</t>
  </si>
  <si>
    <t>2-003353</t>
  </si>
  <si>
    <t>1-003354</t>
  </si>
  <si>
    <t>C0102</t>
  </si>
  <si>
    <t>1-003355</t>
  </si>
  <si>
    <t>1-003356</t>
  </si>
  <si>
    <t>1-003357</t>
  </si>
  <si>
    <t>1-003358</t>
  </si>
  <si>
    <t>1-003359</t>
  </si>
  <si>
    <t>CGL25093506</t>
  </si>
  <si>
    <t>CGL25103571</t>
  </si>
  <si>
    <t>CGL25103596</t>
  </si>
  <si>
    <t>CGL25103630</t>
  </si>
  <si>
    <t>CGL25103641</t>
  </si>
  <si>
    <t>CGL25093467 // CGL25093516</t>
  </si>
  <si>
    <t>CGL25103581</t>
  </si>
  <si>
    <t>CGL25103569</t>
  </si>
  <si>
    <t>CGL25103601</t>
  </si>
  <si>
    <t>CGL25103606</t>
  </si>
  <si>
    <t>CGL25103634</t>
  </si>
  <si>
    <t>CGL25103598</t>
  </si>
  <si>
    <t>CGL25103599</t>
  </si>
  <si>
    <t>CGL25103589</t>
  </si>
  <si>
    <t>CGL25103587</t>
  </si>
  <si>
    <t>CGL25093547</t>
  </si>
  <si>
    <t>CGL25103588</t>
  </si>
  <si>
    <t>CGL25103605</t>
  </si>
  <si>
    <t>CGL25103626</t>
  </si>
  <si>
    <t>CGL25103661</t>
  </si>
  <si>
    <t>CGL25103627</t>
  </si>
  <si>
    <t>CGL25103566</t>
  </si>
  <si>
    <t>JOINT PRODUCTION BOOTH</t>
  </si>
  <si>
    <t>CGL25093465</t>
  </si>
  <si>
    <t>CGL25093530</t>
  </si>
  <si>
    <t>CGL25093518</t>
  </si>
  <si>
    <t>CGL25093487</t>
  </si>
  <si>
    <t>2-003360</t>
  </si>
  <si>
    <t>CGL25103616</t>
  </si>
  <si>
    <t>2-003361</t>
  </si>
  <si>
    <t>CGL25103619</t>
  </si>
  <si>
    <t>1-003362</t>
  </si>
  <si>
    <t>CGL25103621</t>
  </si>
  <si>
    <t>1-003363</t>
  </si>
  <si>
    <t>CGL25103657</t>
  </si>
  <si>
    <t>1-003364</t>
  </si>
  <si>
    <t>CGL25103659</t>
  </si>
  <si>
    <t>2-003365</t>
  </si>
  <si>
    <t>CGL25103615</t>
  </si>
  <si>
    <t>2-003366</t>
  </si>
  <si>
    <t>CGL25103628</t>
  </si>
  <si>
    <t>2-003367</t>
  </si>
  <si>
    <t>CGL25103593</t>
  </si>
  <si>
    <t>2-003368</t>
  </si>
  <si>
    <t>CGL25103662</t>
  </si>
  <si>
    <t>1-003369</t>
  </si>
  <si>
    <t>CGL25103665</t>
  </si>
  <si>
    <t>2-003370</t>
  </si>
  <si>
    <t>CGL25103633</t>
  </si>
  <si>
    <t>2-003371</t>
  </si>
  <si>
    <t>CGL25103651</t>
  </si>
  <si>
    <t>2-003372</t>
  </si>
  <si>
    <t>1-003373</t>
  </si>
  <si>
    <t>1-003374</t>
  </si>
  <si>
    <t>CGL25103624</t>
  </si>
  <si>
    <t>CGL25103620</t>
  </si>
  <si>
    <t>2-003375</t>
  </si>
  <si>
    <t>CGL25093480</t>
  </si>
  <si>
    <t>2-003376</t>
  </si>
  <si>
    <t>CGL25103613</t>
  </si>
  <si>
    <t>1-003377</t>
  </si>
  <si>
    <t>CGL25103675</t>
  </si>
  <si>
    <t>C0051</t>
  </si>
  <si>
    <t>2-003378</t>
  </si>
  <si>
    <t>CGL25103655</t>
  </si>
  <si>
    <t xml:space="preserve">NAPS-GUANAJUATO NORTH WIRE INC </t>
  </si>
  <si>
    <t>1-003379</t>
  </si>
  <si>
    <t>CGL25103625</t>
  </si>
  <si>
    <t>2-003380</t>
  </si>
  <si>
    <t>CGL25103609</t>
  </si>
  <si>
    <t>1-003381</t>
  </si>
  <si>
    <t>CGL25103672</t>
  </si>
  <si>
    <t>1-003382</t>
  </si>
  <si>
    <t>CGL25103643</t>
  </si>
  <si>
    <t>1-003383</t>
  </si>
  <si>
    <t>CGL25103610</t>
  </si>
  <si>
    <t>MELISSA</t>
  </si>
  <si>
    <t xml:space="preserve">LUIS </t>
  </si>
  <si>
    <t xml:space="preserve">ALONSO </t>
  </si>
  <si>
    <t>1-003384</t>
  </si>
  <si>
    <t>CGL25113676</t>
  </si>
  <si>
    <t>1-003385</t>
  </si>
  <si>
    <t>CGL25103677</t>
  </si>
  <si>
    <t>1-003386</t>
  </si>
  <si>
    <t>CGL25093466</t>
  </si>
  <si>
    <t>1-003387</t>
  </si>
  <si>
    <t>CGL25113704</t>
  </si>
  <si>
    <t>1-003388</t>
  </si>
  <si>
    <t>CGL25113708</t>
  </si>
  <si>
    <t>1-003389</t>
  </si>
  <si>
    <t>CGL25113709</t>
  </si>
  <si>
    <t>1-003390</t>
  </si>
  <si>
    <t>CGL25113666</t>
  </si>
  <si>
    <t>1-003391</t>
  </si>
  <si>
    <t>CGL25113692</t>
  </si>
  <si>
    <t>1-003392</t>
  </si>
  <si>
    <t>CGL25113699</t>
  </si>
  <si>
    <t>2-003393</t>
  </si>
  <si>
    <t>CGL25093520</t>
  </si>
  <si>
    <t>2-003394</t>
  </si>
  <si>
    <t>2-003395</t>
  </si>
  <si>
    <t>1-003396</t>
  </si>
  <si>
    <t>2-003397</t>
  </si>
  <si>
    <t>CGL25103663</t>
  </si>
  <si>
    <t>CGL25103618</t>
  </si>
  <si>
    <t>CGL25113712</t>
  </si>
  <si>
    <t>CGL25103614</t>
  </si>
  <si>
    <t xml:space="preserve">JESUS </t>
  </si>
  <si>
    <t>2-003398</t>
  </si>
  <si>
    <t>CGL25103611</t>
  </si>
  <si>
    <t>2-003399</t>
  </si>
  <si>
    <t>CGL25113697</t>
  </si>
  <si>
    <t>1-003400</t>
  </si>
  <si>
    <t>CGL25103684</t>
  </si>
  <si>
    <t>2-003401</t>
  </si>
  <si>
    <t>CGL25103660</t>
  </si>
  <si>
    <t>1-003402</t>
  </si>
  <si>
    <t>CGL25093513</t>
  </si>
  <si>
    <t>1-003403</t>
  </si>
  <si>
    <t>CGL25113694</t>
  </si>
  <si>
    <t>1-003404</t>
  </si>
  <si>
    <t>CGL25113700</t>
  </si>
  <si>
    <t>1-003405</t>
  </si>
  <si>
    <t>CGL25113702</t>
  </si>
  <si>
    <t>1-003406</t>
  </si>
  <si>
    <t>CGL25113703</t>
  </si>
  <si>
    <t>1-003407</t>
  </si>
  <si>
    <t>CGL25113705</t>
  </si>
  <si>
    <t>1-003408</t>
  </si>
  <si>
    <t>CGL25113706</t>
  </si>
  <si>
    <t>1-003409</t>
  </si>
  <si>
    <t>CGL25113707</t>
  </si>
  <si>
    <t>1-003410</t>
  </si>
  <si>
    <t>CGL25113721</t>
  </si>
  <si>
    <t>1-003411</t>
  </si>
  <si>
    <t>CGL25113667</t>
  </si>
  <si>
    <t>1-003412</t>
  </si>
  <si>
    <t>CGL25093526</t>
  </si>
  <si>
    <t>2-003413</t>
  </si>
  <si>
    <t>C0103</t>
  </si>
  <si>
    <t xml:space="preserve">GSI FABRIL </t>
  </si>
  <si>
    <t>2-003414</t>
  </si>
  <si>
    <t>CGL25113723</t>
  </si>
  <si>
    <t>1-003415</t>
  </si>
  <si>
    <t>CGL25113701</t>
  </si>
  <si>
    <t>2-003416</t>
  </si>
  <si>
    <t>CGL25103682</t>
  </si>
  <si>
    <t>1-003417</t>
  </si>
  <si>
    <t>CGL25093514</t>
  </si>
  <si>
    <t>2-003418</t>
  </si>
  <si>
    <t>CGL25103683</t>
  </si>
  <si>
    <t>2-003419</t>
  </si>
  <si>
    <t>CGL25113727</t>
  </si>
  <si>
    <t>2-003420</t>
  </si>
  <si>
    <t>CGL25113716</t>
  </si>
  <si>
    <t>1-003421</t>
  </si>
  <si>
    <t>CGL25103622</t>
  </si>
  <si>
    <t>2-003422</t>
  </si>
  <si>
    <t>CGL25103680</t>
  </si>
  <si>
    <t>CGL25103678</t>
  </si>
  <si>
    <t>2-003423</t>
  </si>
  <si>
    <t>CGL25103632</t>
  </si>
  <si>
    <t>2-003424</t>
  </si>
  <si>
    <t>CGL25103642</t>
  </si>
  <si>
    <t>1-003425</t>
  </si>
  <si>
    <t>CGL25113730</t>
  </si>
  <si>
    <t>1-003426</t>
  </si>
  <si>
    <t>1-003427</t>
  </si>
  <si>
    <t>CGL25103654</t>
  </si>
  <si>
    <t>2-003428</t>
  </si>
  <si>
    <t>CGL25113722</t>
  </si>
  <si>
    <t>2-003429</t>
  </si>
  <si>
    <t>CGL25113726</t>
  </si>
  <si>
    <t>2-003430</t>
  </si>
  <si>
    <t>CGL25113759</t>
  </si>
  <si>
    <t>RODRIGO</t>
  </si>
  <si>
    <t>2-003431</t>
  </si>
  <si>
    <t>CGL25103623</t>
  </si>
  <si>
    <t>2-003432</t>
  </si>
  <si>
    <t>CGL25103631</t>
  </si>
  <si>
    <t>2-003433</t>
  </si>
  <si>
    <t>CGL25103636</t>
  </si>
  <si>
    <t>2-003434</t>
  </si>
  <si>
    <t>CGL25103639</t>
  </si>
  <si>
    <t>2-003435</t>
  </si>
  <si>
    <t>CGL25103652</t>
  </si>
  <si>
    <t>2-003436</t>
  </si>
  <si>
    <t>CGL25103656</t>
  </si>
  <si>
    <t>2-003437</t>
  </si>
  <si>
    <t>CGL25103653</t>
  </si>
  <si>
    <t>2-003438</t>
  </si>
  <si>
    <t>CGL25103650</t>
  </si>
  <si>
    <t>1-003439</t>
  </si>
  <si>
    <t>CGL25113736</t>
  </si>
  <si>
    <t>CGL25113725</t>
  </si>
  <si>
    <t>1-003440</t>
  </si>
  <si>
    <t>1-003441</t>
  </si>
  <si>
    <t>CGL25113742</t>
  </si>
  <si>
    <t>1-003442</t>
  </si>
  <si>
    <t>CGL25113744</t>
  </si>
  <si>
    <t>1-003443</t>
  </si>
  <si>
    <t>CGL25113741</t>
  </si>
  <si>
    <t>1-003444</t>
  </si>
  <si>
    <t>CGL25113747</t>
  </si>
  <si>
    <t>1-003445</t>
  </si>
  <si>
    <t>CGL25113696</t>
  </si>
  <si>
    <t>2-003446</t>
  </si>
  <si>
    <t>CGL25113740</t>
  </si>
  <si>
    <t>2-003447</t>
  </si>
  <si>
    <t>CGL25113758</t>
  </si>
  <si>
    <t>2-003448</t>
  </si>
  <si>
    <t>CGL25113717</t>
  </si>
  <si>
    <t>2-003449</t>
  </si>
  <si>
    <t>CGL25113738</t>
  </si>
  <si>
    <t>1-003450</t>
  </si>
  <si>
    <t>CGL25103681</t>
  </si>
  <si>
    <t>1-003451</t>
  </si>
  <si>
    <t>CGL25103586</t>
  </si>
  <si>
    <t>2-003452</t>
  </si>
  <si>
    <t>CGL25113739</t>
  </si>
  <si>
    <t>1-003453</t>
  </si>
  <si>
    <t>CGL25113748</t>
  </si>
  <si>
    <t>1-003454</t>
  </si>
  <si>
    <t>CGL25103608</t>
  </si>
  <si>
    <t>2-003455</t>
  </si>
  <si>
    <t>CGL25113771</t>
  </si>
  <si>
    <t>2-003456</t>
  </si>
  <si>
    <t>CGL25103638</t>
  </si>
  <si>
    <t>1-003457</t>
  </si>
  <si>
    <t>CGL25103574 // CGL25103600 // CGL25103647</t>
  </si>
  <si>
    <t>1-003458</t>
  </si>
  <si>
    <t>CGL25113756</t>
  </si>
  <si>
    <t>CGL25113737</t>
  </si>
  <si>
    <t>1-003459</t>
  </si>
  <si>
    <t>1-003460</t>
  </si>
  <si>
    <t>CGL25113720</t>
  </si>
  <si>
    <t>1-003461</t>
  </si>
  <si>
    <t>CGL25113761</t>
  </si>
  <si>
    <t>1-003462</t>
  </si>
  <si>
    <t>CGL25113728</t>
  </si>
  <si>
    <t>1-003463</t>
  </si>
  <si>
    <t>CGL25113760</t>
  </si>
  <si>
    <t>1-003464</t>
  </si>
  <si>
    <t>CGL25113735</t>
  </si>
  <si>
    <t>1-003465</t>
  </si>
  <si>
    <t>CGL25093540</t>
  </si>
  <si>
    <t>1-003466</t>
  </si>
  <si>
    <t>CGL25113714</t>
  </si>
  <si>
    <t>2-003467</t>
  </si>
  <si>
    <t>CGL25113734</t>
  </si>
  <si>
    <t>1-003468</t>
  </si>
  <si>
    <t>CGL25113762</t>
  </si>
  <si>
    <t>1-003469</t>
  </si>
  <si>
    <t>CGL25123796</t>
  </si>
  <si>
    <t>1-003470</t>
  </si>
  <si>
    <t>CGL25123823</t>
  </si>
  <si>
    <t>1-003471</t>
  </si>
  <si>
    <t>CGL25113775</t>
  </si>
  <si>
    <t>1-003472</t>
  </si>
  <si>
    <t>CGL25123824</t>
  </si>
  <si>
    <t>1-003473</t>
  </si>
  <si>
    <t>CGL25113783</t>
  </si>
  <si>
    <t>2-003474</t>
  </si>
  <si>
    <t>CGL25113774</t>
  </si>
  <si>
    <t>1-003475</t>
  </si>
  <si>
    <t>CGL25113784</t>
  </si>
  <si>
    <t>2-003476</t>
  </si>
  <si>
    <t>CGL25113785</t>
  </si>
  <si>
    <t>1-003477</t>
  </si>
  <si>
    <t>CGL25113718</t>
  </si>
  <si>
    <t>1-003478</t>
  </si>
  <si>
    <t>CGL25113751</t>
  </si>
  <si>
    <t>2-003479</t>
  </si>
  <si>
    <t>CGL25113749</t>
  </si>
  <si>
    <t>2-003480</t>
  </si>
  <si>
    <t>CGL25113750</t>
  </si>
  <si>
    <t>2-003481</t>
  </si>
  <si>
    <t>CGL25113780</t>
  </si>
  <si>
    <t>2-003482</t>
  </si>
  <si>
    <t>CGL25123813</t>
  </si>
  <si>
    <t>2-003483</t>
  </si>
  <si>
    <t>CGL25123836</t>
  </si>
  <si>
    <t>2-003484</t>
  </si>
  <si>
    <t>CGL25113787</t>
  </si>
  <si>
    <t>2-003485</t>
  </si>
  <si>
    <t>CGL25113698</t>
  </si>
  <si>
    <t>1-003486</t>
  </si>
  <si>
    <t>CGL25113776</t>
  </si>
  <si>
    <t>2-003487</t>
  </si>
  <si>
    <t>CGL25113768</t>
  </si>
  <si>
    <t>2-003488</t>
  </si>
  <si>
    <t>CGL25113769</t>
  </si>
  <si>
    <t>2-003489</t>
  </si>
  <si>
    <t>CGL25113786</t>
  </si>
  <si>
    <t>2-003490</t>
  </si>
  <si>
    <t>CGL25123803</t>
  </si>
  <si>
    <t>2-003491</t>
  </si>
  <si>
    <t>CGL25123839</t>
  </si>
  <si>
    <t>2-003492</t>
  </si>
  <si>
    <t>CGL25113695</t>
  </si>
  <si>
    <t>2-003493</t>
  </si>
  <si>
    <t>CGL25103690</t>
  </si>
  <si>
    <t>1-003494</t>
  </si>
  <si>
    <t>CGL25123800</t>
  </si>
  <si>
    <t>1-003495</t>
  </si>
  <si>
    <t>CGL25113755</t>
  </si>
  <si>
    <t>1-003496</t>
  </si>
  <si>
    <t>CGL25113773</t>
  </si>
  <si>
    <t>1-003497</t>
  </si>
  <si>
    <t>CGL25113715</t>
  </si>
  <si>
    <t>2-003498</t>
  </si>
  <si>
    <t>CGL25123814</t>
  </si>
  <si>
    <t>C0104</t>
  </si>
  <si>
    <t>LOGISTICA MEXICANA PALCO</t>
  </si>
  <si>
    <t>CGL25123850</t>
  </si>
  <si>
    <t>LOGISTICA DE CARGA MORSAN</t>
  </si>
  <si>
    <t>C0105</t>
  </si>
  <si>
    <t>2-003500</t>
  </si>
  <si>
    <t>CGL25123832</t>
  </si>
  <si>
    <t>2-003501</t>
  </si>
  <si>
    <t>CGL25123817</t>
  </si>
  <si>
    <t>2-003502</t>
  </si>
  <si>
    <t>CGL25123826</t>
  </si>
  <si>
    <t>2-003503</t>
  </si>
  <si>
    <t>CGL25123871</t>
  </si>
  <si>
    <t>2-003504</t>
  </si>
  <si>
    <t>CGL25123804</t>
  </si>
  <si>
    <t>2-003505</t>
  </si>
  <si>
    <t>CGL25123819</t>
  </si>
  <si>
    <t>1-003506</t>
  </si>
  <si>
    <t>CGL25123802</t>
  </si>
  <si>
    <t>1-003507</t>
  </si>
  <si>
    <t>CGL25123827</t>
  </si>
  <si>
    <t>1-003508</t>
  </si>
  <si>
    <t>CGL25123828</t>
  </si>
  <si>
    <t>1-003509</t>
  </si>
  <si>
    <t>CGL25123838</t>
  </si>
  <si>
    <t>1-003510</t>
  </si>
  <si>
    <t>CGL25123825</t>
  </si>
  <si>
    <t>1-003511</t>
  </si>
  <si>
    <t>CGL25123841</t>
  </si>
  <si>
    <t>1-003512</t>
  </si>
  <si>
    <t>CGL25123806</t>
  </si>
  <si>
    <t>2-003513</t>
  </si>
  <si>
    <t>CGL25123816</t>
  </si>
  <si>
    <t>1-003514</t>
  </si>
  <si>
    <t>CGL25113788</t>
  </si>
  <si>
    <t>CGL25123835</t>
  </si>
  <si>
    <t>1-003516</t>
  </si>
  <si>
    <t>CGL25123792</t>
  </si>
  <si>
    <t>1-003517</t>
  </si>
  <si>
    <t>CGL25113777</t>
  </si>
  <si>
    <t>1-003518</t>
  </si>
  <si>
    <t>CGL25123793</t>
  </si>
  <si>
    <t>1-003519</t>
  </si>
  <si>
    <t>CGL25123790</t>
  </si>
  <si>
    <t>1-003520</t>
  </si>
  <si>
    <t>CGL25123789</t>
  </si>
  <si>
    <t>1-003521</t>
  </si>
  <si>
    <t>CGL25123791</t>
  </si>
  <si>
    <t>1-003522</t>
  </si>
  <si>
    <t>CGL25123808</t>
  </si>
  <si>
    <t>1-003523</t>
  </si>
  <si>
    <t>CGL25123794</t>
  </si>
  <si>
    <t>1-003524</t>
  </si>
  <si>
    <t>CGL25123846</t>
  </si>
  <si>
    <t>1-003525</t>
  </si>
  <si>
    <t>1-003526</t>
  </si>
  <si>
    <t>CGL25123852</t>
  </si>
  <si>
    <t>CGL25123860</t>
  </si>
  <si>
    <t>2-003527</t>
  </si>
  <si>
    <t>CGL25123849</t>
  </si>
  <si>
    <t>2-003528</t>
  </si>
  <si>
    <t>CGL25113724</t>
  </si>
  <si>
    <t>LUS</t>
  </si>
  <si>
    <t>1-003529</t>
  </si>
  <si>
    <t>CGL25123853</t>
  </si>
  <si>
    <t>2-003530</t>
  </si>
  <si>
    <t>CGL25123862</t>
  </si>
  <si>
    <t>2-003531</t>
  </si>
  <si>
    <t>CGL25113765</t>
  </si>
  <si>
    <t>2-003532</t>
  </si>
  <si>
    <t>CGL25113766</t>
  </si>
  <si>
    <t>1-003533</t>
  </si>
  <si>
    <t>CGL25123854</t>
  </si>
  <si>
    <t>2-003534</t>
  </si>
  <si>
    <t>CGL25123859</t>
  </si>
  <si>
    <t>1-003535</t>
  </si>
  <si>
    <t>CGL25123843</t>
  </si>
  <si>
    <t>2-003536</t>
  </si>
  <si>
    <t>CGL25103685</t>
  </si>
  <si>
    <t>DESCONSOLIDACION</t>
  </si>
  <si>
    <t>1-003537</t>
  </si>
  <si>
    <t>2-003538</t>
  </si>
  <si>
    <t>CGL25093481</t>
  </si>
  <si>
    <t>2-003539</t>
  </si>
  <si>
    <t>CGL25123857</t>
  </si>
  <si>
    <t>1-003540</t>
  </si>
  <si>
    <t>CGL25103669</t>
  </si>
  <si>
    <t>1-003541</t>
  </si>
  <si>
    <t>CGL25113713 // CGL25113795</t>
  </si>
  <si>
    <t>2-003542</t>
  </si>
  <si>
    <t>CGL25103595</t>
  </si>
  <si>
    <t>1-003543</t>
  </si>
  <si>
    <t>CGL25103673</t>
  </si>
  <si>
    <t>2-003544</t>
  </si>
  <si>
    <t>CGL25103617</t>
  </si>
  <si>
    <t>2-003545</t>
  </si>
  <si>
    <t>CGL25113764</t>
  </si>
  <si>
    <t>1-003546</t>
  </si>
  <si>
    <t>CGL25113746</t>
  </si>
  <si>
    <t>2-003547</t>
  </si>
  <si>
    <t>CGL25123799</t>
  </si>
  <si>
    <t>2-003548</t>
  </si>
  <si>
    <t>CGL25113779</t>
  </si>
  <si>
    <t>2-003549</t>
  </si>
  <si>
    <t>CGL25113778</t>
  </si>
  <si>
    <t>1-003550</t>
  </si>
  <si>
    <t>CGL25103679</t>
  </si>
  <si>
    <t>2-003551</t>
  </si>
  <si>
    <t>CGL25123848</t>
  </si>
  <si>
    <t>2-003552</t>
  </si>
  <si>
    <t>CGL25123807</t>
  </si>
  <si>
    <t>1-003553</t>
  </si>
  <si>
    <t>1-003554</t>
  </si>
  <si>
    <t>2-003555</t>
  </si>
  <si>
    <t>CGL25113772</t>
  </si>
  <si>
    <t>1-003556</t>
  </si>
  <si>
    <t>CGL25103646</t>
  </si>
  <si>
    <t>SPL GLOBAL CO LTD</t>
  </si>
  <si>
    <t>REVALIDACION GUIA  / BOL</t>
  </si>
  <si>
    <t>1-003557</t>
  </si>
  <si>
    <t>CGL25123880</t>
  </si>
  <si>
    <t>2-003558</t>
  </si>
  <si>
    <t>CGL25123845</t>
  </si>
  <si>
    <t>GSI FABRIL</t>
  </si>
  <si>
    <t>1-003559</t>
  </si>
  <si>
    <t>CGL25113733</t>
  </si>
  <si>
    <t>1-003560</t>
  </si>
  <si>
    <t>CGL25103674</t>
  </si>
  <si>
    <t>1-003561</t>
  </si>
  <si>
    <t>CGL25123878</t>
  </si>
  <si>
    <t>2-003562</t>
  </si>
  <si>
    <t>CGL25123875</t>
  </si>
  <si>
    <t>1-003563</t>
  </si>
  <si>
    <t>CGL25123885</t>
  </si>
  <si>
    <t>2-003564</t>
  </si>
  <si>
    <t>CGL25123886</t>
  </si>
  <si>
    <t>2-003565</t>
  </si>
  <si>
    <t>CGL25123888</t>
  </si>
  <si>
    <t>2-003566</t>
  </si>
  <si>
    <t>CGL25123876</t>
  </si>
  <si>
    <t>1-003567</t>
  </si>
  <si>
    <t>CGL25123840</t>
  </si>
  <si>
    <t>1-003568</t>
  </si>
  <si>
    <t>CGL25123881</t>
  </si>
  <si>
    <t>2-003569</t>
  </si>
  <si>
    <t>CGL25103693</t>
  </si>
  <si>
    <t>2-003570</t>
  </si>
  <si>
    <t>2-003571</t>
  </si>
  <si>
    <t>CGL25113798</t>
  </si>
  <si>
    <t>2-003572</t>
  </si>
  <si>
    <t>C0109</t>
  </si>
  <si>
    <t>MORSAN LOGISTICS</t>
  </si>
  <si>
    <t xml:space="preserve"> M</t>
  </si>
  <si>
    <t xml:space="preserve">TOTAL </t>
  </si>
  <si>
    <t>OFICINA</t>
  </si>
  <si>
    <t xml:space="preserve">MONTO </t>
  </si>
  <si>
    <t xml:space="preserve">monto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</si>
</sst>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;[Red]\(#,##0.00\)"/>
    <numFmt numFmtId="165" formatCode="[$USD]\ #,##0.00;[Red][$USD]\ #,##0.00"/>
    <numFmt numFmtId="166" formatCode="_-* #,##0.0000_-;\-* #,##0.0000_-;_-* &quot;-&quot;??_-;_-@_-"/>
    <numFmt numFmtId="167" formatCode="#,##0.00;[Red]#,##0.00"/>
    <numFmt numFmtId="168" formatCode="[$$-80A]#,##0.00;\-[$$-80A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16" fillId="0" borderId="10" xfId="0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4" fontId="16" fillId="0" borderId="0" xfId="0" applyNumberFormat="1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165" fontId="0" fillId="0" borderId="10" xfId="0" applyNumberFormat="1" applyBorder="1"/>
    <xf numFmtId="0" fontId="16" fillId="0" borderId="0" xfId="0" applyFont="1"/>
    <xf numFmtId="164" fontId="16" fillId="0" borderId="0" xfId="0" applyNumberFormat="1" applyFont="1"/>
    <xf numFmtId="164" fontId="16" fillId="0" borderId="13" xfId="0" applyNumberFormat="1" applyFont="1" applyBorder="1"/>
    <xf numFmtId="165" fontId="16" fillId="0" borderId="13" xfId="0" applyNumberFormat="1" applyFont="1" applyBorder="1"/>
    <xf numFmtId="166" fontId="0" fillId="0" borderId="10" xfId="42" applyNumberFormat="1" applyFont="1" applyBorder="1"/>
    <xf numFmtId="0" fontId="0" fillId="0" borderId="10" xfId="0" applyBorder="1" applyAlignment="1">
      <alignment horizontal="right"/>
    </xf>
    <xf numFmtId="164" fontId="16" fillId="0" borderId="14" xfId="0" applyNumberFormat="1" applyFont="1" applyBorder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  <xf numFmtId="43" fontId="0" fillId="0" borderId="0" xfId="42" applyFont="1"/>
    <xf numFmtId="15" fontId="16" fillId="0" borderId="10" xfId="0" applyNumberFormat="1" applyFont="1" applyBorder="1" applyAlignment="1">
      <alignment horizontal="center" vertical="center"/>
    </xf>
    <xf numFmtId="15" fontId="0" fillId="0" borderId="0" xfId="0" applyNumberFormat="1"/>
    <xf numFmtId="15" fontId="16" fillId="0" borderId="11" xfId="0" applyNumberFormat="1" applyFont="1" applyBorder="1" applyAlignment="1">
      <alignment horizontal="center" vertical="center" wrapText="1"/>
    </xf>
    <xf numFmtId="15" fontId="0" fillId="0" borderId="10" xfId="0" applyNumberFormat="1" applyBorder="1"/>
    <xf numFmtId="15" fontId="16" fillId="0" borderId="0" xfId="0" applyNumberFormat="1" applyFont="1"/>
    <xf numFmtId="164" fontId="18" fillId="0" borderId="15" xfId="0" applyNumberFormat="1" applyFont="1" applyBorder="1" applyAlignment="1">
      <alignment horizontal="centerContinuous" vertical="center" wrapText="1"/>
    </xf>
    <xf numFmtId="164" fontId="18" fillId="0" borderId="16" xfId="0" applyNumberFormat="1" applyFont="1" applyBorder="1" applyAlignment="1">
      <alignment horizontal="centerContinuous" vertical="center" wrapText="1"/>
    </xf>
    <xf numFmtId="164" fontId="18" fillId="0" borderId="17" xfId="0" applyNumberFormat="1" applyFont="1" applyBorder="1" applyAlignment="1">
      <alignment horizontal="centerContinuous" vertical="center" wrapText="1"/>
    </xf>
    <xf numFmtId="43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0" fillId="0" borderId="0" xfId="0" applyFont="1"/>
    <xf numFmtId="43" fontId="0" fillId="0" borderId="0" xfId="42" applyFont="1" applyFill="1"/>
    <xf numFmtId="164" fontId="16" fillId="0" borderId="0" xfId="0" applyNumberFormat="1" applyFont="1" applyAlignment="1">
      <alignment horizontal="left" vertical="center" wrapText="1"/>
    </xf>
    <xf numFmtId="0" fontId="21" fillId="0" borderId="10" xfId="0" applyFont="1" applyBorder="1"/>
    <xf numFmtId="15" fontId="21" fillId="0" borderId="10" xfId="0" applyNumberFormat="1" applyFont="1" applyBorder="1"/>
    <xf numFmtId="164" fontId="21" fillId="0" borderId="10" xfId="0" applyNumberFormat="1" applyFont="1" applyBorder="1"/>
    <xf numFmtId="0" fontId="21" fillId="0" borderId="0" xfId="0" applyFont="1"/>
    <xf numFmtId="0" fontId="16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64" fontId="22" fillId="0" borderId="19" xfId="0" applyNumberFormat="1" applyFont="1" applyBorder="1"/>
    <xf numFmtId="164" fontId="16" fillId="0" borderId="20" xfId="0" applyNumberFormat="1" applyFont="1" applyBorder="1"/>
    <xf numFmtId="167" fontId="0" fillId="0" borderId="0" xfId="0" applyNumberFormat="1"/>
    <xf numFmtId="43" fontId="16" fillId="0" borderId="13" xfId="42" applyFont="1" applyBorder="1"/>
    <xf numFmtId="164" fontId="22" fillId="0" borderId="18" xfId="0" applyNumberFormat="1" applyFont="1" applyBorder="1"/>
    <xf numFmtId="44" fontId="0" fillId="0" borderId="0" xfId="44" applyFont="1"/>
    <xf numFmtId="9" fontId="21" fillId="0" borderId="10" xfId="0" applyNumberFormat="1" applyFont="1" applyBorder="1"/>
    <xf numFmtId="9" fontId="0" fillId="0" borderId="10" xfId="0" applyNumberFormat="1" applyBorder="1"/>
    <xf numFmtId="44" fontId="0" fillId="0" borderId="0" xfId="44" applyFont="1" applyFill="1"/>
    <xf numFmtId="44" fontId="16" fillId="0" borderId="0" xfId="44" applyFont="1" applyFill="1"/>
    <xf numFmtId="168" fontId="0" fillId="0" borderId="0" xfId="0" applyNumberFormat="1"/>
    <xf numFmtId="164" fontId="16" fillId="33" borderId="13" xfId="0" applyNumberFormat="1" applyFont="1" applyFill="1" applyBorder="1"/>
    <xf numFmtId="10" fontId="0" fillId="0" borderId="0" xfId="45" applyNumberFormat="1" applyFont="1"/>
    <xf numFmtId="9" fontId="16" fillId="0" borderId="20" xfId="45" applyFont="1" applyBorder="1"/>
    <xf numFmtId="164" fontId="16" fillId="0" borderId="0" xfId="0" applyNumberFormat="1" applyFont="1" applyAlignment="1">
      <alignment vertical="center" wrapText="1"/>
    </xf>
    <xf numFmtId="165" fontId="16" fillId="34" borderId="13" xfId="0" applyNumberFormat="1" applyFont="1" applyFill="1" applyBorder="1"/>
    <xf numFmtId="164" fontId="16" fillId="0" borderId="10" xfId="0" applyNumberFormat="1" applyFont="1" applyBorder="1"/>
    <xf numFmtId="9" fontId="21" fillId="35" borderId="10" xfId="0" applyNumberFormat="1" applyFont="1" applyFill="1" applyBorder="1"/>
    <xf numFmtId="0" fontId="21" fillId="35" borderId="10" xfId="0" applyFont="1" applyFill="1" applyBorder="1"/>
    <xf numFmtId="15" fontId="21" fillId="35" borderId="10" xfId="0" applyNumberFormat="1" applyFont="1" applyFill="1" applyBorder="1"/>
    <xf numFmtId="164" fontId="21" fillId="35" borderId="10" xfId="0" applyNumberFormat="1" applyFont="1" applyFill="1" applyBorder="1"/>
    <xf numFmtId="43" fontId="0" fillId="35" borderId="0" xfId="42" applyFont="1" applyFill="1"/>
    <xf numFmtId="0" fontId="21" fillId="35" borderId="0" xfId="0" applyFont="1" applyFill="1"/>
    <xf numFmtId="0" fontId="0" fillId="35" borderId="0" xfId="0" applyFill="1"/>
    <xf numFmtId="164" fontId="16" fillId="35" borderId="0" xfId="0" applyNumberFormat="1" applyFont="1" applyFill="1" applyAlignment="1">
      <alignment horizontal="left" vertical="center" wrapText="1"/>
    </xf>
    <xf numFmtId="164" fontId="0" fillId="35" borderId="0" xfId="0" applyNumberFormat="1" applyFill="1"/>
    <xf numFmtId="9" fontId="0" fillId="35" borderId="10" xfId="0" applyNumberFormat="1" applyFill="1" applyBorder="1"/>
    <xf numFmtId="0" fontId="0" fillId="35" borderId="10" xfId="0" applyFill="1" applyBorder="1" applyAlignment="1">
      <alignment horizontal="right"/>
    </xf>
    <xf numFmtId="0" fontId="0" fillId="35" borderId="10" xfId="0" applyFill="1" applyBorder="1"/>
    <xf numFmtId="15" fontId="0" fillId="35" borderId="10" xfId="0" applyNumberFormat="1" applyFill="1" applyBorder="1"/>
    <xf numFmtId="165" fontId="0" fillId="35" borderId="10" xfId="0" applyNumberFormat="1" applyFill="1" applyBorder="1"/>
    <xf numFmtId="166" fontId="0" fillId="35" borderId="10" xfId="42" applyNumberFormat="1" applyFont="1" applyFill="1" applyBorder="1"/>
    <xf numFmtId="164" fontId="0" fillId="35" borderId="10" xfId="0" applyNumberFormat="1" applyFill="1" applyBorder="1"/>
    <xf numFmtId="164" fontId="22" fillId="35" borderId="18" xfId="0" applyNumberFormat="1" applyFont="1" applyFill="1" applyBorder="1"/>
    <xf numFmtId="164" fontId="22" fillId="35" borderId="19" xfId="0" applyNumberFormat="1" applyFont="1" applyFill="1" applyBorder="1"/>
    <xf numFmtId="167" fontId="0" fillId="35" borderId="0" xfId="0" applyNumberFormat="1" applyFill="1"/>
    <xf numFmtId="10" fontId="0" fillId="0" borderId="0" xfId="45" applyNumberFormat="1" applyFont="1" applyFill="1"/>
    <xf numFmtId="9" fontId="0" fillId="0" borderId="0" xfId="0" applyNumberFormat="1"/>
    <xf numFmtId="1" fontId="0" fillId="0" borderId="10" xfId="0" applyNumberFormat="1" applyBorder="1"/>
    <xf numFmtId="164" fontId="21" fillId="36" borderId="10" xfId="0" applyNumberFormat="1" applyFont="1" applyFill="1" applyBorder="1"/>
    <xf numFmtId="43" fontId="0" fillId="0" borderId="10" xfId="42" applyFont="1" applyBorder="1"/>
    <xf numFmtId="168" fontId="0" fillId="35" borderId="0" xfId="0" applyNumberFormat="1" applyFill="1"/>
    <xf numFmtId="43" fontId="0" fillId="0" borderId="10" xfId="42" applyFont="1" applyFill="1" applyBorder="1"/>
    <xf numFmtId="43" fontId="21" fillId="0" borderId="10" xfId="42" applyFont="1" applyBorder="1"/>
    <xf numFmtId="43" fontId="21" fillId="0" borderId="10" xfId="42" applyFont="1" applyFill="1" applyBorder="1"/>
    <xf numFmtId="43" fontId="16" fillId="0" borderId="10" xfId="42" applyFont="1" applyBorder="1"/>
    <xf numFmtId="43" fontId="1" fillId="0" borderId="10" xfId="42" applyFont="1" applyBorder="1"/>
    <xf numFmtId="43" fontId="16" fillId="0" borderId="0" xfId="42" applyFont="1" applyBorder="1"/>
    <xf numFmtId="164" fontId="16" fillId="37" borderId="10" xfId="0" applyNumberFormat="1" applyFont="1" applyFill="1" applyBorder="1" applyAlignment="1">
      <alignment horizontal="center" vertical="center" wrapText="1"/>
    </xf>
    <xf numFmtId="9" fontId="21" fillId="0" borderId="10" xfId="45" applyFont="1" applyBorder="1"/>
    <xf numFmtId="9" fontId="0" fillId="0" borderId="10" xfId="45" applyFont="1" applyBorder="1"/>
    <xf numFmtId="17" fontId="21" fillId="0" borderId="10" xfId="0" applyNumberFormat="1" applyFont="1" applyBorder="1"/>
    <xf numFmtId="9" fontId="21" fillId="35" borderId="10" xfId="45" applyFont="1" applyFill="1" applyBorder="1"/>
    <xf numFmtId="9" fontId="0" fillId="33" borderId="10" xfId="45" applyFont="1" applyFill="1" applyBorder="1"/>
    <xf numFmtId="1" fontId="0" fillId="0" borderId="0" xfId="0" applyNumberFormat="1"/>
    <xf numFmtId="0" fontId="0" fillId="0" borderId="0" xfId="0" applyAlignment="1">
      <alignment horizontal="right"/>
    </xf>
  </cellXfs>
  <cellStyles count="5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Millares 2" xfId="48" xr:uid="{709EDFF0-CA63-4E33-A940-FFDD5C4782F5}"/>
    <cellStyle name="Millares 3" xfId="50" xr:uid="{6F4EEBE0-42CF-4FC2-B301-2832913EE9FF}"/>
    <cellStyle name="Millares 4" xfId="52" xr:uid="{FC7B71C8-1459-41DC-8A97-378F2D5CD01E}"/>
    <cellStyle name="Millares 5" xfId="46" xr:uid="{1B2C4A5C-5629-4D80-AE79-55136DFD7CAB}"/>
    <cellStyle name="Moneda" xfId="44" builtinId="4"/>
    <cellStyle name="Moneda 2" xfId="49" xr:uid="{4A6E6237-A10A-45E4-8E21-6494452711FC}"/>
    <cellStyle name="Moneda 3" xfId="51" xr:uid="{741D0490-03C6-4138-80B8-5FD3B745B120}"/>
    <cellStyle name="Moneda 4" xfId="53" xr:uid="{3A6A8844-873F-445C-B8A2-CADDBA52FEE3}"/>
    <cellStyle name="Moneda 5" xfId="47" xr:uid="{55EAF0D6-F8C9-4F38-B748-48521593ADFF}"/>
    <cellStyle name="Neutral" xfId="8" builtinId="28" customBuiltin="1"/>
    <cellStyle name="Normal" xfId="0" builtinId="0"/>
    <cellStyle name="Normal 2" xfId="43" xr:uid="{0D813F40-1470-438D-BE93-560AC508DF22}"/>
    <cellStyle name="Notas" xfId="15" builtinId="10" customBuiltin="1"/>
    <cellStyle name="Porcentaje" xfId="45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3759-3B85-4132-BCA4-2193B97A35C7}">
  <sheetPr>
    <tabColor rgb="FF0070C0"/>
  </sheetPr>
  <dimension ref="A1:AN91"/>
  <sheetViews>
    <sheetView showGridLines="0" zoomScale="80" zoomScaleNormal="80" zoomScaleSheetLayoutView="50" workbookViewId="0">
      <pane xSplit="3" ySplit="1" topLeftCell="G42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1.109375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1.3320312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20" style="1" customWidth="1"/>
    <col min="21" max="21" width="18.33203125" style="1" customWidth="1"/>
    <col min="22" max="34" width="15.6640625" style="1" customWidth="1"/>
    <col min="35" max="35" width="38.109375" style="1" bestFit="1" customWidth="1"/>
    <col min="36" max="36" width="35.6640625" style="1" customWidth="1"/>
    <col min="37" max="37" width="15.6640625" style="1" customWidth="1"/>
    <col min="38" max="38" width="12.33203125" bestFit="1" customWidth="1"/>
    <col min="39" max="39" width="13.88671875" bestFit="1" customWidth="1"/>
    <col min="40" max="40" width="12.5546875" bestFit="1" customWidth="1"/>
  </cols>
  <sheetData>
    <row r="1" spans="1:40" ht="43.2" x14ac:dyDescent="0.3">
      <c r="A1" s="4" t="s">
        <v>6</v>
      </c>
      <c r="B1" s="4" t="s">
        <v>7</v>
      </c>
      <c r="C1" s="4" t="s">
        <v>8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2</v>
      </c>
      <c r="U1" s="5" t="s">
        <v>50</v>
      </c>
      <c r="V1" s="5" t="s">
        <v>5</v>
      </c>
      <c r="W1" s="5" t="s">
        <v>54</v>
      </c>
      <c r="X1" s="5" t="s">
        <v>43</v>
      </c>
      <c r="Y1" s="5" t="s">
        <v>0</v>
      </c>
      <c r="Z1" s="5" t="s">
        <v>46</v>
      </c>
      <c r="AA1" s="5" t="s">
        <v>4</v>
      </c>
      <c r="AB1" s="5" t="s">
        <v>48</v>
      </c>
      <c r="AC1" s="5" t="s">
        <v>225</v>
      </c>
      <c r="AD1" s="5" t="s">
        <v>55</v>
      </c>
      <c r="AE1" s="5" t="s">
        <v>47</v>
      </c>
      <c r="AF1" s="5" t="s">
        <v>51</v>
      </c>
      <c r="AG1" s="5" t="s">
        <v>3</v>
      </c>
      <c r="AH1"/>
      <c r="AI1"/>
      <c r="AJ1" s="7"/>
      <c r="AK1" s="5" t="s">
        <v>35</v>
      </c>
      <c r="AL1" s="5" t="s">
        <v>36</v>
      </c>
      <c r="AM1" s="5" t="s">
        <v>17</v>
      </c>
      <c r="AN1" s="5" t="s">
        <v>59</v>
      </c>
    </row>
    <row r="2" spans="1:40" x14ac:dyDescent="0.3">
      <c r="A2" s="38"/>
      <c r="B2" s="38" t="s">
        <v>66</v>
      </c>
      <c r="C2" s="38" t="s">
        <v>65</v>
      </c>
      <c r="D2" s="39">
        <v>45660</v>
      </c>
      <c r="E2" s="38" t="s">
        <v>40</v>
      </c>
      <c r="F2" s="38" t="s">
        <v>41</v>
      </c>
      <c r="G2" s="40">
        <v>0</v>
      </c>
      <c r="H2" s="40">
        <v>16362.29</v>
      </c>
      <c r="I2" s="40">
        <v>2617.96</v>
      </c>
      <c r="J2" s="40">
        <f>SUM(G2:I2)</f>
        <v>18980.25</v>
      </c>
      <c r="K2" s="40">
        <v>0</v>
      </c>
      <c r="L2" s="40">
        <f>+J2-K2</f>
        <v>18980.25</v>
      </c>
      <c r="M2" s="38" t="s">
        <v>35</v>
      </c>
      <c r="N2" s="54"/>
      <c r="O2" s="36"/>
      <c r="P2" s="40"/>
      <c r="Q2" s="40">
        <v>0</v>
      </c>
      <c r="R2" s="41"/>
      <c r="S2" s="40">
        <v>4028.96</v>
      </c>
      <c r="T2" s="40">
        <v>0</v>
      </c>
      <c r="U2" s="40">
        <v>0</v>
      </c>
      <c r="V2" s="40">
        <v>0</v>
      </c>
      <c r="W2" s="40">
        <v>0</v>
      </c>
      <c r="X2" s="40">
        <v>0</v>
      </c>
      <c r="Y2" s="40">
        <v>12333.33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36">
        <f t="shared" ref="AH2:AH33" si="0">+SUM(S2:AG2)-H2</f>
        <v>0</v>
      </c>
      <c r="AI2"/>
      <c r="AJ2" s="58" t="s">
        <v>1</v>
      </c>
      <c r="AK2" s="1">
        <f>+S74</f>
        <v>280300.43</v>
      </c>
      <c r="AL2" s="1">
        <f>+'ENE USD '!AE19</f>
        <v>508379.54200000002</v>
      </c>
      <c r="AM2" s="1">
        <f>SUM(AK2:AL2)</f>
        <v>788679.97200000007</v>
      </c>
      <c r="AN2" s="56">
        <f>+AM2/AM24</f>
        <v>0.20841218060251832</v>
      </c>
    </row>
    <row r="3" spans="1:40" x14ac:dyDescent="0.3">
      <c r="A3" s="38"/>
      <c r="B3" s="38" t="s">
        <v>68</v>
      </c>
      <c r="C3" s="38" t="s">
        <v>67</v>
      </c>
      <c r="D3" s="39">
        <v>45660</v>
      </c>
      <c r="E3" s="38" t="s">
        <v>40</v>
      </c>
      <c r="F3" s="38" t="s">
        <v>41</v>
      </c>
      <c r="G3" s="40">
        <v>0</v>
      </c>
      <c r="H3" s="40">
        <v>17562.29</v>
      </c>
      <c r="I3" s="40">
        <v>2809.96</v>
      </c>
      <c r="J3" s="40">
        <f t="shared" ref="J3:J66" si="1">SUM(G3:I3)</f>
        <v>20372.25</v>
      </c>
      <c r="K3" s="40">
        <v>0</v>
      </c>
      <c r="L3" s="40">
        <f t="shared" ref="L3:L66" si="2">+J3-K3</f>
        <v>20372.25</v>
      </c>
      <c r="M3" s="38" t="s">
        <v>35</v>
      </c>
      <c r="N3" s="54"/>
      <c r="O3" s="36"/>
      <c r="P3" s="40"/>
      <c r="Q3" s="40">
        <v>0</v>
      </c>
      <c r="R3" s="41"/>
      <c r="S3" s="40">
        <v>4028.96</v>
      </c>
      <c r="T3" s="40">
        <v>0</v>
      </c>
      <c r="U3" s="40">
        <v>0</v>
      </c>
      <c r="V3" s="40">
        <v>0</v>
      </c>
      <c r="W3" s="40">
        <v>1200</v>
      </c>
      <c r="X3" s="40">
        <v>0</v>
      </c>
      <c r="Y3" s="40">
        <v>12333.33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36">
        <f t="shared" si="0"/>
        <v>0</v>
      </c>
      <c r="AI3"/>
      <c r="AJ3" s="58" t="s">
        <v>2</v>
      </c>
      <c r="AK3" s="1">
        <f>+T74</f>
        <v>4191</v>
      </c>
      <c r="AL3" s="1"/>
      <c r="AM3" s="1">
        <f t="shared" ref="AM3:AM23" si="3">SUM(AK3:AL3)</f>
        <v>4191</v>
      </c>
      <c r="AN3" s="56">
        <f>+AM3/AM24</f>
        <v>1.107490338178835E-3</v>
      </c>
    </row>
    <row r="4" spans="1:40" x14ac:dyDescent="0.3">
      <c r="A4" s="38"/>
      <c r="B4" s="38" t="s">
        <v>70</v>
      </c>
      <c r="C4" s="38" t="s">
        <v>69</v>
      </c>
      <c r="D4" s="39">
        <v>45660</v>
      </c>
      <c r="E4" s="38" t="s">
        <v>40</v>
      </c>
      <c r="F4" s="38" t="s">
        <v>41</v>
      </c>
      <c r="G4" s="40">
        <v>0</v>
      </c>
      <c r="H4" s="40">
        <v>112970.32</v>
      </c>
      <c r="I4" s="40">
        <v>18075.25</v>
      </c>
      <c r="J4" s="40">
        <f t="shared" si="1"/>
        <v>131045.57</v>
      </c>
      <c r="K4" s="40">
        <v>0</v>
      </c>
      <c r="L4" s="40">
        <f t="shared" si="2"/>
        <v>131045.57</v>
      </c>
      <c r="M4" s="38" t="s">
        <v>35</v>
      </c>
      <c r="N4" s="54"/>
      <c r="O4" s="36"/>
      <c r="P4" s="40"/>
      <c r="Q4" s="40">
        <v>0</v>
      </c>
      <c r="R4" s="41"/>
      <c r="S4" s="40">
        <v>6058.89</v>
      </c>
      <c r="T4" s="40">
        <v>0</v>
      </c>
      <c r="U4" s="40">
        <v>0</v>
      </c>
      <c r="V4" s="40">
        <v>0</v>
      </c>
      <c r="W4" s="40">
        <v>29072.04</v>
      </c>
      <c r="X4" s="40">
        <v>8504.39</v>
      </c>
      <c r="Y4" s="40">
        <v>69335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36">
        <f t="shared" si="0"/>
        <v>0</v>
      </c>
      <c r="AI4"/>
      <c r="AJ4" s="58" t="s">
        <v>50</v>
      </c>
      <c r="AK4" s="1">
        <f>+U74</f>
        <v>7846.42</v>
      </c>
      <c r="AL4" s="1"/>
      <c r="AM4" s="1">
        <f t="shared" si="3"/>
        <v>7846.42</v>
      </c>
      <c r="AN4" s="56">
        <f>+AM4/AM24</f>
        <v>2.0734512859205858E-3</v>
      </c>
    </row>
    <row r="5" spans="1:40" x14ac:dyDescent="0.3">
      <c r="A5" s="38"/>
      <c r="B5" s="38" t="s">
        <v>72</v>
      </c>
      <c r="C5" s="38" t="s">
        <v>71</v>
      </c>
      <c r="D5" s="39">
        <v>45660</v>
      </c>
      <c r="E5" s="38" t="s">
        <v>40</v>
      </c>
      <c r="F5" s="38" t="s">
        <v>41</v>
      </c>
      <c r="G5" s="40">
        <v>0</v>
      </c>
      <c r="H5" s="40">
        <v>3540</v>
      </c>
      <c r="I5" s="40">
        <v>566.4</v>
      </c>
      <c r="J5" s="40">
        <f t="shared" si="1"/>
        <v>4106.3999999999996</v>
      </c>
      <c r="K5" s="40">
        <v>0</v>
      </c>
      <c r="L5" s="40">
        <f t="shared" si="2"/>
        <v>4106.3999999999996</v>
      </c>
      <c r="M5" s="38" t="s">
        <v>35</v>
      </c>
      <c r="N5" s="54"/>
      <c r="O5" s="36"/>
      <c r="P5" s="40"/>
      <c r="Q5" s="40">
        <v>0</v>
      </c>
      <c r="R5" s="41"/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3540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36">
        <f t="shared" si="0"/>
        <v>0</v>
      </c>
      <c r="AI5"/>
      <c r="AJ5" s="58" t="s">
        <v>5</v>
      </c>
      <c r="AK5" s="1">
        <f>+V74</f>
        <v>12350</v>
      </c>
      <c r="AL5" s="1"/>
      <c r="AM5" s="1">
        <f t="shared" si="3"/>
        <v>12350</v>
      </c>
      <c r="AN5" s="56">
        <f>+AM5/AM24</f>
        <v>3.2635422754733029E-3</v>
      </c>
    </row>
    <row r="6" spans="1:40" x14ac:dyDescent="0.3">
      <c r="A6" s="38"/>
      <c r="B6" s="38" t="s">
        <v>74</v>
      </c>
      <c r="C6" s="38" t="s">
        <v>73</v>
      </c>
      <c r="D6" s="39">
        <v>45660</v>
      </c>
      <c r="E6" s="38" t="s">
        <v>40</v>
      </c>
      <c r="F6" s="38" t="s">
        <v>41</v>
      </c>
      <c r="G6" s="40">
        <v>0</v>
      </c>
      <c r="H6" s="40">
        <v>2928.25</v>
      </c>
      <c r="I6" s="40">
        <v>468.52</v>
      </c>
      <c r="J6" s="40">
        <f t="shared" si="1"/>
        <v>3396.77</v>
      </c>
      <c r="K6" s="40">
        <v>0</v>
      </c>
      <c r="L6" s="40">
        <f t="shared" si="2"/>
        <v>3396.77</v>
      </c>
      <c r="M6" s="38" t="s">
        <v>35</v>
      </c>
      <c r="N6" s="54"/>
      <c r="O6" s="36"/>
      <c r="P6" s="40"/>
      <c r="Q6" s="40">
        <v>0</v>
      </c>
      <c r="R6" s="41"/>
      <c r="S6" s="40">
        <v>2928.25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36">
        <f t="shared" si="0"/>
        <v>0</v>
      </c>
      <c r="AI6"/>
      <c r="AJ6" s="58" t="s">
        <v>54</v>
      </c>
      <c r="AK6" s="1">
        <f>+W74</f>
        <v>513327.14</v>
      </c>
      <c r="AL6" s="1">
        <f>+'ENE USD '!AC19</f>
        <v>715330.50600000005</v>
      </c>
      <c r="AM6" s="1">
        <f t="shared" si="3"/>
        <v>1228657.6460000002</v>
      </c>
      <c r="AN6" s="56">
        <f>+AM6/AM24</f>
        <v>0.32467823237283505</v>
      </c>
    </row>
    <row r="7" spans="1:40" x14ac:dyDescent="0.3">
      <c r="A7" s="50"/>
      <c r="B7" s="38" t="s">
        <v>76</v>
      </c>
      <c r="C7" s="50" t="s">
        <v>75</v>
      </c>
      <c r="D7" s="39">
        <v>45660</v>
      </c>
      <c r="E7" s="38" t="s">
        <v>40</v>
      </c>
      <c r="F7" s="38" t="s">
        <v>41</v>
      </c>
      <c r="G7" s="40">
        <v>0</v>
      </c>
      <c r="H7" s="40">
        <v>16361.73</v>
      </c>
      <c r="I7" s="40">
        <v>2617.87</v>
      </c>
      <c r="J7" s="40">
        <f t="shared" si="1"/>
        <v>18979.599999999999</v>
      </c>
      <c r="K7" s="40">
        <v>0</v>
      </c>
      <c r="L7" s="40">
        <f t="shared" si="2"/>
        <v>18979.599999999999</v>
      </c>
      <c r="M7" s="38" t="s">
        <v>35</v>
      </c>
      <c r="N7" s="54"/>
      <c r="O7" s="36"/>
      <c r="P7" s="40"/>
      <c r="Q7" s="40">
        <v>0</v>
      </c>
      <c r="R7" s="41"/>
      <c r="S7" s="40">
        <v>4028.4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12333.33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36">
        <f t="shared" si="0"/>
        <v>0</v>
      </c>
      <c r="AI7"/>
      <c r="AJ7" s="58" t="s">
        <v>43</v>
      </c>
      <c r="AK7" s="1">
        <f>+X74</f>
        <v>153351.11000000002</v>
      </c>
      <c r="AL7" s="1"/>
      <c r="AM7" s="1">
        <f t="shared" si="3"/>
        <v>153351.11000000002</v>
      </c>
      <c r="AN7" s="56">
        <f>+AM7/AM24</f>
        <v>4.0523710969696911E-2</v>
      </c>
    </row>
    <row r="8" spans="1:40" x14ac:dyDescent="0.3">
      <c r="A8" s="38"/>
      <c r="B8" s="38" t="s">
        <v>78</v>
      </c>
      <c r="C8" s="38" t="s">
        <v>77</v>
      </c>
      <c r="D8" s="39">
        <v>45660</v>
      </c>
      <c r="E8" s="38" t="s">
        <v>40</v>
      </c>
      <c r="F8" s="38" t="s">
        <v>41</v>
      </c>
      <c r="G8" s="40">
        <v>0</v>
      </c>
      <c r="H8" s="40">
        <v>10620</v>
      </c>
      <c r="I8" s="40">
        <v>1699.2</v>
      </c>
      <c r="J8" s="40">
        <f t="shared" si="1"/>
        <v>12319.2</v>
      </c>
      <c r="K8" s="40">
        <v>0</v>
      </c>
      <c r="L8" s="40">
        <f t="shared" si="2"/>
        <v>12319.2</v>
      </c>
      <c r="M8" s="38" t="s">
        <v>35</v>
      </c>
      <c r="N8" s="54"/>
      <c r="O8" s="36"/>
      <c r="P8" s="40"/>
      <c r="Q8" s="40">
        <v>0</v>
      </c>
      <c r="R8" s="41"/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10620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36">
        <f t="shared" si="0"/>
        <v>0</v>
      </c>
      <c r="AI8"/>
      <c r="AJ8" s="58" t="s">
        <v>0</v>
      </c>
      <c r="AK8" s="1">
        <f>+Y74</f>
        <v>957587.4099999998</v>
      </c>
      <c r="AL8" s="1">
        <f>+'ENE USD '!AB19</f>
        <v>465070.82799999998</v>
      </c>
      <c r="AM8" s="1">
        <f t="shared" si="3"/>
        <v>1422658.2379999999</v>
      </c>
      <c r="AN8" s="56">
        <f>+AM8/AM24</f>
        <v>0.3759437492520939</v>
      </c>
    </row>
    <row r="9" spans="1:40" x14ac:dyDescent="0.3">
      <c r="A9" s="38"/>
      <c r="B9" s="38" t="s">
        <v>80</v>
      </c>
      <c r="C9" s="38" t="s">
        <v>79</v>
      </c>
      <c r="D9" s="39">
        <v>45660</v>
      </c>
      <c r="E9" s="38" t="s">
        <v>40</v>
      </c>
      <c r="F9" s="38" t="s">
        <v>41</v>
      </c>
      <c r="G9" s="40">
        <v>0</v>
      </c>
      <c r="H9" s="40">
        <v>79824.55</v>
      </c>
      <c r="I9" s="40">
        <v>12771.93</v>
      </c>
      <c r="J9" s="40">
        <f t="shared" si="1"/>
        <v>92596.48000000001</v>
      </c>
      <c r="K9" s="40">
        <v>0</v>
      </c>
      <c r="L9" s="40">
        <f t="shared" si="2"/>
        <v>92596.48000000001</v>
      </c>
      <c r="M9" s="38" t="s">
        <v>35</v>
      </c>
      <c r="N9" s="54"/>
      <c r="O9" s="36"/>
      <c r="P9" s="40"/>
      <c r="Q9" s="40">
        <v>0</v>
      </c>
      <c r="R9" s="41"/>
      <c r="S9" s="40">
        <v>6074.55</v>
      </c>
      <c r="T9" s="40">
        <v>0</v>
      </c>
      <c r="U9" s="40">
        <v>0</v>
      </c>
      <c r="V9" s="40">
        <v>0</v>
      </c>
      <c r="W9" s="40">
        <v>25750</v>
      </c>
      <c r="X9" s="40">
        <v>0</v>
      </c>
      <c r="Y9" s="40">
        <v>48000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36">
        <f t="shared" si="0"/>
        <v>0</v>
      </c>
      <c r="AI9"/>
      <c r="AJ9" s="58" t="s">
        <v>46</v>
      </c>
      <c r="AK9" s="1">
        <f>+Z74</f>
        <v>20112.16</v>
      </c>
      <c r="AL9" s="1"/>
      <c r="AM9" s="1">
        <f t="shared" si="3"/>
        <v>20112.16</v>
      </c>
      <c r="AN9" s="56">
        <f>+AM9/AM24</f>
        <v>5.3147274826787971E-3</v>
      </c>
    </row>
    <row r="10" spans="1:40" x14ac:dyDescent="0.3">
      <c r="A10" s="38"/>
      <c r="B10" s="38" t="s">
        <v>82</v>
      </c>
      <c r="C10" s="38" t="s">
        <v>81</v>
      </c>
      <c r="D10" s="39">
        <v>45660</v>
      </c>
      <c r="E10" s="38" t="s">
        <v>22</v>
      </c>
      <c r="F10" s="38" t="s">
        <v>45</v>
      </c>
      <c r="G10" s="40">
        <v>336</v>
      </c>
      <c r="H10" s="40">
        <v>6908.32</v>
      </c>
      <c r="I10" s="40">
        <v>1105.33</v>
      </c>
      <c r="J10" s="40">
        <f t="shared" si="1"/>
        <v>8349.65</v>
      </c>
      <c r="K10" s="40">
        <v>8349.65</v>
      </c>
      <c r="L10" s="40">
        <f t="shared" si="2"/>
        <v>0</v>
      </c>
      <c r="M10" s="38" t="s">
        <v>35</v>
      </c>
      <c r="N10" s="54"/>
      <c r="O10" s="36"/>
      <c r="P10" s="40"/>
      <c r="Q10" s="40">
        <v>336</v>
      </c>
      <c r="R10" s="41"/>
      <c r="S10" s="40">
        <v>2958.32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3950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36">
        <f t="shared" si="0"/>
        <v>0</v>
      </c>
      <c r="AI10"/>
      <c r="AJ10" s="58" t="s">
        <v>4</v>
      </c>
      <c r="AK10" s="1">
        <f>+AA74</f>
        <v>1800</v>
      </c>
      <c r="AL10" s="1"/>
      <c r="AM10" s="1">
        <f t="shared" si="3"/>
        <v>1800</v>
      </c>
      <c r="AN10" s="56">
        <f>+AM10/AM24</f>
        <v>4.7565798346979317E-4</v>
      </c>
    </row>
    <row r="11" spans="1:40" x14ac:dyDescent="0.3">
      <c r="A11" s="38"/>
      <c r="B11" s="38" t="s">
        <v>83</v>
      </c>
      <c r="C11" s="38" t="s">
        <v>63</v>
      </c>
      <c r="D11" s="39">
        <v>45665</v>
      </c>
      <c r="E11" s="38" t="s">
        <v>57</v>
      </c>
      <c r="F11" s="38" t="s">
        <v>56</v>
      </c>
      <c r="G11" s="40">
        <v>761</v>
      </c>
      <c r="H11" s="40">
        <v>0.01</v>
      </c>
      <c r="I11" s="40">
        <v>0</v>
      </c>
      <c r="J11" s="40">
        <f t="shared" si="1"/>
        <v>761.01</v>
      </c>
      <c r="K11" s="40">
        <v>0</v>
      </c>
      <c r="L11" s="40">
        <f t="shared" si="2"/>
        <v>761.01</v>
      </c>
      <c r="M11" s="38" t="s">
        <v>35</v>
      </c>
      <c r="N11" s="54"/>
      <c r="O11" s="36"/>
      <c r="P11" s="40"/>
      <c r="Q11" s="40">
        <v>761</v>
      </c>
      <c r="R11" s="41"/>
      <c r="S11" s="40">
        <v>0.01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36">
        <f t="shared" si="0"/>
        <v>0</v>
      </c>
      <c r="AI11"/>
      <c r="AJ11" s="58" t="s">
        <v>48</v>
      </c>
      <c r="AK11" s="1">
        <f>+AB74</f>
        <v>17700</v>
      </c>
      <c r="AL11" s="1"/>
      <c r="AM11" s="1">
        <f t="shared" si="3"/>
        <v>17700</v>
      </c>
      <c r="AN11" s="56">
        <f>+AM11/AM24</f>
        <v>4.677303504119633E-3</v>
      </c>
    </row>
    <row r="12" spans="1:40" ht="14.4" customHeight="1" x14ac:dyDescent="0.3">
      <c r="A12" s="38"/>
      <c r="B12" s="38" t="s">
        <v>85</v>
      </c>
      <c r="C12" s="38" t="s">
        <v>84</v>
      </c>
      <c r="D12" s="39">
        <v>45666</v>
      </c>
      <c r="E12" s="38" t="s">
        <v>40</v>
      </c>
      <c r="F12" s="38" t="s">
        <v>41</v>
      </c>
      <c r="G12" s="40">
        <v>0</v>
      </c>
      <c r="H12" s="40">
        <v>106812.52</v>
      </c>
      <c r="I12" s="40">
        <v>17090</v>
      </c>
      <c r="J12" s="40">
        <f t="shared" si="1"/>
        <v>123902.52</v>
      </c>
      <c r="K12" s="40">
        <v>0</v>
      </c>
      <c r="L12" s="40">
        <f t="shared" si="2"/>
        <v>123902.52</v>
      </c>
      <c r="M12" s="38" t="s">
        <v>35</v>
      </c>
      <c r="N12" s="54"/>
      <c r="O12" s="36"/>
      <c r="P12" s="40"/>
      <c r="Q12" s="40">
        <v>0</v>
      </c>
      <c r="R12" s="41"/>
      <c r="S12" s="40">
        <v>6070.89</v>
      </c>
      <c r="T12" s="40">
        <v>0</v>
      </c>
      <c r="U12" s="40">
        <v>0</v>
      </c>
      <c r="V12" s="40">
        <v>0</v>
      </c>
      <c r="W12" s="40">
        <v>29072.04</v>
      </c>
      <c r="X12" s="40">
        <v>5669.59</v>
      </c>
      <c r="Y12" s="40">
        <v>66000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36">
        <f t="shared" si="0"/>
        <v>0</v>
      </c>
      <c r="AI12"/>
      <c r="AJ12" s="58" t="s">
        <v>225</v>
      </c>
      <c r="AK12" s="1">
        <f>+AC74</f>
        <v>1000</v>
      </c>
      <c r="AL12" s="1"/>
      <c r="AM12" s="1">
        <f t="shared" si="3"/>
        <v>1000</v>
      </c>
      <c r="AN12" s="56">
        <f>+AM12/AM24</f>
        <v>2.642544352609962E-4</v>
      </c>
    </row>
    <row r="13" spans="1:40" x14ac:dyDescent="0.3">
      <c r="A13" s="38"/>
      <c r="B13" s="38" t="s">
        <v>87</v>
      </c>
      <c r="C13" s="38" t="s">
        <v>86</v>
      </c>
      <c r="D13" s="39">
        <v>45666</v>
      </c>
      <c r="E13" s="38" t="s">
        <v>40</v>
      </c>
      <c r="F13" s="38" t="s">
        <v>41</v>
      </c>
      <c r="G13" s="40">
        <v>0</v>
      </c>
      <c r="H13" s="40">
        <v>84790.76</v>
      </c>
      <c r="I13" s="40">
        <v>13566.52</v>
      </c>
      <c r="J13" s="40">
        <f t="shared" si="1"/>
        <v>98357.28</v>
      </c>
      <c r="K13" s="40">
        <v>0</v>
      </c>
      <c r="L13" s="40">
        <f t="shared" si="2"/>
        <v>98357.28</v>
      </c>
      <c r="M13" s="38" t="s">
        <v>35</v>
      </c>
      <c r="N13" s="54"/>
      <c r="O13" s="36"/>
      <c r="P13" s="40"/>
      <c r="Q13" s="40">
        <v>0</v>
      </c>
      <c r="R13" s="41"/>
      <c r="S13" s="40">
        <v>6132.06</v>
      </c>
      <c r="T13" s="40">
        <v>0</v>
      </c>
      <c r="U13" s="40">
        <v>0</v>
      </c>
      <c r="V13" s="40">
        <v>0</v>
      </c>
      <c r="W13" s="40">
        <v>25750</v>
      </c>
      <c r="X13" s="40">
        <v>6573.7</v>
      </c>
      <c r="Y13" s="40">
        <v>45335</v>
      </c>
      <c r="Z13" s="40">
        <v>0</v>
      </c>
      <c r="AA13" s="40">
        <v>0</v>
      </c>
      <c r="AB13" s="40">
        <v>0</v>
      </c>
      <c r="AC13" s="40">
        <v>1000</v>
      </c>
      <c r="AD13" s="40">
        <v>0</v>
      </c>
      <c r="AE13" s="40">
        <v>0</v>
      </c>
      <c r="AF13" s="40">
        <v>0</v>
      </c>
      <c r="AG13" s="40">
        <v>0</v>
      </c>
      <c r="AH13" s="36">
        <f t="shared" si="0"/>
        <v>0</v>
      </c>
      <c r="AI13"/>
      <c r="AJ13" s="58" t="s">
        <v>55</v>
      </c>
      <c r="AK13" s="1">
        <f>+AD74</f>
        <v>0</v>
      </c>
      <c r="AL13" s="1"/>
      <c r="AM13" s="1">
        <f t="shared" si="3"/>
        <v>0</v>
      </c>
      <c r="AN13" s="56">
        <f>+AM13/AM24</f>
        <v>0</v>
      </c>
    </row>
    <row r="14" spans="1:40" x14ac:dyDescent="0.3">
      <c r="A14" s="38"/>
      <c r="B14" s="38" t="s">
        <v>89</v>
      </c>
      <c r="C14" s="38" t="s">
        <v>88</v>
      </c>
      <c r="D14" s="39">
        <v>45666</v>
      </c>
      <c r="E14" s="38" t="s">
        <v>40</v>
      </c>
      <c r="F14" s="38" t="s">
        <v>41</v>
      </c>
      <c r="G14" s="40">
        <v>0</v>
      </c>
      <c r="H14" s="40">
        <v>18579.25</v>
      </c>
      <c r="I14" s="40">
        <v>2972.68</v>
      </c>
      <c r="J14" s="40">
        <f t="shared" si="1"/>
        <v>21551.93</v>
      </c>
      <c r="K14" s="40">
        <v>0</v>
      </c>
      <c r="L14" s="40">
        <f t="shared" si="2"/>
        <v>21551.93</v>
      </c>
      <c r="M14" s="38" t="s">
        <v>35</v>
      </c>
      <c r="N14" s="54"/>
      <c r="O14" s="36"/>
      <c r="P14" s="40"/>
      <c r="Q14" s="40">
        <v>0</v>
      </c>
      <c r="R14" s="41"/>
      <c r="S14" s="40">
        <v>4157.24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14422.01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36">
        <f t="shared" si="0"/>
        <v>0</v>
      </c>
      <c r="AI14"/>
      <c r="AJ14" s="58" t="s">
        <v>3</v>
      </c>
      <c r="AK14" s="1">
        <f>+AG74</f>
        <v>8902</v>
      </c>
      <c r="AL14" s="1">
        <f>+'ENE USD '!AD19</f>
        <v>10756.7425</v>
      </c>
      <c r="AM14" s="1">
        <f t="shared" si="3"/>
        <v>19658.7425</v>
      </c>
      <c r="AN14" s="56">
        <f>+AM14/AM24</f>
        <v>5.1949098972788443E-3</v>
      </c>
    </row>
    <row r="15" spans="1:40" x14ac:dyDescent="0.3">
      <c r="A15" s="50"/>
      <c r="B15" s="38" t="s">
        <v>90</v>
      </c>
      <c r="C15" s="50" t="s">
        <v>64</v>
      </c>
      <c r="D15" s="39">
        <v>45666</v>
      </c>
      <c r="E15" s="38" t="s">
        <v>53</v>
      </c>
      <c r="F15" s="38" t="s">
        <v>199</v>
      </c>
      <c r="G15" s="40">
        <v>180702</v>
      </c>
      <c r="H15" s="40">
        <v>205227.85</v>
      </c>
      <c r="I15" s="40">
        <v>32836.46</v>
      </c>
      <c r="J15" s="40">
        <f t="shared" si="1"/>
        <v>418766.31</v>
      </c>
      <c r="K15" s="40">
        <v>406517.64</v>
      </c>
      <c r="L15" s="40">
        <f t="shared" si="2"/>
        <v>12248.669999999984</v>
      </c>
      <c r="M15" s="38" t="s">
        <v>35</v>
      </c>
      <c r="N15" s="54"/>
      <c r="O15" s="36"/>
      <c r="P15" s="40"/>
      <c r="Q15" s="40">
        <v>180702</v>
      </c>
      <c r="R15" s="41"/>
      <c r="S15" s="40">
        <v>7350.23</v>
      </c>
      <c r="T15" s="40">
        <v>0</v>
      </c>
      <c r="U15" s="40">
        <v>0</v>
      </c>
      <c r="V15" s="40">
        <v>0</v>
      </c>
      <c r="W15" s="40">
        <v>93226.54</v>
      </c>
      <c r="X15" s="40">
        <v>104651.08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36">
        <f t="shared" si="0"/>
        <v>0</v>
      </c>
      <c r="AI15"/>
      <c r="AJ15" s="58" t="s">
        <v>51</v>
      </c>
      <c r="AK15" s="1">
        <f>+AF74</f>
        <v>44880</v>
      </c>
      <c r="AL15" s="1"/>
      <c r="AM15" s="1">
        <f t="shared" si="3"/>
        <v>44880</v>
      </c>
      <c r="AN15" s="56">
        <f>+AM15/AM24</f>
        <v>1.1859739054513509E-2</v>
      </c>
    </row>
    <row r="16" spans="1:40" x14ac:dyDescent="0.3">
      <c r="A16" s="50"/>
      <c r="B16" s="38" t="s">
        <v>92</v>
      </c>
      <c r="C16" s="50" t="s">
        <v>91</v>
      </c>
      <c r="D16" s="39">
        <v>45667</v>
      </c>
      <c r="E16" s="38" t="s">
        <v>40</v>
      </c>
      <c r="F16" s="38" t="s">
        <v>41</v>
      </c>
      <c r="G16" s="40">
        <v>0</v>
      </c>
      <c r="H16" s="40">
        <v>27182.81</v>
      </c>
      <c r="I16" s="40">
        <v>4349.25</v>
      </c>
      <c r="J16" s="40">
        <f t="shared" si="1"/>
        <v>31532.06</v>
      </c>
      <c r="K16" s="40">
        <v>0</v>
      </c>
      <c r="L16" s="40">
        <f t="shared" si="2"/>
        <v>31532.06</v>
      </c>
      <c r="M16" s="38" t="s">
        <v>35</v>
      </c>
      <c r="N16" s="54"/>
      <c r="O16" s="36"/>
      <c r="P16" s="40"/>
      <c r="Q16" s="40">
        <v>0</v>
      </c>
      <c r="R16" s="41"/>
      <c r="S16" s="40">
        <v>4031.16</v>
      </c>
      <c r="T16" s="40">
        <v>0</v>
      </c>
      <c r="U16" s="40">
        <v>3500</v>
      </c>
      <c r="V16" s="40">
        <v>500</v>
      </c>
      <c r="W16" s="40">
        <v>9004.06</v>
      </c>
      <c r="X16" s="40">
        <v>1372.59</v>
      </c>
      <c r="Y16" s="40">
        <v>8775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36">
        <f t="shared" si="0"/>
        <v>0</v>
      </c>
      <c r="AI16"/>
      <c r="AJ16" s="58" t="s">
        <v>52</v>
      </c>
      <c r="AL16" s="1">
        <f>+'ENE USD '!AF19</f>
        <v>56526.293204999994</v>
      </c>
      <c r="AM16" s="1">
        <f t="shared" si="3"/>
        <v>56526.293204999994</v>
      </c>
      <c r="AN16" s="56">
        <f>+AM16/AM24</f>
        <v>1.493732368828476E-2</v>
      </c>
    </row>
    <row r="17" spans="1:40" x14ac:dyDescent="0.3">
      <c r="A17" s="50"/>
      <c r="B17" s="38" t="s">
        <v>94</v>
      </c>
      <c r="C17" s="50" t="s">
        <v>93</v>
      </c>
      <c r="D17" s="39">
        <v>45670</v>
      </c>
      <c r="E17" s="38" t="s">
        <v>53</v>
      </c>
      <c r="F17" s="38" t="s">
        <v>199</v>
      </c>
      <c r="G17" s="40">
        <v>761</v>
      </c>
      <c r="H17" s="40">
        <v>16728.86</v>
      </c>
      <c r="I17" s="40">
        <v>2676.62</v>
      </c>
      <c r="J17" s="40">
        <f t="shared" si="1"/>
        <v>20166.48</v>
      </c>
      <c r="K17" s="40">
        <v>20166.48</v>
      </c>
      <c r="L17" s="40">
        <f t="shared" si="2"/>
        <v>0</v>
      </c>
      <c r="M17" s="38" t="s">
        <v>35</v>
      </c>
      <c r="N17" s="54"/>
      <c r="O17" s="36"/>
      <c r="P17" s="40"/>
      <c r="Q17" s="40">
        <v>761</v>
      </c>
      <c r="R17" s="41"/>
      <c r="S17" s="40">
        <v>7285.06</v>
      </c>
      <c r="T17" s="40">
        <v>0</v>
      </c>
      <c r="U17" s="40">
        <v>0</v>
      </c>
      <c r="V17" s="40">
        <v>0</v>
      </c>
      <c r="W17" s="40">
        <v>9443.7999999999993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36">
        <f t="shared" si="0"/>
        <v>0</v>
      </c>
      <c r="AI17"/>
      <c r="AJ17" s="37" t="s">
        <v>47</v>
      </c>
      <c r="AK17" s="1">
        <f>+AE74</f>
        <v>3277.5</v>
      </c>
      <c r="AL17" s="1">
        <f>+'ENE USD '!AG19</f>
        <v>1542.5774999999999</v>
      </c>
      <c r="AM17" s="1">
        <f t="shared" si="3"/>
        <v>4820.0774999999994</v>
      </c>
      <c r="AN17" s="56">
        <f>+AM17/AM24</f>
        <v>1.2737268576767343E-3</v>
      </c>
    </row>
    <row r="18" spans="1:40" x14ac:dyDescent="0.3">
      <c r="A18" s="50"/>
      <c r="B18" s="38" t="s">
        <v>96</v>
      </c>
      <c r="C18" s="50" t="s">
        <v>95</v>
      </c>
      <c r="D18" s="39">
        <v>45670</v>
      </c>
      <c r="E18" s="38" t="s">
        <v>22</v>
      </c>
      <c r="F18" s="38" t="s">
        <v>45</v>
      </c>
      <c r="G18" s="40">
        <v>29608</v>
      </c>
      <c r="H18" s="40">
        <v>15835.71</v>
      </c>
      <c r="I18" s="40">
        <v>2533.7199999999998</v>
      </c>
      <c r="J18" s="40">
        <f t="shared" si="1"/>
        <v>47977.43</v>
      </c>
      <c r="K18" s="40">
        <v>54204.42</v>
      </c>
      <c r="L18" s="40">
        <f t="shared" si="2"/>
        <v>-6226.989999999998</v>
      </c>
      <c r="M18" s="38" t="s">
        <v>35</v>
      </c>
      <c r="N18" s="54"/>
      <c r="O18" s="36"/>
      <c r="P18" s="40"/>
      <c r="Q18" s="40">
        <v>29608</v>
      </c>
      <c r="R18" s="41"/>
      <c r="S18" s="40">
        <v>4134.16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3950</v>
      </c>
      <c r="Z18" s="40">
        <v>7751.55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36">
        <f t="shared" si="0"/>
        <v>0</v>
      </c>
      <c r="AI18"/>
      <c r="AJ18" s="37"/>
      <c r="AL18" s="1"/>
      <c r="AM18" s="1">
        <f t="shared" si="3"/>
        <v>0</v>
      </c>
      <c r="AN18" s="56">
        <f>+AM18/AM24</f>
        <v>0</v>
      </c>
    </row>
    <row r="19" spans="1:40" x14ac:dyDescent="0.3">
      <c r="A19" s="50"/>
      <c r="B19" s="38" t="s">
        <v>98</v>
      </c>
      <c r="C19" s="50" t="s">
        <v>97</v>
      </c>
      <c r="D19" s="39">
        <v>45670</v>
      </c>
      <c r="E19" s="38" t="s">
        <v>57</v>
      </c>
      <c r="F19" s="38" t="s">
        <v>56</v>
      </c>
      <c r="G19" s="40">
        <v>1192.68</v>
      </c>
      <c r="H19" s="40">
        <v>26279.86</v>
      </c>
      <c r="I19" s="40">
        <v>4204.78</v>
      </c>
      <c r="J19" s="40">
        <f t="shared" si="1"/>
        <v>31677.32</v>
      </c>
      <c r="K19" s="40">
        <v>0</v>
      </c>
      <c r="L19" s="40">
        <f t="shared" si="2"/>
        <v>31677.32</v>
      </c>
      <c r="M19" s="38" t="s">
        <v>35</v>
      </c>
      <c r="N19" s="54"/>
      <c r="O19" s="36"/>
      <c r="P19" s="40">
        <v>1192.68</v>
      </c>
      <c r="Q19" s="40">
        <v>0</v>
      </c>
      <c r="R19" s="41"/>
      <c r="S19" s="40">
        <v>6029.86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20250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36">
        <f t="shared" si="0"/>
        <v>0</v>
      </c>
      <c r="AI19"/>
      <c r="AJ19" s="37"/>
      <c r="AL19" s="1"/>
      <c r="AM19" s="1"/>
      <c r="AN19" s="56"/>
    </row>
    <row r="20" spans="1:40" x14ac:dyDescent="0.3">
      <c r="A20" s="50"/>
      <c r="B20" s="38" t="s">
        <v>100</v>
      </c>
      <c r="C20" s="50" t="s">
        <v>99</v>
      </c>
      <c r="D20" s="39">
        <v>45671</v>
      </c>
      <c r="E20" s="38" t="s">
        <v>22</v>
      </c>
      <c r="F20" s="38" t="s">
        <v>45</v>
      </c>
      <c r="G20" s="40">
        <v>7626</v>
      </c>
      <c r="H20" s="40">
        <v>8006.14</v>
      </c>
      <c r="I20" s="40">
        <v>1280.98</v>
      </c>
      <c r="J20" s="40">
        <f t="shared" si="1"/>
        <v>16913.12</v>
      </c>
      <c r="K20" s="40">
        <v>16913.12</v>
      </c>
      <c r="L20" s="40">
        <f t="shared" si="2"/>
        <v>0</v>
      </c>
      <c r="M20" s="38" t="s">
        <v>35</v>
      </c>
      <c r="N20" s="54"/>
      <c r="O20" s="36"/>
      <c r="P20" s="40"/>
      <c r="Q20" s="40">
        <v>7626</v>
      </c>
      <c r="R20" s="41"/>
      <c r="S20" s="40">
        <v>4056.14</v>
      </c>
      <c r="T20" s="40">
        <v>0</v>
      </c>
      <c r="U20" s="40">
        <v>0</v>
      </c>
      <c r="V20" s="40">
        <v>3950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36">
        <f t="shared" si="0"/>
        <v>0</v>
      </c>
      <c r="AI20"/>
      <c r="AJ20" s="37"/>
      <c r="AL20" s="1"/>
      <c r="AM20" s="1"/>
      <c r="AN20" s="56"/>
    </row>
    <row r="21" spans="1:40" x14ac:dyDescent="0.3">
      <c r="A21" s="50"/>
      <c r="B21" s="38" t="s">
        <v>102</v>
      </c>
      <c r="C21" s="50" t="s">
        <v>101</v>
      </c>
      <c r="D21" s="39">
        <v>45671</v>
      </c>
      <c r="E21" s="38" t="s">
        <v>22</v>
      </c>
      <c r="F21" s="38" t="s">
        <v>45</v>
      </c>
      <c r="G21" s="40">
        <v>781</v>
      </c>
      <c r="H21" s="40">
        <v>8013.9</v>
      </c>
      <c r="I21" s="40">
        <v>1282.22</v>
      </c>
      <c r="J21" s="40">
        <f t="shared" si="1"/>
        <v>10077.119999999999</v>
      </c>
      <c r="K21" s="40">
        <v>10077.120000000001</v>
      </c>
      <c r="L21" s="40">
        <f t="shared" si="2"/>
        <v>0</v>
      </c>
      <c r="M21" s="38" t="s">
        <v>35</v>
      </c>
      <c r="N21" s="54"/>
      <c r="O21" s="36"/>
      <c r="P21" s="40"/>
      <c r="Q21" s="40">
        <v>781</v>
      </c>
      <c r="R21" s="41"/>
      <c r="S21" s="40">
        <v>4063.9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3950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36">
        <f t="shared" si="0"/>
        <v>0</v>
      </c>
      <c r="AI21"/>
      <c r="AJ21" s="37"/>
      <c r="AL21" s="1"/>
      <c r="AM21" s="1"/>
      <c r="AN21" s="56"/>
    </row>
    <row r="22" spans="1:40" x14ac:dyDescent="0.3">
      <c r="A22" s="50"/>
      <c r="B22" s="38" t="s">
        <v>104</v>
      </c>
      <c r="C22" s="50" t="s">
        <v>103</v>
      </c>
      <c r="D22" s="39">
        <v>45671</v>
      </c>
      <c r="E22" s="38" t="s">
        <v>22</v>
      </c>
      <c r="F22" s="38" t="s">
        <v>45</v>
      </c>
      <c r="G22" s="40">
        <v>5735</v>
      </c>
      <c r="H22" s="40">
        <v>8008.72</v>
      </c>
      <c r="I22" s="40">
        <v>1281.4000000000001</v>
      </c>
      <c r="J22" s="40">
        <f>SUM(G22:I22)</f>
        <v>15025.12</v>
      </c>
      <c r="K22" s="40">
        <v>15025.12</v>
      </c>
      <c r="L22" s="40">
        <f t="shared" si="2"/>
        <v>0</v>
      </c>
      <c r="M22" s="38" t="s">
        <v>35</v>
      </c>
      <c r="N22" s="54"/>
      <c r="O22" s="36"/>
      <c r="P22" s="40"/>
      <c r="Q22" s="40">
        <v>5735</v>
      </c>
      <c r="R22" s="41"/>
      <c r="S22" s="40">
        <v>4058.72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3950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36">
        <f t="shared" si="0"/>
        <v>0</v>
      </c>
      <c r="AI22"/>
      <c r="AJ22" s="37"/>
      <c r="AL22" s="1"/>
      <c r="AM22" s="1"/>
      <c r="AN22" s="56"/>
    </row>
    <row r="23" spans="1:40" x14ac:dyDescent="0.3">
      <c r="A23" s="38"/>
      <c r="B23" s="38" t="s">
        <v>106</v>
      </c>
      <c r="C23" s="38" t="s">
        <v>105</v>
      </c>
      <c r="D23" s="39">
        <v>45671</v>
      </c>
      <c r="E23" s="38" t="s">
        <v>22</v>
      </c>
      <c r="F23" s="38" t="s">
        <v>45</v>
      </c>
      <c r="G23" s="40">
        <v>781</v>
      </c>
      <c r="H23" s="40">
        <v>8013.9</v>
      </c>
      <c r="I23" s="40">
        <v>1282.22</v>
      </c>
      <c r="J23" s="40">
        <f t="shared" si="1"/>
        <v>10077.119999999999</v>
      </c>
      <c r="K23" s="40">
        <v>10077.120000000001</v>
      </c>
      <c r="L23" s="40">
        <f t="shared" si="2"/>
        <v>0</v>
      </c>
      <c r="M23" s="38" t="s">
        <v>35</v>
      </c>
      <c r="N23" s="54"/>
      <c r="O23" s="36"/>
      <c r="P23" s="40"/>
      <c r="Q23" s="40">
        <v>781</v>
      </c>
      <c r="R23" s="41"/>
      <c r="S23" s="40">
        <v>4063.9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3950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36">
        <f t="shared" si="0"/>
        <v>0</v>
      </c>
      <c r="AI23"/>
      <c r="AJ23" s="37"/>
      <c r="AK23" s="1">
        <v>0</v>
      </c>
      <c r="AL23" s="1"/>
      <c r="AM23" s="1">
        <f t="shared" si="3"/>
        <v>0</v>
      </c>
      <c r="AN23" s="56">
        <f>+AM23/AM24</f>
        <v>0</v>
      </c>
    </row>
    <row r="24" spans="1:40" x14ac:dyDescent="0.3">
      <c r="A24" s="38"/>
      <c r="B24" s="38" t="s">
        <v>108</v>
      </c>
      <c r="C24" s="38" t="s">
        <v>107</v>
      </c>
      <c r="D24" s="39">
        <v>45671</v>
      </c>
      <c r="E24" s="38" t="s">
        <v>22</v>
      </c>
      <c r="F24" s="38" t="s">
        <v>45</v>
      </c>
      <c r="G24" s="40">
        <v>1231</v>
      </c>
      <c r="H24" s="40">
        <v>12013.9</v>
      </c>
      <c r="I24" s="40">
        <v>1922.22</v>
      </c>
      <c r="J24" s="40">
        <f t="shared" si="1"/>
        <v>15167.119999999999</v>
      </c>
      <c r="K24" s="40">
        <v>10526.12</v>
      </c>
      <c r="L24" s="40">
        <f t="shared" si="2"/>
        <v>4640.9999999999982</v>
      </c>
      <c r="M24" s="38" t="s">
        <v>35</v>
      </c>
      <c r="N24" s="54"/>
      <c r="O24" s="36"/>
      <c r="P24" s="40"/>
      <c r="Q24" s="40">
        <v>1231</v>
      </c>
      <c r="R24" s="41"/>
      <c r="S24" s="40">
        <v>4063.9</v>
      </c>
      <c r="T24" s="40">
        <v>1500</v>
      </c>
      <c r="U24" s="40">
        <v>0</v>
      </c>
      <c r="V24" s="40">
        <v>0</v>
      </c>
      <c r="W24" s="40">
        <v>2500</v>
      </c>
      <c r="X24" s="40">
        <v>0</v>
      </c>
      <c r="Y24" s="40">
        <v>3950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36">
        <f t="shared" si="0"/>
        <v>0</v>
      </c>
      <c r="AI24"/>
      <c r="AJ24" s="37"/>
      <c r="AK24" s="45">
        <f>+SUM(AK2:AK23)</f>
        <v>2026625.1699999997</v>
      </c>
      <c r="AL24" s="45">
        <f>+SUM(AL2:AL23)</f>
        <v>1757606.4892049998</v>
      </c>
      <c r="AM24" s="45">
        <f>+SUM(AM2:AM23)</f>
        <v>3784231.6592050004</v>
      </c>
      <c r="AN24" s="57">
        <f>+SUM(AN2:AN23)</f>
        <v>1</v>
      </c>
    </row>
    <row r="25" spans="1:40" x14ac:dyDescent="0.3">
      <c r="A25" s="38"/>
      <c r="B25" s="38" t="s">
        <v>110</v>
      </c>
      <c r="C25" s="38" t="s">
        <v>109</v>
      </c>
      <c r="D25" s="39">
        <v>45671</v>
      </c>
      <c r="E25" s="38" t="s">
        <v>22</v>
      </c>
      <c r="F25" s="38" t="s">
        <v>45</v>
      </c>
      <c r="G25" s="40">
        <v>336</v>
      </c>
      <c r="H25" s="40">
        <v>8114.5</v>
      </c>
      <c r="I25" s="40">
        <v>1298.32</v>
      </c>
      <c r="J25" s="40">
        <f t="shared" si="1"/>
        <v>9748.82</v>
      </c>
      <c r="K25" s="40">
        <v>9748.82</v>
      </c>
      <c r="L25" s="40">
        <f t="shared" si="2"/>
        <v>0</v>
      </c>
      <c r="M25" s="38" t="s">
        <v>35</v>
      </c>
      <c r="N25" s="54"/>
      <c r="O25" s="36"/>
      <c r="P25" s="40"/>
      <c r="Q25" s="40">
        <v>336</v>
      </c>
      <c r="R25" s="41"/>
      <c r="S25" s="40">
        <v>4164.5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3950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36">
        <f t="shared" si="0"/>
        <v>0</v>
      </c>
      <c r="AI25"/>
      <c r="AK25" s="36"/>
      <c r="AL25" s="36"/>
      <c r="AM25" s="1"/>
    </row>
    <row r="26" spans="1:40" x14ac:dyDescent="0.3">
      <c r="A26" s="38"/>
      <c r="B26" s="38" t="s">
        <v>112</v>
      </c>
      <c r="C26" s="38" t="s">
        <v>111</v>
      </c>
      <c r="D26" s="39">
        <v>45672</v>
      </c>
      <c r="E26" s="38" t="s">
        <v>22</v>
      </c>
      <c r="F26" s="38" t="s">
        <v>45</v>
      </c>
      <c r="G26" s="40">
        <v>336</v>
      </c>
      <c r="H26" s="40">
        <v>8054.06</v>
      </c>
      <c r="I26" s="40">
        <v>1288.6500000000001</v>
      </c>
      <c r="J26" s="40">
        <f t="shared" si="1"/>
        <v>9678.7100000000009</v>
      </c>
      <c r="K26" s="40">
        <v>9678.7099999999991</v>
      </c>
      <c r="L26" s="40">
        <f t="shared" si="2"/>
        <v>0</v>
      </c>
      <c r="M26" s="38" t="s">
        <v>35</v>
      </c>
      <c r="N26" s="54"/>
      <c r="O26" s="36"/>
      <c r="P26" s="40"/>
      <c r="Q26" s="40">
        <v>336</v>
      </c>
      <c r="R26" s="41"/>
      <c r="S26" s="40">
        <v>4104.0600000000004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3950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36">
        <f t="shared" si="0"/>
        <v>0</v>
      </c>
      <c r="AI26"/>
      <c r="AJ26" s="37"/>
      <c r="AL26" s="1"/>
      <c r="AM26" s="1"/>
    </row>
    <row r="27" spans="1:40" x14ac:dyDescent="0.3">
      <c r="A27" s="38"/>
      <c r="B27" s="38" t="s">
        <v>114</v>
      </c>
      <c r="C27" s="38" t="s">
        <v>113</v>
      </c>
      <c r="D27" s="39">
        <v>45672</v>
      </c>
      <c r="E27" s="38" t="s">
        <v>22</v>
      </c>
      <c r="F27" s="38" t="s">
        <v>45</v>
      </c>
      <c r="G27" s="40">
        <v>336</v>
      </c>
      <c r="H27" s="40">
        <v>8026.46</v>
      </c>
      <c r="I27" s="40">
        <v>1284.23</v>
      </c>
      <c r="J27" s="40">
        <f t="shared" si="1"/>
        <v>9646.6899999999987</v>
      </c>
      <c r="K27" s="40">
        <v>9646.69</v>
      </c>
      <c r="L27" s="40">
        <f t="shared" si="2"/>
        <v>0</v>
      </c>
      <c r="M27" s="38" t="s">
        <v>35</v>
      </c>
      <c r="N27" s="54"/>
      <c r="O27" s="36"/>
      <c r="P27" s="40"/>
      <c r="Q27" s="40">
        <v>336</v>
      </c>
      <c r="R27" s="41"/>
      <c r="S27" s="40">
        <v>4076.46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3950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36">
        <f t="shared" si="0"/>
        <v>0</v>
      </c>
      <c r="AI27"/>
      <c r="AJ27" s="37"/>
      <c r="AL27" s="1"/>
      <c r="AM27" s="1"/>
    </row>
    <row r="28" spans="1:40" x14ac:dyDescent="0.3">
      <c r="A28" s="38"/>
      <c r="B28" s="38" t="s">
        <v>116</v>
      </c>
      <c r="C28" s="38" t="s">
        <v>115</v>
      </c>
      <c r="D28" s="39">
        <v>45674</v>
      </c>
      <c r="E28" s="38" t="s">
        <v>53</v>
      </c>
      <c r="F28" s="38" t="s">
        <v>199</v>
      </c>
      <c r="G28" s="40">
        <v>781</v>
      </c>
      <c r="H28" s="40">
        <v>38843.08</v>
      </c>
      <c r="I28" s="40">
        <v>6214.89</v>
      </c>
      <c r="J28" s="40">
        <f t="shared" si="1"/>
        <v>45838.97</v>
      </c>
      <c r="K28" s="40">
        <v>50246.84</v>
      </c>
      <c r="L28" s="40">
        <f t="shared" si="2"/>
        <v>-4407.8699999999953</v>
      </c>
      <c r="M28" s="38" t="s">
        <v>35</v>
      </c>
      <c r="N28" s="54"/>
      <c r="O28" s="36"/>
      <c r="P28" s="40"/>
      <c r="Q28" s="40">
        <v>781</v>
      </c>
      <c r="R28" s="41"/>
      <c r="S28" s="40">
        <v>7259.65</v>
      </c>
      <c r="T28" s="40">
        <v>2691</v>
      </c>
      <c r="U28" s="40">
        <v>0</v>
      </c>
      <c r="V28" s="40">
        <v>0</v>
      </c>
      <c r="W28" s="40">
        <v>28892.43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36">
        <f t="shared" si="0"/>
        <v>0</v>
      </c>
      <c r="AI28"/>
      <c r="AJ28" s="37"/>
      <c r="AK28" s="52"/>
      <c r="AL28" s="1"/>
      <c r="AM28" s="1"/>
    </row>
    <row r="29" spans="1:40" x14ac:dyDescent="0.3">
      <c r="A29" s="38"/>
      <c r="B29" s="38" t="s">
        <v>118</v>
      </c>
      <c r="C29" s="38" t="s">
        <v>117</v>
      </c>
      <c r="D29" s="39">
        <v>45677</v>
      </c>
      <c r="E29" s="38" t="s">
        <v>42</v>
      </c>
      <c r="F29" s="38" t="s">
        <v>49</v>
      </c>
      <c r="G29" s="40">
        <v>781</v>
      </c>
      <c r="H29" s="40">
        <v>87814.69</v>
      </c>
      <c r="I29" s="40">
        <v>14050.35</v>
      </c>
      <c r="J29" s="40">
        <f t="shared" si="1"/>
        <v>102646.04000000001</v>
      </c>
      <c r="K29" s="40">
        <v>102720.56</v>
      </c>
      <c r="L29" s="40">
        <f t="shared" si="2"/>
        <v>-74.519999999989523</v>
      </c>
      <c r="M29" s="38" t="s">
        <v>35</v>
      </c>
      <c r="N29" s="54"/>
      <c r="O29" s="36"/>
      <c r="P29" s="40"/>
      <c r="Q29" s="40">
        <v>781</v>
      </c>
      <c r="R29" s="41"/>
      <c r="S29" s="40">
        <v>6114.69</v>
      </c>
      <c r="T29" s="40">
        <v>0</v>
      </c>
      <c r="U29" s="40">
        <v>0</v>
      </c>
      <c r="V29" s="40">
        <v>0</v>
      </c>
      <c r="W29" s="40">
        <v>25000</v>
      </c>
      <c r="X29" s="40">
        <v>0</v>
      </c>
      <c r="Y29" s="40">
        <v>56700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36">
        <f t="shared" si="0"/>
        <v>0</v>
      </c>
      <c r="AI29"/>
      <c r="AJ29" s="37"/>
      <c r="AK29" s="52"/>
      <c r="AL29" s="1"/>
      <c r="AM29" s="1"/>
    </row>
    <row r="30" spans="1:40" x14ac:dyDescent="0.3">
      <c r="A30" s="38"/>
      <c r="B30" s="38" t="s">
        <v>120</v>
      </c>
      <c r="C30" s="38" t="s">
        <v>119</v>
      </c>
      <c r="D30" s="39">
        <v>45677</v>
      </c>
      <c r="E30" s="38" t="s">
        <v>61</v>
      </c>
      <c r="F30" s="38" t="s">
        <v>156</v>
      </c>
      <c r="G30" s="40">
        <v>0</v>
      </c>
      <c r="H30" s="40">
        <v>43000</v>
      </c>
      <c r="I30" s="40">
        <v>6880</v>
      </c>
      <c r="J30" s="40">
        <f t="shared" si="1"/>
        <v>49880</v>
      </c>
      <c r="K30" s="40">
        <v>49880</v>
      </c>
      <c r="L30" s="40">
        <f t="shared" si="2"/>
        <v>0</v>
      </c>
      <c r="M30" s="38" t="s">
        <v>35</v>
      </c>
      <c r="N30" s="54"/>
      <c r="O30" s="36"/>
      <c r="P30" s="40"/>
      <c r="Q30" s="40">
        <v>0</v>
      </c>
      <c r="R30" s="41"/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43000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36">
        <f t="shared" si="0"/>
        <v>0</v>
      </c>
      <c r="AI30"/>
      <c r="AJ30" s="37"/>
      <c r="AL30" s="1"/>
      <c r="AM30" s="1"/>
    </row>
    <row r="31" spans="1:40" x14ac:dyDescent="0.3">
      <c r="A31" s="38"/>
      <c r="B31" s="38" t="s">
        <v>122</v>
      </c>
      <c r="C31" s="38" t="s">
        <v>121</v>
      </c>
      <c r="D31" s="39">
        <v>45677</v>
      </c>
      <c r="E31" s="38" t="s">
        <v>20</v>
      </c>
      <c r="F31" s="38" t="s">
        <v>21</v>
      </c>
      <c r="G31" s="40">
        <v>23360</v>
      </c>
      <c r="H31" s="40">
        <v>4076.46</v>
      </c>
      <c r="I31" s="40">
        <v>652.23</v>
      </c>
      <c r="J31" s="40">
        <f t="shared" si="1"/>
        <v>28088.69</v>
      </c>
      <c r="K31" s="40">
        <v>27212.69</v>
      </c>
      <c r="L31" s="40">
        <f t="shared" si="2"/>
        <v>876</v>
      </c>
      <c r="M31" s="38" t="s">
        <v>35</v>
      </c>
      <c r="N31" s="54"/>
      <c r="O31" s="36"/>
      <c r="P31" s="40"/>
      <c r="Q31" s="40">
        <v>23360</v>
      </c>
      <c r="R31" s="41"/>
      <c r="S31" s="40">
        <v>4076.46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36">
        <f t="shared" si="0"/>
        <v>0</v>
      </c>
      <c r="AI31"/>
      <c r="AJ31" s="37"/>
      <c r="AK31" s="53"/>
      <c r="AL31" s="1"/>
      <c r="AM31" s="1"/>
    </row>
    <row r="32" spans="1:40" x14ac:dyDescent="0.3">
      <c r="A32" s="38"/>
      <c r="B32" s="38" t="s">
        <v>124</v>
      </c>
      <c r="C32" s="38" t="s">
        <v>123</v>
      </c>
      <c r="D32" s="39">
        <v>45677</v>
      </c>
      <c r="E32" s="38" t="s">
        <v>22</v>
      </c>
      <c r="F32" s="38" t="s">
        <v>45</v>
      </c>
      <c r="G32" s="40">
        <v>336</v>
      </c>
      <c r="H32" s="40">
        <v>4738.54</v>
      </c>
      <c r="I32" s="40">
        <v>758.17</v>
      </c>
      <c r="J32" s="40">
        <f t="shared" si="1"/>
        <v>5832.71</v>
      </c>
      <c r="K32" s="40">
        <v>5832.71</v>
      </c>
      <c r="L32" s="40">
        <f t="shared" si="2"/>
        <v>0</v>
      </c>
      <c r="M32" s="38" t="s">
        <v>35</v>
      </c>
      <c r="N32" s="54"/>
      <c r="O32" s="36"/>
      <c r="P32" s="40"/>
      <c r="Q32" s="40">
        <v>336</v>
      </c>
      <c r="R32" s="41"/>
      <c r="S32" s="40">
        <v>4138.54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600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36">
        <f t="shared" si="0"/>
        <v>0</v>
      </c>
      <c r="AI32"/>
      <c r="AJ32" s="37"/>
      <c r="AL32" s="1"/>
      <c r="AM32" s="1"/>
    </row>
    <row r="33" spans="1:39" x14ac:dyDescent="0.3">
      <c r="A33" s="38"/>
      <c r="B33" s="38" t="s">
        <v>126</v>
      </c>
      <c r="C33" s="38" t="s">
        <v>125</v>
      </c>
      <c r="D33" s="39">
        <v>45678</v>
      </c>
      <c r="E33" s="38" t="s">
        <v>42</v>
      </c>
      <c r="F33" s="38" t="s">
        <v>49</v>
      </c>
      <c r="G33" s="40">
        <v>781</v>
      </c>
      <c r="H33" s="40">
        <v>73564.69</v>
      </c>
      <c r="I33" s="40">
        <v>11770.35</v>
      </c>
      <c r="J33" s="40">
        <f t="shared" si="1"/>
        <v>86116.040000000008</v>
      </c>
      <c r="K33" s="40">
        <v>86206.6</v>
      </c>
      <c r="L33" s="40">
        <f t="shared" si="2"/>
        <v>-90.559999999997672</v>
      </c>
      <c r="M33" s="38" t="s">
        <v>35</v>
      </c>
      <c r="N33" s="54"/>
      <c r="O33" s="36"/>
      <c r="P33" s="40"/>
      <c r="Q33" s="40">
        <v>781</v>
      </c>
      <c r="R33" s="41"/>
      <c r="S33" s="40">
        <v>6114.69</v>
      </c>
      <c r="T33" s="40">
        <v>0</v>
      </c>
      <c r="U33" s="40">
        <v>0</v>
      </c>
      <c r="V33" s="40">
        <v>0</v>
      </c>
      <c r="W33" s="40">
        <v>20000</v>
      </c>
      <c r="X33" s="40">
        <v>0</v>
      </c>
      <c r="Y33" s="40">
        <v>47450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36">
        <f t="shared" si="0"/>
        <v>0</v>
      </c>
      <c r="AI33"/>
      <c r="AJ33" s="37"/>
      <c r="AL33" s="1"/>
      <c r="AM33" s="1"/>
    </row>
    <row r="34" spans="1:39" x14ac:dyDescent="0.3">
      <c r="A34" s="38"/>
      <c r="B34" s="38" t="s">
        <v>128</v>
      </c>
      <c r="C34" s="38" t="s">
        <v>127</v>
      </c>
      <c r="D34" s="39">
        <v>45679</v>
      </c>
      <c r="E34" s="38" t="s">
        <v>61</v>
      </c>
      <c r="F34" s="38" t="s">
        <v>156</v>
      </c>
      <c r="G34" s="40">
        <v>0</v>
      </c>
      <c r="H34" s="40">
        <v>7450</v>
      </c>
      <c r="I34" s="40">
        <v>1192</v>
      </c>
      <c r="J34" s="40">
        <f t="shared" si="1"/>
        <v>8642</v>
      </c>
      <c r="K34" s="40">
        <v>8642</v>
      </c>
      <c r="L34" s="40">
        <f t="shared" si="2"/>
        <v>0</v>
      </c>
      <c r="M34" s="38" t="s">
        <v>35</v>
      </c>
      <c r="N34" s="54"/>
      <c r="O34" s="36"/>
      <c r="P34" s="40"/>
      <c r="Q34" s="40">
        <v>0</v>
      </c>
      <c r="R34" s="41"/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7450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36">
        <f t="shared" ref="AH34:AH65" si="4">+SUM(S34:AG34)-H34</f>
        <v>0</v>
      </c>
      <c r="AI34"/>
      <c r="AJ34" s="37"/>
      <c r="AL34" s="1"/>
      <c r="AM34" s="1"/>
    </row>
    <row r="35" spans="1:39" x14ac:dyDescent="0.3">
      <c r="A35" s="38"/>
      <c r="B35" s="38" t="s">
        <v>130</v>
      </c>
      <c r="C35" s="38" t="s">
        <v>129</v>
      </c>
      <c r="D35" s="39">
        <v>45679</v>
      </c>
      <c r="E35" s="38" t="s">
        <v>40</v>
      </c>
      <c r="F35" s="38" t="s">
        <v>41</v>
      </c>
      <c r="G35" s="40">
        <v>0</v>
      </c>
      <c r="H35" s="40">
        <v>101167.89</v>
      </c>
      <c r="I35" s="40">
        <v>16186.87</v>
      </c>
      <c r="J35" s="40">
        <f t="shared" si="1"/>
        <v>117354.76</v>
      </c>
      <c r="K35" s="40">
        <v>0</v>
      </c>
      <c r="L35" s="40">
        <f t="shared" si="2"/>
        <v>117354.76</v>
      </c>
      <c r="M35" s="38" t="s">
        <v>35</v>
      </c>
      <c r="N35" s="54"/>
      <c r="O35" s="36"/>
      <c r="P35" s="40"/>
      <c r="Q35" s="40">
        <v>0</v>
      </c>
      <c r="R35" s="41"/>
      <c r="S35" s="40">
        <v>6095.85</v>
      </c>
      <c r="T35" s="40">
        <v>0</v>
      </c>
      <c r="U35" s="40">
        <v>0</v>
      </c>
      <c r="V35" s="40">
        <v>0</v>
      </c>
      <c r="W35" s="40">
        <v>29072.04</v>
      </c>
      <c r="X35" s="40">
        <v>0</v>
      </c>
      <c r="Y35" s="40">
        <v>66000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36">
        <f t="shared" si="4"/>
        <v>0</v>
      </c>
      <c r="AI35"/>
      <c r="AJ35" s="37"/>
      <c r="AL35" s="1"/>
      <c r="AM35" s="1"/>
    </row>
    <row r="36" spans="1:39" x14ac:dyDescent="0.3">
      <c r="A36" s="38"/>
      <c r="B36" s="38" t="s">
        <v>132</v>
      </c>
      <c r="C36" s="38" t="s">
        <v>131</v>
      </c>
      <c r="D36" s="39">
        <v>45679</v>
      </c>
      <c r="E36" s="38" t="s">
        <v>61</v>
      </c>
      <c r="F36" s="38" t="s">
        <v>156</v>
      </c>
      <c r="G36" s="40">
        <v>0</v>
      </c>
      <c r="H36" s="40">
        <v>20000</v>
      </c>
      <c r="I36" s="40">
        <v>3200</v>
      </c>
      <c r="J36" s="40">
        <f t="shared" si="1"/>
        <v>23200</v>
      </c>
      <c r="K36" s="40">
        <v>23200</v>
      </c>
      <c r="L36" s="40">
        <f t="shared" si="2"/>
        <v>0</v>
      </c>
      <c r="M36" s="38" t="s">
        <v>35</v>
      </c>
      <c r="N36" s="54"/>
      <c r="O36" s="36"/>
      <c r="P36" s="40"/>
      <c r="Q36" s="40">
        <v>0</v>
      </c>
      <c r="R36" s="41"/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20000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36">
        <f t="shared" si="4"/>
        <v>0</v>
      </c>
      <c r="AI36"/>
      <c r="AJ36" s="37"/>
      <c r="AL36" s="1"/>
      <c r="AM36" s="1"/>
    </row>
    <row r="37" spans="1:39" x14ac:dyDescent="0.3">
      <c r="A37" s="38"/>
      <c r="B37" s="38" t="s">
        <v>134</v>
      </c>
      <c r="C37" s="38" t="s">
        <v>133</v>
      </c>
      <c r="D37" s="39">
        <v>45679</v>
      </c>
      <c r="E37" s="38" t="s">
        <v>53</v>
      </c>
      <c r="F37" s="38" t="s">
        <v>199</v>
      </c>
      <c r="G37" s="40">
        <v>781</v>
      </c>
      <c r="H37" s="40">
        <v>15830.09</v>
      </c>
      <c r="I37" s="40">
        <v>2532.81</v>
      </c>
      <c r="J37" s="40">
        <f t="shared" si="1"/>
        <v>19143.900000000001</v>
      </c>
      <c r="K37" s="40">
        <v>26161.08</v>
      </c>
      <c r="L37" s="40">
        <f t="shared" si="2"/>
        <v>-7017.18</v>
      </c>
      <c r="M37" s="38" t="s">
        <v>35</v>
      </c>
      <c r="N37" s="54"/>
      <c r="O37" s="36"/>
      <c r="P37" s="40"/>
      <c r="Q37" s="40">
        <v>781</v>
      </c>
      <c r="R37" s="41"/>
      <c r="S37" s="40">
        <v>7483.03</v>
      </c>
      <c r="T37" s="40">
        <v>0</v>
      </c>
      <c r="U37" s="40">
        <v>0</v>
      </c>
      <c r="V37" s="40">
        <v>0</v>
      </c>
      <c r="W37" s="40">
        <v>4432.0600000000004</v>
      </c>
      <c r="X37" s="40">
        <v>0</v>
      </c>
      <c r="Y37" s="40">
        <v>3915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36">
        <f t="shared" si="4"/>
        <v>0</v>
      </c>
      <c r="AI37"/>
      <c r="AJ37" s="37"/>
      <c r="AL37" s="1"/>
      <c r="AM37" s="1"/>
    </row>
    <row r="38" spans="1:39" x14ac:dyDescent="0.3">
      <c r="A38" s="38"/>
      <c r="B38" s="38" t="s">
        <v>136</v>
      </c>
      <c r="C38" s="38" t="s">
        <v>135</v>
      </c>
      <c r="D38" s="39">
        <v>45679</v>
      </c>
      <c r="E38" s="38" t="s">
        <v>53</v>
      </c>
      <c r="F38" s="38" t="s">
        <v>199</v>
      </c>
      <c r="G38" s="40">
        <v>781</v>
      </c>
      <c r="H38" s="40">
        <v>15129.35</v>
      </c>
      <c r="I38" s="40">
        <v>2420.69</v>
      </c>
      <c r="J38" s="40">
        <f t="shared" si="1"/>
        <v>18331.04</v>
      </c>
      <c r="K38" s="40">
        <v>31685.439999999999</v>
      </c>
      <c r="L38" s="40">
        <f t="shared" si="2"/>
        <v>-13354.399999999998</v>
      </c>
      <c r="M38" s="38" t="s">
        <v>35</v>
      </c>
      <c r="N38" s="54"/>
      <c r="O38" s="36"/>
      <c r="P38" s="40"/>
      <c r="Q38" s="40">
        <v>781</v>
      </c>
      <c r="R38" s="41"/>
      <c r="S38" s="40">
        <v>7449.01</v>
      </c>
      <c r="T38" s="40">
        <v>0</v>
      </c>
      <c r="U38" s="40">
        <v>0</v>
      </c>
      <c r="V38" s="40">
        <v>0</v>
      </c>
      <c r="W38" s="40">
        <v>3765.34</v>
      </c>
      <c r="X38" s="40">
        <v>0</v>
      </c>
      <c r="Y38" s="40">
        <v>3915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36">
        <f t="shared" si="4"/>
        <v>0</v>
      </c>
      <c r="AI38"/>
      <c r="AJ38" s="37"/>
      <c r="AL38" s="1"/>
      <c r="AM38" s="1"/>
    </row>
    <row r="39" spans="1:39" x14ac:dyDescent="0.3">
      <c r="A39" s="50"/>
      <c r="B39" s="38" t="s">
        <v>138</v>
      </c>
      <c r="C39" s="50" t="s">
        <v>137</v>
      </c>
      <c r="D39" s="39">
        <v>45679</v>
      </c>
      <c r="E39" s="38" t="s">
        <v>40</v>
      </c>
      <c r="F39" s="38" t="s">
        <v>41</v>
      </c>
      <c r="G39" s="40">
        <v>0</v>
      </c>
      <c r="H39" s="40">
        <v>3540</v>
      </c>
      <c r="I39" s="40">
        <v>566.4</v>
      </c>
      <c r="J39" s="40">
        <f t="shared" si="1"/>
        <v>4106.3999999999996</v>
      </c>
      <c r="K39" s="40">
        <v>0</v>
      </c>
      <c r="L39" s="40">
        <f t="shared" si="2"/>
        <v>4106.3999999999996</v>
      </c>
      <c r="M39" s="38" t="s">
        <v>35</v>
      </c>
      <c r="N39" s="54"/>
      <c r="O39" s="36"/>
      <c r="P39" s="40"/>
      <c r="Q39" s="40">
        <v>0</v>
      </c>
      <c r="R39" s="41"/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3540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36">
        <f t="shared" si="4"/>
        <v>0</v>
      </c>
      <c r="AI39"/>
      <c r="AJ39" s="37"/>
      <c r="AL39" s="1"/>
      <c r="AM39" s="1"/>
    </row>
    <row r="40" spans="1:39" x14ac:dyDescent="0.3">
      <c r="A40" s="50"/>
      <c r="B40" s="38" t="s">
        <v>139</v>
      </c>
      <c r="C40" s="50" t="s">
        <v>62</v>
      </c>
      <c r="D40" s="39">
        <v>45681</v>
      </c>
      <c r="E40" s="38" t="s">
        <v>53</v>
      </c>
      <c r="F40" s="38" t="s">
        <v>199</v>
      </c>
      <c r="G40" s="40">
        <v>0</v>
      </c>
      <c r="H40" s="40">
        <v>53262</v>
      </c>
      <c r="I40" s="40">
        <v>0</v>
      </c>
      <c r="J40" s="40">
        <f t="shared" si="1"/>
        <v>53262</v>
      </c>
      <c r="K40" s="40">
        <v>53262</v>
      </c>
      <c r="L40" s="40">
        <f t="shared" si="2"/>
        <v>0</v>
      </c>
      <c r="M40" s="38" t="s">
        <v>35</v>
      </c>
      <c r="N40" s="54"/>
      <c r="O40" s="36"/>
      <c r="P40" s="40"/>
      <c r="Q40" s="40">
        <v>0</v>
      </c>
      <c r="R40" s="41"/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1650</v>
      </c>
      <c r="AF40" s="40">
        <v>44880</v>
      </c>
      <c r="AG40" s="40">
        <v>6732</v>
      </c>
      <c r="AH40" s="36">
        <f t="shared" si="4"/>
        <v>0</v>
      </c>
      <c r="AI40"/>
      <c r="AJ40" s="37"/>
      <c r="AL40" s="1"/>
      <c r="AM40" s="1"/>
    </row>
    <row r="41" spans="1:39" x14ac:dyDescent="0.3">
      <c r="A41" s="50"/>
      <c r="B41" s="38" t="s">
        <v>141</v>
      </c>
      <c r="C41" s="50" t="s">
        <v>140</v>
      </c>
      <c r="D41" s="39">
        <v>45681</v>
      </c>
      <c r="E41" s="38" t="s">
        <v>40</v>
      </c>
      <c r="F41" s="38" t="s">
        <v>41</v>
      </c>
      <c r="G41" s="40">
        <v>0</v>
      </c>
      <c r="H41" s="40">
        <v>43208</v>
      </c>
      <c r="I41" s="40">
        <v>6913.28</v>
      </c>
      <c r="J41" s="40">
        <f t="shared" si="1"/>
        <v>50121.279999999999</v>
      </c>
      <c r="K41" s="40">
        <v>0</v>
      </c>
      <c r="L41" s="40">
        <f t="shared" si="2"/>
        <v>50121.279999999999</v>
      </c>
      <c r="M41" s="38" t="s">
        <v>35</v>
      </c>
      <c r="N41" s="54"/>
      <c r="O41" s="36"/>
      <c r="P41" s="40"/>
      <c r="Q41" s="40">
        <v>0</v>
      </c>
      <c r="R41" s="41"/>
      <c r="S41" s="40">
        <v>4108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38500</v>
      </c>
      <c r="Z41" s="40">
        <v>0</v>
      </c>
      <c r="AA41" s="40">
        <v>600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36">
        <f t="shared" si="4"/>
        <v>0</v>
      </c>
      <c r="AI41"/>
      <c r="AJ41" s="37"/>
      <c r="AL41" s="1"/>
      <c r="AM41" s="1"/>
    </row>
    <row r="42" spans="1:39" x14ac:dyDescent="0.3">
      <c r="A42" s="38"/>
      <c r="B42" s="38" t="s">
        <v>143</v>
      </c>
      <c r="C42" s="38" t="s">
        <v>142</v>
      </c>
      <c r="D42" s="39">
        <v>45684</v>
      </c>
      <c r="E42" s="38" t="s">
        <v>40</v>
      </c>
      <c r="F42" s="38" t="s">
        <v>41</v>
      </c>
      <c r="G42" s="40">
        <v>0</v>
      </c>
      <c r="H42" s="40">
        <v>23630.09</v>
      </c>
      <c r="I42" s="40">
        <v>3780.81</v>
      </c>
      <c r="J42" s="40">
        <f t="shared" si="1"/>
        <v>27410.9</v>
      </c>
      <c r="K42" s="40">
        <v>0</v>
      </c>
      <c r="L42" s="40">
        <f t="shared" si="2"/>
        <v>27410.9</v>
      </c>
      <c r="M42" s="38" t="s">
        <v>35</v>
      </c>
      <c r="N42" s="54"/>
      <c r="O42" s="36"/>
      <c r="P42" s="40"/>
      <c r="Q42" s="40">
        <v>0</v>
      </c>
      <c r="R42" s="41"/>
      <c r="S42" s="40">
        <v>4585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19045.09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36">
        <f t="shared" si="4"/>
        <v>0</v>
      </c>
      <c r="AI42"/>
      <c r="AJ42" s="37"/>
      <c r="AL42" s="1"/>
      <c r="AM42" s="1"/>
    </row>
    <row r="43" spans="1:39" s="67" customFormat="1" x14ac:dyDescent="0.3">
      <c r="A43" s="61"/>
      <c r="B43" s="62" t="s">
        <v>145</v>
      </c>
      <c r="C43" s="61" t="s">
        <v>144</v>
      </c>
      <c r="D43" s="63">
        <v>45684</v>
      </c>
      <c r="E43" s="62" t="s">
        <v>40</v>
      </c>
      <c r="F43" s="62" t="s">
        <v>41</v>
      </c>
      <c r="G43" s="64">
        <v>0</v>
      </c>
      <c r="H43" s="64">
        <v>29438.47</v>
      </c>
      <c r="I43" s="64">
        <v>4710.1499999999996</v>
      </c>
      <c r="J43" s="64">
        <f t="shared" si="1"/>
        <v>34148.620000000003</v>
      </c>
      <c r="K43" s="64">
        <v>0</v>
      </c>
      <c r="L43" s="64">
        <f t="shared" si="2"/>
        <v>34148.620000000003</v>
      </c>
      <c r="M43" s="62" t="s">
        <v>35</v>
      </c>
      <c r="N43" s="54"/>
      <c r="O43" s="65"/>
      <c r="P43" s="64"/>
      <c r="Q43" s="40">
        <v>0</v>
      </c>
      <c r="R43" s="66"/>
      <c r="S43" s="40">
        <v>4107.9399999999996</v>
      </c>
      <c r="T43" s="40">
        <v>0</v>
      </c>
      <c r="U43" s="40">
        <v>3737.5</v>
      </c>
      <c r="V43" s="40">
        <v>0</v>
      </c>
      <c r="W43" s="40">
        <v>10118.030000000001</v>
      </c>
      <c r="X43" s="40">
        <v>0</v>
      </c>
      <c r="Y43" s="40">
        <v>11475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65">
        <f t="shared" si="4"/>
        <v>0</v>
      </c>
      <c r="AJ43" s="68"/>
      <c r="AK43" s="69"/>
      <c r="AL43" s="69"/>
      <c r="AM43" s="69"/>
    </row>
    <row r="44" spans="1:39" x14ac:dyDescent="0.3">
      <c r="A44" s="38"/>
      <c r="B44" s="38" t="s">
        <v>158</v>
      </c>
      <c r="C44" s="38" t="s">
        <v>175</v>
      </c>
      <c r="D44" s="39">
        <v>45685</v>
      </c>
      <c r="E44" s="38" t="s">
        <v>22</v>
      </c>
      <c r="F44" s="38" t="s">
        <v>45</v>
      </c>
      <c r="G44" s="40">
        <v>336</v>
      </c>
      <c r="H44" s="40">
        <v>14131.96</v>
      </c>
      <c r="I44" s="40">
        <v>2261.11</v>
      </c>
      <c r="J44" s="40">
        <f t="shared" si="1"/>
        <v>16729.07</v>
      </c>
      <c r="K44" s="40">
        <v>16729.07</v>
      </c>
      <c r="L44" s="40">
        <f t="shared" si="2"/>
        <v>0</v>
      </c>
      <c r="M44" s="38" t="s">
        <v>35</v>
      </c>
      <c r="N44" s="54"/>
      <c r="O44" s="36"/>
      <c r="P44" s="40"/>
      <c r="Q44" s="40">
        <v>336</v>
      </c>
      <c r="R44" s="41"/>
      <c r="S44" s="40">
        <v>6231.96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7900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36">
        <f t="shared" si="4"/>
        <v>0</v>
      </c>
      <c r="AI44"/>
      <c r="AJ44" s="37"/>
      <c r="AL44" s="1"/>
      <c r="AM44" s="1"/>
    </row>
    <row r="45" spans="1:39" x14ac:dyDescent="0.3">
      <c r="A45" s="38"/>
      <c r="B45" s="38" t="s">
        <v>159</v>
      </c>
      <c r="C45" s="38" t="s">
        <v>176</v>
      </c>
      <c r="D45" s="39">
        <v>45685</v>
      </c>
      <c r="E45" s="38" t="s">
        <v>22</v>
      </c>
      <c r="F45" s="38" t="s">
        <v>45</v>
      </c>
      <c r="G45" s="40">
        <v>3386</v>
      </c>
      <c r="H45" s="40">
        <v>8084.16</v>
      </c>
      <c r="I45" s="40">
        <v>1293.47</v>
      </c>
      <c r="J45" s="40">
        <f t="shared" si="1"/>
        <v>12763.63</v>
      </c>
      <c r="K45" s="40">
        <v>12789.63</v>
      </c>
      <c r="L45" s="40">
        <f t="shared" si="2"/>
        <v>-26</v>
      </c>
      <c r="M45" s="38" t="s">
        <v>35</v>
      </c>
      <c r="N45" s="54"/>
      <c r="O45" s="36"/>
      <c r="P45" s="40"/>
      <c r="Q45" s="40">
        <v>3386</v>
      </c>
      <c r="R45" s="41"/>
      <c r="S45" s="40">
        <v>4134.16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3950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36">
        <f t="shared" si="4"/>
        <v>0</v>
      </c>
      <c r="AI45"/>
      <c r="AJ45" s="37"/>
      <c r="AL45" s="1"/>
      <c r="AM45" s="1"/>
    </row>
    <row r="46" spans="1:39" x14ac:dyDescent="0.3">
      <c r="A46" s="38"/>
      <c r="B46" s="38" t="s">
        <v>160</v>
      </c>
      <c r="C46" s="38" t="s">
        <v>177</v>
      </c>
      <c r="D46" s="39">
        <v>45685</v>
      </c>
      <c r="E46" s="38" t="s">
        <v>22</v>
      </c>
      <c r="F46" s="38" t="s">
        <v>45</v>
      </c>
      <c r="G46" s="40">
        <v>4544</v>
      </c>
      <c r="H46" s="40">
        <v>8058.6</v>
      </c>
      <c r="I46" s="40">
        <v>1289.3800000000001</v>
      </c>
      <c r="J46" s="40">
        <f t="shared" si="1"/>
        <v>13891.98</v>
      </c>
      <c r="K46" s="40">
        <v>13891.98</v>
      </c>
      <c r="L46" s="40">
        <f t="shared" si="2"/>
        <v>0</v>
      </c>
      <c r="M46" s="38" t="s">
        <v>35</v>
      </c>
      <c r="N46" s="54"/>
      <c r="O46" s="36"/>
      <c r="P46" s="40"/>
      <c r="Q46" s="40">
        <v>4544</v>
      </c>
      <c r="R46" s="41"/>
      <c r="S46" s="40">
        <v>4108.6000000000004</v>
      </c>
      <c r="T46" s="40">
        <v>0</v>
      </c>
      <c r="U46" s="40">
        <v>0</v>
      </c>
      <c r="V46" s="40">
        <v>3950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36">
        <f t="shared" si="4"/>
        <v>0</v>
      </c>
      <c r="AI46"/>
      <c r="AJ46" s="37"/>
      <c r="AL46" s="1"/>
      <c r="AM46" s="1"/>
    </row>
    <row r="47" spans="1:39" x14ac:dyDescent="0.3">
      <c r="A47" s="38"/>
      <c r="B47" s="38" t="s">
        <v>161</v>
      </c>
      <c r="C47" s="38" t="s">
        <v>178</v>
      </c>
      <c r="D47" s="39">
        <v>45685</v>
      </c>
      <c r="E47" s="38" t="s">
        <v>22</v>
      </c>
      <c r="F47" s="38" t="s">
        <v>45</v>
      </c>
      <c r="G47" s="40">
        <v>781</v>
      </c>
      <c r="H47" s="40">
        <v>12680.77</v>
      </c>
      <c r="I47" s="40">
        <v>2028.92</v>
      </c>
      <c r="J47" s="40">
        <f t="shared" si="1"/>
        <v>15490.69</v>
      </c>
      <c r="K47" s="40">
        <v>15490.7</v>
      </c>
      <c r="L47" s="40">
        <f t="shared" si="2"/>
        <v>-1.0000000000218279E-2</v>
      </c>
      <c r="M47" s="38" t="s">
        <v>35</v>
      </c>
      <c r="N47" s="54"/>
      <c r="O47" s="36"/>
      <c r="P47" s="40"/>
      <c r="Q47" s="40">
        <v>781</v>
      </c>
      <c r="R47" s="41"/>
      <c r="S47" s="40">
        <v>4108.59</v>
      </c>
      <c r="T47" s="40">
        <v>0</v>
      </c>
      <c r="U47" s="40">
        <v>0</v>
      </c>
      <c r="V47" s="40">
        <v>3950</v>
      </c>
      <c r="W47" s="40">
        <v>0</v>
      </c>
      <c r="X47" s="40">
        <v>0</v>
      </c>
      <c r="Y47" s="40">
        <v>0</v>
      </c>
      <c r="Z47" s="40">
        <v>4622.18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36">
        <f t="shared" si="4"/>
        <v>0</v>
      </c>
      <c r="AI47"/>
      <c r="AJ47" s="37"/>
      <c r="AL47" s="1"/>
      <c r="AM47" s="1"/>
    </row>
    <row r="48" spans="1:39" x14ac:dyDescent="0.3">
      <c r="A48" s="50"/>
      <c r="B48" s="38" t="s">
        <v>162</v>
      </c>
      <c r="C48" s="50" t="s">
        <v>179</v>
      </c>
      <c r="D48" s="39">
        <v>45685</v>
      </c>
      <c r="E48" s="38" t="s">
        <v>22</v>
      </c>
      <c r="F48" s="38" t="s">
        <v>45</v>
      </c>
      <c r="G48" s="40">
        <v>336</v>
      </c>
      <c r="H48" s="40">
        <v>14131.96</v>
      </c>
      <c r="I48" s="40">
        <v>2261.11</v>
      </c>
      <c r="J48" s="40">
        <f t="shared" si="1"/>
        <v>16729.07</v>
      </c>
      <c r="K48" s="40">
        <v>16729.07</v>
      </c>
      <c r="L48" s="40">
        <f t="shared" si="2"/>
        <v>0</v>
      </c>
      <c r="M48" s="38" t="s">
        <v>35</v>
      </c>
      <c r="N48" s="54"/>
      <c r="O48" s="36"/>
      <c r="P48" s="40"/>
      <c r="Q48" s="40">
        <v>336</v>
      </c>
      <c r="R48" s="41"/>
      <c r="S48" s="40">
        <v>6231.96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7900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36">
        <f t="shared" si="4"/>
        <v>0</v>
      </c>
      <c r="AI48"/>
      <c r="AJ48" s="37"/>
      <c r="AL48" s="1"/>
      <c r="AM48" s="1"/>
    </row>
    <row r="49" spans="1:39" x14ac:dyDescent="0.3">
      <c r="A49" s="38"/>
      <c r="B49" s="38" t="s">
        <v>163</v>
      </c>
      <c r="C49" s="38" t="s">
        <v>180</v>
      </c>
      <c r="D49" s="39">
        <v>45685</v>
      </c>
      <c r="E49" s="38" t="s">
        <v>22</v>
      </c>
      <c r="F49" s="38" t="s">
        <v>45</v>
      </c>
      <c r="G49" s="40">
        <v>8228</v>
      </c>
      <c r="H49" s="40">
        <v>40097.5</v>
      </c>
      <c r="I49" s="40">
        <v>6415.6</v>
      </c>
      <c r="J49" s="40">
        <f t="shared" si="1"/>
        <v>54741.1</v>
      </c>
      <c r="K49" s="40">
        <v>54741.1</v>
      </c>
      <c r="L49" s="40">
        <f t="shared" si="2"/>
        <v>0</v>
      </c>
      <c r="M49" s="38" t="s">
        <v>35</v>
      </c>
      <c r="N49" s="54"/>
      <c r="O49" s="36"/>
      <c r="P49" s="40"/>
      <c r="Q49" s="40">
        <v>8228</v>
      </c>
      <c r="R49" s="41"/>
      <c r="S49" s="40">
        <v>4097.5</v>
      </c>
      <c r="T49" s="40">
        <v>0</v>
      </c>
      <c r="U49" s="40">
        <v>0</v>
      </c>
      <c r="V49" s="40">
        <v>0</v>
      </c>
      <c r="W49" s="40">
        <v>16000</v>
      </c>
      <c r="X49" s="40">
        <v>0</v>
      </c>
      <c r="Y49" s="40">
        <v>20000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36">
        <f t="shared" si="4"/>
        <v>0</v>
      </c>
      <c r="AI49"/>
      <c r="AJ49" s="37"/>
      <c r="AL49" s="1"/>
      <c r="AM49" s="1"/>
    </row>
    <row r="50" spans="1:39" x14ac:dyDescent="0.3">
      <c r="A50" s="38"/>
      <c r="B50" s="38" t="s">
        <v>164</v>
      </c>
      <c r="C50" s="38" t="s">
        <v>181</v>
      </c>
      <c r="D50" s="39">
        <v>45685</v>
      </c>
      <c r="E50" s="38" t="s">
        <v>42</v>
      </c>
      <c r="F50" s="38" t="s">
        <v>49</v>
      </c>
      <c r="G50" s="40">
        <v>52061</v>
      </c>
      <c r="H50" s="40">
        <v>50206.47</v>
      </c>
      <c r="I50" s="40">
        <v>8033.04</v>
      </c>
      <c r="J50" s="40">
        <f t="shared" si="1"/>
        <v>110300.51</v>
      </c>
      <c r="K50" s="40">
        <v>110029.51</v>
      </c>
      <c r="L50" s="40">
        <f t="shared" si="2"/>
        <v>271</v>
      </c>
      <c r="M50" s="38" t="s">
        <v>35</v>
      </c>
      <c r="N50" s="54"/>
      <c r="O50" s="36"/>
      <c r="P50" s="40"/>
      <c r="Q50" s="40">
        <v>52061</v>
      </c>
      <c r="R50" s="41"/>
      <c r="S50" s="40">
        <v>6210</v>
      </c>
      <c r="T50" s="40">
        <v>0</v>
      </c>
      <c r="U50" s="40">
        <v>0</v>
      </c>
      <c r="V50" s="40">
        <v>0</v>
      </c>
      <c r="W50" s="40">
        <v>24000</v>
      </c>
      <c r="X50" s="40">
        <v>19996.47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36">
        <f t="shared" si="4"/>
        <v>0</v>
      </c>
      <c r="AI50"/>
      <c r="AJ50" s="37"/>
      <c r="AL50" s="1"/>
      <c r="AM50" s="1"/>
    </row>
    <row r="51" spans="1:39" x14ac:dyDescent="0.3">
      <c r="A51" s="50"/>
      <c r="B51" s="38" t="s">
        <v>165</v>
      </c>
      <c r="C51" s="50" t="s">
        <v>182</v>
      </c>
      <c r="D51" s="39">
        <v>45685</v>
      </c>
      <c r="E51" s="38" t="s">
        <v>22</v>
      </c>
      <c r="F51" s="38" t="s">
        <v>45</v>
      </c>
      <c r="G51" s="40">
        <v>336</v>
      </c>
      <c r="H51" s="40">
        <v>6928.26</v>
      </c>
      <c r="I51" s="40">
        <v>1108.52</v>
      </c>
      <c r="J51" s="40">
        <f t="shared" si="1"/>
        <v>8372.7800000000007</v>
      </c>
      <c r="K51" s="40">
        <v>8372.7800000000007</v>
      </c>
      <c r="L51" s="40">
        <f t="shared" si="2"/>
        <v>0</v>
      </c>
      <c r="M51" s="38" t="s">
        <v>35</v>
      </c>
      <c r="N51" s="54"/>
      <c r="O51" s="36"/>
      <c r="P51" s="40"/>
      <c r="Q51" s="40">
        <v>336</v>
      </c>
      <c r="R51" s="41"/>
      <c r="S51" s="40">
        <v>2978.26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3950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36">
        <f t="shared" si="4"/>
        <v>0</v>
      </c>
      <c r="AI51"/>
      <c r="AJ51" s="37"/>
      <c r="AL51" s="1"/>
      <c r="AM51" s="1"/>
    </row>
    <row r="52" spans="1:39" x14ac:dyDescent="0.3">
      <c r="A52" s="50"/>
      <c r="B52" s="38" t="s">
        <v>166</v>
      </c>
      <c r="C52" s="50" t="s">
        <v>183</v>
      </c>
      <c r="D52" s="39">
        <v>45685</v>
      </c>
      <c r="E52" s="38" t="s">
        <v>22</v>
      </c>
      <c r="F52" s="38" t="s">
        <v>45</v>
      </c>
      <c r="G52" s="40">
        <v>336</v>
      </c>
      <c r="H52" s="40">
        <v>14661.91</v>
      </c>
      <c r="I52" s="40">
        <v>2345.91</v>
      </c>
      <c r="J52" s="40">
        <f t="shared" si="1"/>
        <v>17343.82</v>
      </c>
      <c r="K52" s="40">
        <v>17343.82</v>
      </c>
      <c r="L52" s="40">
        <f t="shared" si="2"/>
        <v>0</v>
      </c>
      <c r="M52" s="38" t="s">
        <v>35</v>
      </c>
      <c r="N52" s="54"/>
      <c r="O52" s="36"/>
      <c r="P52" s="40"/>
      <c r="Q52" s="40">
        <v>336</v>
      </c>
      <c r="R52" s="41"/>
      <c r="S52" s="40">
        <v>6161.91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8500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36">
        <f t="shared" si="4"/>
        <v>0</v>
      </c>
      <c r="AI52"/>
      <c r="AJ52" s="37"/>
      <c r="AL52" s="1"/>
      <c r="AM52" s="1"/>
    </row>
    <row r="53" spans="1:39" x14ac:dyDescent="0.3">
      <c r="A53" s="38"/>
      <c r="B53" s="38" t="s">
        <v>167</v>
      </c>
      <c r="C53" s="38" t="s">
        <v>184</v>
      </c>
      <c r="D53" s="39">
        <v>45685</v>
      </c>
      <c r="E53" s="38" t="s">
        <v>22</v>
      </c>
      <c r="F53" s="38" t="s">
        <v>45</v>
      </c>
      <c r="G53" s="40">
        <v>336</v>
      </c>
      <c r="H53" s="40">
        <v>3073.13</v>
      </c>
      <c r="I53" s="40">
        <v>491.7</v>
      </c>
      <c r="J53" s="40">
        <f t="shared" si="1"/>
        <v>3900.83</v>
      </c>
      <c r="K53" s="40">
        <v>3900.83</v>
      </c>
      <c r="L53" s="40">
        <f t="shared" si="2"/>
        <v>0</v>
      </c>
      <c r="M53" s="38" t="s">
        <v>35</v>
      </c>
      <c r="N53" s="54"/>
      <c r="O53" s="36"/>
      <c r="P53" s="40"/>
      <c r="Q53" s="40">
        <v>336</v>
      </c>
      <c r="R53" s="41"/>
      <c r="S53" s="40">
        <v>3073.13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36">
        <f t="shared" si="4"/>
        <v>0</v>
      </c>
      <c r="AI53"/>
      <c r="AJ53" s="37"/>
      <c r="AL53" s="1"/>
      <c r="AM53" s="1"/>
    </row>
    <row r="54" spans="1:39" x14ac:dyDescent="0.3">
      <c r="A54" s="50"/>
      <c r="B54" s="38" t="s">
        <v>168</v>
      </c>
      <c r="C54" s="50" t="s">
        <v>185</v>
      </c>
      <c r="D54" s="39">
        <v>45685</v>
      </c>
      <c r="E54" s="38" t="s">
        <v>42</v>
      </c>
      <c r="F54" s="38" t="s">
        <v>49</v>
      </c>
      <c r="G54" s="40">
        <v>781</v>
      </c>
      <c r="H54" s="40">
        <v>86910</v>
      </c>
      <c r="I54" s="40">
        <v>13905.6</v>
      </c>
      <c r="J54" s="40">
        <f t="shared" si="1"/>
        <v>101596.6</v>
      </c>
      <c r="K54" s="40">
        <v>101596.6</v>
      </c>
      <c r="L54" s="40">
        <f t="shared" si="2"/>
        <v>0</v>
      </c>
      <c r="M54" s="38" t="s">
        <v>35</v>
      </c>
      <c r="N54" s="54"/>
      <c r="O54" s="36"/>
      <c r="P54" s="40"/>
      <c r="Q54" s="40">
        <v>781</v>
      </c>
      <c r="R54" s="41"/>
      <c r="S54" s="40">
        <v>6210</v>
      </c>
      <c r="T54" s="40">
        <v>0</v>
      </c>
      <c r="U54" s="40">
        <v>0</v>
      </c>
      <c r="V54" s="40">
        <v>0</v>
      </c>
      <c r="W54" s="40">
        <v>24000</v>
      </c>
      <c r="X54" s="40">
        <v>0</v>
      </c>
      <c r="Y54" s="40">
        <v>56700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36">
        <f t="shared" si="4"/>
        <v>0</v>
      </c>
      <c r="AI54"/>
      <c r="AJ54" s="37"/>
      <c r="AL54" s="1"/>
      <c r="AM54" s="1"/>
    </row>
    <row r="55" spans="1:39" x14ac:dyDescent="0.3">
      <c r="A55" s="38"/>
      <c r="B55" s="38" t="s">
        <v>169</v>
      </c>
      <c r="C55" s="38" t="s">
        <v>186</v>
      </c>
      <c r="D55" s="39">
        <v>45685</v>
      </c>
      <c r="E55" s="38" t="s">
        <v>42</v>
      </c>
      <c r="F55" s="38" t="s">
        <v>49</v>
      </c>
      <c r="G55" s="40">
        <v>3599.6</v>
      </c>
      <c r="H55" s="40">
        <v>1627.5</v>
      </c>
      <c r="I55" s="40">
        <v>0</v>
      </c>
      <c r="J55" s="40">
        <f t="shared" si="1"/>
        <v>5227.1000000000004</v>
      </c>
      <c r="K55" s="40">
        <v>5227.1000000000004</v>
      </c>
      <c r="L55" s="40">
        <f t="shared" si="2"/>
        <v>0</v>
      </c>
      <c r="M55" s="38" t="s">
        <v>35</v>
      </c>
      <c r="N55" s="54"/>
      <c r="O55" s="36"/>
      <c r="P55" s="40">
        <v>3599.6</v>
      </c>
      <c r="Q55" s="40">
        <v>0</v>
      </c>
      <c r="R55" s="41"/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1627.5</v>
      </c>
      <c r="AF55" s="40">
        <v>0</v>
      </c>
      <c r="AG55" s="40">
        <v>0</v>
      </c>
      <c r="AH55" s="36">
        <f t="shared" si="4"/>
        <v>0</v>
      </c>
      <c r="AI55"/>
      <c r="AJ55" s="37"/>
      <c r="AL55" s="1"/>
      <c r="AM55" s="1"/>
    </row>
    <row r="56" spans="1:39" x14ac:dyDescent="0.3">
      <c r="A56" s="38"/>
      <c r="B56" s="38" t="s">
        <v>170</v>
      </c>
      <c r="C56" s="38" t="s">
        <v>187</v>
      </c>
      <c r="D56" s="39">
        <v>45685</v>
      </c>
      <c r="E56" s="38" t="s">
        <v>22</v>
      </c>
      <c r="F56" s="38" t="s">
        <v>45</v>
      </c>
      <c r="G56" s="40">
        <v>47221</v>
      </c>
      <c r="H56" s="40">
        <v>15815.59</v>
      </c>
      <c r="I56" s="40">
        <v>2530.5</v>
      </c>
      <c r="J56" s="40">
        <f t="shared" si="1"/>
        <v>65567.09</v>
      </c>
      <c r="K56" s="40">
        <v>65787.08</v>
      </c>
      <c r="L56" s="40">
        <f t="shared" si="2"/>
        <v>-219.99000000000524</v>
      </c>
      <c r="M56" s="38" t="s">
        <v>35</v>
      </c>
      <c r="N56" s="54"/>
      <c r="O56" s="36"/>
      <c r="P56" s="40"/>
      <c r="Q56" s="40">
        <v>47221</v>
      </c>
      <c r="R56" s="41"/>
      <c r="S56" s="40">
        <v>4127.16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3950</v>
      </c>
      <c r="Z56" s="40">
        <v>7738.43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36">
        <f t="shared" si="4"/>
        <v>0</v>
      </c>
      <c r="AI56"/>
      <c r="AJ56" s="37"/>
      <c r="AL56" s="1"/>
      <c r="AM56" s="1"/>
    </row>
    <row r="57" spans="1:39" x14ac:dyDescent="0.3">
      <c r="A57" s="50"/>
      <c r="B57" s="38" t="s">
        <v>171</v>
      </c>
      <c r="C57" s="50" t="s">
        <v>188</v>
      </c>
      <c r="D57" s="39">
        <v>45687</v>
      </c>
      <c r="E57" s="38" t="s">
        <v>53</v>
      </c>
      <c r="F57" s="38" t="s">
        <v>199</v>
      </c>
      <c r="G57" s="40">
        <v>781</v>
      </c>
      <c r="H57" s="40">
        <v>14016.38</v>
      </c>
      <c r="I57" s="40">
        <v>2242.62</v>
      </c>
      <c r="J57" s="40">
        <f t="shared" si="1"/>
        <v>17040</v>
      </c>
      <c r="K57" s="40">
        <v>21121.67</v>
      </c>
      <c r="L57" s="40">
        <f t="shared" si="2"/>
        <v>-4081.6699999999983</v>
      </c>
      <c r="M57" s="38" t="s">
        <v>35</v>
      </c>
      <c r="N57" s="54"/>
      <c r="O57" s="36"/>
      <c r="P57" s="40"/>
      <c r="Q57" s="40">
        <v>781</v>
      </c>
      <c r="R57" s="41"/>
      <c r="S57" s="40">
        <v>7370.71</v>
      </c>
      <c r="T57" s="40">
        <v>0</v>
      </c>
      <c r="U57" s="40">
        <v>608.91999999999996</v>
      </c>
      <c r="V57" s="40">
        <v>0</v>
      </c>
      <c r="W57" s="40">
        <v>2121.75</v>
      </c>
      <c r="X57" s="40">
        <v>0</v>
      </c>
      <c r="Y57" s="40">
        <v>3915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36">
        <f t="shared" si="4"/>
        <v>0</v>
      </c>
      <c r="AI57"/>
      <c r="AJ57" s="37"/>
      <c r="AL57" s="1"/>
      <c r="AM57" s="1"/>
    </row>
    <row r="58" spans="1:39" x14ac:dyDescent="0.3">
      <c r="A58" s="50"/>
      <c r="B58" s="38" t="s">
        <v>172</v>
      </c>
      <c r="C58" s="50" t="s">
        <v>189</v>
      </c>
      <c r="D58" s="39">
        <v>45687</v>
      </c>
      <c r="E58" s="38" t="s">
        <v>53</v>
      </c>
      <c r="F58" s="38" t="s">
        <v>199</v>
      </c>
      <c r="G58" s="40">
        <v>781</v>
      </c>
      <c r="H58" s="40">
        <v>34614.5</v>
      </c>
      <c r="I58" s="40">
        <v>5538.32</v>
      </c>
      <c r="J58" s="40">
        <f t="shared" si="1"/>
        <v>40933.82</v>
      </c>
      <c r="K58" s="40">
        <v>145355.37</v>
      </c>
      <c r="L58" s="40">
        <f t="shared" si="2"/>
        <v>-104421.54999999999</v>
      </c>
      <c r="M58" s="38" t="s">
        <v>35</v>
      </c>
      <c r="N58" s="54"/>
      <c r="O58" s="36"/>
      <c r="P58" s="40"/>
      <c r="Q58" s="40">
        <v>781</v>
      </c>
      <c r="R58" s="41"/>
      <c r="S58" s="40">
        <v>7478.35</v>
      </c>
      <c r="T58" s="40">
        <v>0</v>
      </c>
      <c r="U58" s="40">
        <v>0</v>
      </c>
      <c r="V58" s="40">
        <v>0</v>
      </c>
      <c r="W58" s="40">
        <v>27136.15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36">
        <f t="shared" si="4"/>
        <v>0</v>
      </c>
      <c r="AI58"/>
      <c r="AJ58" s="37"/>
      <c r="AL58" s="1"/>
      <c r="AM58" s="1"/>
    </row>
    <row r="59" spans="1:39" x14ac:dyDescent="0.3">
      <c r="A59" s="38"/>
      <c r="B59" s="38" t="s">
        <v>173</v>
      </c>
      <c r="C59" s="38" t="s">
        <v>190</v>
      </c>
      <c r="D59" s="39">
        <v>45687</v>
      </c>
      <c r="E59" s="38" t="s">
        <v>198</v>
      </c>
      <c r="F59" s="38" t="s">
        <v>200</v>
      </c>
      <c r="G59" s="40">
        <v>0</v>
      </c>
      <c r="H59" s="40">
        <v>22000</v>
      </c>
      <c r="I59" s="40">
        <v>3520</v>
      </c>
      <c r="J59" s="40">
        <f t="shared" si="1"/>
        <v>25520</v>
      </c>
      <c r="K59" s="40">
        <v>25520</v>
      </c>
      <c r="L59" s="40">
        <f t="shared" si="2"/>
        <v>0</v>
      </c>
      <c r="M59" s="38" t="s">
        <v>35</v>
      </c>
      <c r="N59" s="54"/>
      <c r="O59" s="36"/>
      <c r="P59" s="40"/>
      <c r="Q59" s="40">
        <v>0</v>
      </c>
      <c r="R59" s="41"/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22000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36">
        <f t="shared" si="4"/>
        <v>0</v>
      </c>
      <c r="AI59"/>
      <c r="AJ59" s="37"/>
      <c r="AL59" s="1"/>
      <c r="AM59" s="1"/>
    </row>
    <row r="60" spans="1:39" s="67" customFormat="1" x14ac:dyDescent="0.3">
      <c r="A60" s="62"/>
      <c r="B60" s="62" t="s">
        <v>174</v>
      </c>
      <c r="C60" s="62" t="s">
        <v>191</v>
      </c>
      <c r="D60" s="63">
        <v>45687</v>
      </c>
      <c r="E60" s="62" t="s">
        <v>61</v>
      </c>
      <c r="F60" s="62" t="s">
        <v>156</v>
      </c>
      <c r="G60" s="64">
        <v>0</v>
      </c>
      <c r="H60" s="64">
        <v>27288.7</v>
      </c>
      <c r="I60" s="64">
        <v>4366.1899999999996</v>
      </c>
      <c r="J60" s="64">
        <f t="shared" si="1"/>
        <v>31654.89</v>
      </c>
      <c r="K60" s="64">
        <v>31654.89</v>
      </c>
      <c r="L60" s="64">
        <f t="shared" si="2"/>
        <v>0</v>
      </c>
      <c r="M60" s="62" t="s">
        <v>35</v>
      </c>
      <c r="N60" s="54"/>
      <c r="O60" s="65"/>
      <c r="P60" s="64"/>
      <c r="Q60" s="40">
        <v>0</v>
      </c>
      <c r="R60" s="66"/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27288.7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65">
        <f t="shared" si="4"/>
        <v>0</v>
      </c>
      <c r="AJ60" s="68"/>
      <c r="AK60" s="69"/>
      <c r="AL60" s="69"/>
      <c r="AM60" s="69"/>
    </row>
    <row r="61" spans="1:39" x14ac:dyDescent="0.3">
      <c r="A61" s="38"/>
      <c r="B61" s="38" t="s">
        <v>201</v>
      </c>
      <c r="C61" s="38" t="s">
        <v>210</v>
      </c>
      <c r="D61" s="39">
        <v>45688</v>
      </c>
      <c r="E61" s="38" t="s">
        <v>223</v>
      </c>
      <c r="F61" s="38" t="s">
        <v>219</v>
      </c>
      <c r="G61" s="40">
        <v>45257</v>
      </c>
      <c r="H61" s="40">
        <v>7483.43</v>
      </c>
      <c r="I61" s="40">
        <v>1197.3499999999999</v>
      </c>
      <c r="J61" s="40">
        <f t="shared" si="1"/>
        <v>53937.78</v>
      </c>
      <c r="K61" s="40">
        <v>53937.78</v>
      </c>
      <c r="L61" s="40">
        <f t="shared" si="2"/>
        <v>0</v>
      </c>
      <c r="M61" s="38" t="s">
        <v>35</v>
      </c>
      <c r="N61" s="54"/>
      <c r="O61" s="36"/>
      <c r="P61" s="40"/>
      <c r="Q61" s="40">
        <v>45257</v>
      </c>
      <c r="R61" s="41"/>
      <c r="S61" s="40">
        <v>4449.6000000000004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3033.83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36">
        <f t="shared" si="4"/>
        <v>0</v>
      </c>
      <c r="AI61"/>
      <c r="AJ61" s="37"/>
      <c r="AL61" s="1"/>
      <c r="AM61" s="1"/>
    </row>
    <row r="62" spans="1:39" x14ac:dyDescent="0.3">
      <c r="A62" s="38"/>
      <c r="B62" s="38" t="s">
        <v>202</v>
      </c>
      <c r="C62" s="38" t="s">
        <v>211</v>
      </c>
      <c r="D62" s="39">
        <v>45688</v>
      </c>
      <c r="E62" s="38" t="s">
        <v>223</v>
      </c>
      <c r="F62" s="38" t="s">
        <v>219</v>
      </c>
      <c r="G62" s="40">
        <v>0</v>
      </c>
      <c r="H62" s="40">
        <v>2170</v>
      </c>
      <c r="I62" s="40">
        <v>0</v>
      </c>
      <c r="J62" s="40">
        <f t="shared" si="1"/>
        <v>2170</v>
      </c>
      <c r="K62" s="40">
        <v>2170</v>
      </c>
      <c r="L62" s="40">
        <f t="shared" si="2"/>
        <v>0</v>
      </c>
      <c r="M62" s="38" t="s">
        <v>35</v>
      </c>
      <c r="N62" s="54"/>
      <c r="O62" s="36"/>
      <c r="P62" s="40"/>
      <c r="Q62" s="40">
        <v>0</v>
      </c>
      <c r="R62" s="41"/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2170</v>
      </c>
      <c r="AH62" s="36">
        <f t="shared" si="4"/>
        <v>0</v>
      </c>
      <c r="AI62"/>
      <c r="AJ62" s="37"/>
      <c r="AL62" s="1"/>
      <c r="AM62" s="1"/>
    </row>
    <row r="63" spans="1:39" x14ac:dyDescent="0.3">
      <c r="A63" s="38"/>
      <c r="B63" s="38" t="s">
        <v>203</v>
      </c>
      <c r="C63" s="38" t="s">
        <v>212</v>
      </c>
      <c r="D63" s="39">
        <v>45688</v>
      </c>
      <c r="E63" s="38" t="s">
        <v>22</v>
      </c>
      <c r="F63" s="38" t="s">
        <v>220</v>
      </c>
      <c r="G63" s="40">
        <v>336</v>
      </c>
      <c r="H63" s="40">
        <v>14110.06</v>
      </c>
      <c r="I63" s="40">
        <v>2257.61</v>
      </c>
      <c r="J63" s="40">
        <f t="shared" si="1"/>
        <v>16703.669999999998</v>
      </c>
      <c r="K63" s="40">
        <v>16703.669999999998</v>
      </c>
      <c r="L63" s="40">
        <f t="shared" si="2"/>
        <v>0</v>
      </c>
      <c r="M63" s="38" t="s">
        <v>35</v>
      </c>
      <c r="N63" s="54"/>
      <c r="O63" s="36"/>
      <c r="P63" s="40"/>
      <c r="Q63" s="40">
        <v>336</v>
      </c>
      <c r="R63" s="41"/>
      <c r="S63" s="40">
        <v>6210.06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7900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36">
        <f t="shared" si="4"/>
        <v>0</v>
      </c>
      <c r="AI63"/>
      <c r="AJ63" s="37"/>
      <c r="AL63" s="1"/>
      <c r="AM63" s="1"/>
    </row>
    <row r="64" spans="1:39" x14ac:dyDescent="0.3">
      <c r="A64" s="38"/>
      <c r="B64" s="38" t="s">
        <v>204</v>
      </c>
      <c r="C64" s="38" t="s">
        <v>213</v>
      </c>
      <c r="D64" s="39">
        <v>45688</v>
      </c>
      <c r="E64" s="38" t="s">
        <v>22</v>
      </c>
      <c r="F64" s="38" t="s">
        <v>220</v>
      </c>
      <c r="G64" s="40">
        <v>336</v>
      </c>
      <c r="H64" s="40">
        <v>14710.06</v>
      </c>
      <c r="I64" s="40">
        <v>2353.61</v>
      </c>
      <c r="J64" s="40">
        <f t="shared" si="1"/>
        <v>17399.669999999998</v>
      </c>
      <c r="K64" s="40">
        <v>17399.669999999998</v>
      </c>
      <c r="L64" s="40">
        <f t="shared" si="2"/>
        <v>0</v>
      </c>
      <c r="M64" s="38" t="s">
        <v>35</v>
      </c>
      <c r="N64" s="54"/>
      <c r="O64" s="36"/>
      <c r="P64" s="40"/>
      <c r="Q64" s="40">
        <v>336</v>
      </c>
      <c r="R64" s="41"/>
      <c r="S64" s="40">
        <v>6210.06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7900</v>
      </c>
      <c r="Z64" s="40">
        <v>0</v>
      </c>
      <c r="AA64" s="40">
        <v>600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36">
        <f t="shared" si="4"/>
        <v>0</v>
      </c>
      <c r="AI64"/>
      <c r="AJ64" s="37"/>
      <c r="AL64" s="1"/>
      <c r="AM64" s="1"/>
    </row>
    <row r="65" spans="1:39" x14ac:dyDescent="0.3">
      <c r="A65" s="38"/>
      <c r="B65" s="38" t="s">
        <v>205</v>
      </c>
      <c r="C65" s="38" t="s">
        <v>214</v>
      </c>
      <c r="D65" s="39">
        <v>45688</v>
      </c>
      <c r="E65" s="38" t="s">
        <v>224</v>
      </c>
      <c r="F65" s="38" t="s">
        <v>221</v>
      </c>
      <c r="G65" s="40">
        <v>32365</v>
      </c>
      <c r="H65" s="40">
        <v>29447.57</v>
      </c>
      <c r="I65" s="40">
        <v>4711.6099999999997</v>
      </c>
      <c r="J65" s="40">
        <f t="shared" si="1"/>
        <v>66524.179999999993</v>
      </c>
      <c r="K65" s="40">
        <v>66524.179999999993</v>
      </c>
      <c r="L65" s="40">
        <f t="shared" si="2"/>
        <v>0</v>
      </c>
      <c r="M65" s="38" t="s">
        <v>35</v>
      </c>
      <c r="N65" s="54"/>
      <c r="O65" s="36"/>
      <c r="P65" s="40"/>
      <c r="Q65" s="40">
        <v>32365</v>
      </c>
      <c r="R65" s="41"/>
      <c r="S65" s="40">
        <v>8179.88</v>
      </c>
      <c r="T65" s="40">
        <v>0</v>
      </c>
      <c r="U65" s="40">
        <v>0</v>
      </c>
      <c r="V65" s="40">
        <v>0</v>
      </c>
      <c r="W65" s="40">
        <v>9815.86</v>
      </c>
      <c r="X65" s="40">
        <v>0</v>
      </c>
      <c r="Y65" s="40">
        <v>11451.83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36">
        <f t="shared" si="4"/>
        <v>0</v>
      </c>
      <c r="AI65"/>
      <c r="AJ65" s="37"/>
      <c r="AL65" s="1"/>
      <c r="AM65" s="1"/>
    </row>
    <row r="66" spans="1:39" x14ac:dyDescent="0.3">
      <c r="A66" s="38"/>
      <c r="B66" s="38" t="s">
        <v>206</v>
      </c>
      <c r="C66" s="38" t="s">
        <v>215</v>
      </c>
      <c r="D66" s="39">
        <v>45688</v>
      </c>
      <c r="E66" s="38" t="s">
        <v>61</v>
      </c>
      <c r="F66" s="38" t="s">
        <v>222</v>
      </c>
      <c r="G66" s="40">
        <v>0</v>
      </c>
      <c r="H66" s="40">
        <v>21730.959999999999</v>
      </c>
      <c r="I66" s="40">
        <v>3476.95</v>
      </c>
      <c r="J66" s="40">
        <f t="shared" si="1"/>
        <v>25207.91</v>
      </c>
      <c r="K66" s="40">
        <v>25207.919999999998</v>
      </c>
      <c r="L66" s="40">
        <f t="shared" si="2"/>
        <v>-9.9999999983992893E-3</v>
      </c>
      <c r="M66" s="38" t="s">
        <v>35</v>
      </c>
      <c r="N66" s="54"/>
      <c r="O66" s="36"/>
      <c r="P66" s="40"/>
      <c r="Q66" s="40">
        <v>0</v>
      </c>
      <c r="R66" s="41"/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21730.959999999999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36">
        <f t="shared" ref="AH66:AH69" si="5">+SUM(S66:AG66)-H66</f>
        <v>0</v>
      </c>
      <c r="AI66"/>
      <c r="AJ66" s="37"/>
      <c r="AL66" s="1"/>
      <c r="AM66" s="1"/>
    </row>
    <row r="67" spans="1:39" x14ac:dyDescent="0.3">
      <c r="A67" s="38"/>
      <c r="B67" s="38" t="s">
        <v>207</v>
      </c>
      <c r="C67" s="38" t="s">
        <v>216</v>
      </c>
      <c r="D67" s="39">
        <v>45688</v>
      </c>
      <c r="E67" s="38" t="s">
        <v>61</v>
      </c>
      <c r="F67" s="38" t="s">
        <v>222</v>
      </c>
      <c r="G67" s="40">
        <v>0</v>
      </c>
      <c r="H67" s="40">
        <v>17400</v>
      </c>
      <c r="I67" s="40">
        <v>2784</v>
      </c>
      <c r="J67" s="40">
        <f t="shared" ref="J67:J69" si="6">SUM(G67:I67)</f>
        <v>20184</v>
      </c>
      <c r="K67" s="40">
        <v>20184</v>
      </c>
      <c r="L67" s="40">
        <f t="shared" ref="L67:L69" si="7">+J67-K67</f>
        <v>0</v>
      </c>
      <c r="M67" s="38" t="s">
        <v>35</v>
      </c>
      <c r="N67" s="54"/>
      <c r="O67" s="36"/>
      <c r="P67" s="40"/>
      <c r="Q67" s="40">
        <v>0</v>
      </c>
      <c r="R67" s="41"/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17400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36">
        <f t="shared" si="5"/>
        <v>0</v>
      </c>
      <c r="AI67"/>
      <c r="AJ67" s="37"/>
      <c r="AL67" s="1"/>
      <c r="AM67" s="1"/>
    </row>
    <row r="68" spans="1:39" x14ac:dyDescent="0.3">
      <c r="A68" s="38"/>
      <c r="B68" s="38" t="s">
        <v>208</v>
      </c>
      <c r="C68" s="38" t="s">
        <v>217</v>
      </c>
      <c r="D68" s="39">
        <v>45688</v>
      </c>
      <c r="E68" s="38" t="s">
        <v>42</v>
      </c>
      <c r="F68" s="38" t="s">
        <v>220</v>
      </c>
      <c r="G68" s="40">
        <v>402902</v>
      </c>
      <c r="H68" s="40">
        <v>45120.39</v>
      </c>
      <c r="I68" s="40">
        <v>7219.27</v>
      </c>
      <c r="J68" s="40">
        <f t="shared" si="6"/>
        <v>455241.66000000003</v>
      </c>
      <c r="K68" s="40">
        <v>458790.1</v>
      </c>
      <c r="L68" s="40">
        <f t="shared" si="7"/>
        <v>-3548.4399999999441</v>
      </c>
      <c r="M68" s="38" t="s">
        <v>35</v>
      </c>
      <c r="N68" s="54"/>
      <c r="O68" s="36"/>
      <c r="P68" s="40"/>
      <c r="Q68" s="40">
        <v>402902</v>
      </c>
      <c r="R68" s="41"/>
      <c r="S68" s="40">
        <v>7037.1</v>
      </c>
      <c r="T68" s="40">
        <v>0</v>
      </c>
      <c r="U68" s="40">
        <v>0</v>
      </c>
      <c r="V68" s="40">
        <v>0</v>
      </c>
      <c r="W68" s="40">
        <v>31500</v>
      </c>
      <c r="X68" s="40">
        <v>6583.29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36">
        <f t="shared" si="5"/>
        <v>0</v>
      </c>
      <c r="AI68"/>
      <c r="AJ68" s="37"/>
      <c r="AL68" s="1"/>
      <c r="AM68" s="1"/>
    </row>
    <row r="69" spans="1:39" x14ac:dyDescent="0.3">
      <c r="A69" s="38"/>
      <c r="B69" s="38" t="s">
        <v>209</v>
      </c>
      <c r="C69" s="38" t="s">
        <v>218</v>
      </c>
      <c r="D69" s="39">
        <v>45688</v>
      </c>
      <c r="E69" s="38" t="s">
        <v>42</v>
      </c>
      <c r="F69" s="38" t="s">
        <v>220</v>
      </c>
      <c r="G69" s="40">
        <v>781</v>
      </c>
      <c r="H69" s="40">
        <v>98665</v>
      </c>
      <c r="I69" s="40">
        <v>15786.4</v>
      </c>
      <c r="J69" s="40">
        <f t="shared" si="6"/>
        <v>115232.4</v>
      </c>
      <c r="K69" s="40">
        <v>115232.4</v>
      </c>
      <c r="L69" s="40">
        <f t="shared" si="7"/>
        <v>0</v>
      </c>
      <c r="M69" s="38" t="s">
        <v>35</v>
      </c>
      <c r="N69" s="54"/>
      <c r="O69" s="36"/>
      <c r="P69" s="40"/>
      <c r="Q69" s="40">
        <v>781</v>
      </c>
      <c r="R69" s="41"/>
      <c r="S69" s="40">
        <v>6210</v>
      </c>
      <c r="T69" s="40">
        <v>0</v>
      </c>
      <c r="U69" s="40">
        <v>0</v>
      </c>
      <c r="V69" s="40">
        <v>0</v>
      </c>
      <c r="W69" s="40">
        <v>32455</v>
      </c>
      <c r="X69" s="40">
        <v>0</v>
      </c>
      <c r="Y69" s="40">
        <v>60000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36">
        <f t="shared" si="5"/>
        <v>0</v>
      </c>
      <c r="AI69"/>
      <c r="AJ69" s="37"/>
      <c r="AL69" s="1"/>
      <c r="AM69" s="1"/>
    </row>
    <row r="70" spans="1:39" x14ac:dyDescent="0.3">
      <c r="A70" s="38"/>
      <c r="B70" s="38"/>
      <c r="C70" s="38"/>
      <c r="D70" s="39"/>
      <c r="E70" s="38"/>
      <c r="F70" s="38"/>
      <c r="G70" s="40"/>
      <c r="H70" s="40"/>
      <c r="I70" s="40"/>
      <c r="J70" s="40"/>
      <c r="K70" s="40"/>
      <c r="L70" s="40"/>
      <c r="M70" s="38"/>
      <c r="N70" s="54"/>
      <c r="O70" s="36"/>
      <c r="P70" s="40"/>
      <c r="Q70" s="40"/>
      <c r="R70" s="41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36"/>
      <c r="AI70"/>
      <c r="AJ70" s="37"/>
      <c r="AL70" s="1"/>
      <c r="AM70" s="1"/>
    </row>
    <row r="71" spans="1:39" x14ac:dyDescent="0.3">
      <c r="A71" s="38"/>
      <c r="B71" s="38"/>
      <c r="C71" s="38"/>
      <c r="D71" s="39"/>
      <c r="E71" s="38"/>
      <c r="F71" s="38"/>
      <c r="G71" s="40"/>
      <c r="H71" s="40"/>
      <c r="I71" s="40"/>
      <c r="J71" s="40"/>
      <c r="K71" s="40"/>
      <c r="L71" s="40"/>
      <c r="M71" s="38"/>
      <c r="N71" s="54"/>
      <c r="O71" s="36"/>
      <c r="P71" s="40"/>
      <c r="Q71" s="40"/>
      <c r="R71" s="41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36"/>
      <c r="AI71"/>
      <c r="AJ71" s="37"/>
      <c r="AL71" s="1"/>
      <c r="AM71" s="1"/>
    </row>
    <row r="72" spans="1:39" x14ac:dyDescent="0.3">
      <c r="A72" s="38"/>
      <c r="B72" s="38"/>
      <c r="C72" s="38"/>
      <c r="D72" s="39"/>
      <c r="E72" s="38"/>
      <c r="F72" s="38"/>
      <c r="G72" s="40"/>
      <c r="H72" s="40"/>
      <c r="I72" s="40"/>
      <c r="J72" s="40"/>
      <c r="K72" s="40"/>
      <c r="L72" s="40"/>
      <c r="M72" s="38"/>
      <c r="N72" s="54"/>
      <c r="O72" s="36"/>
      <c r="P72" s="40"/>
      <c r="Q72" s="40"/>
      <c r="R72" s="41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36"/>
      <c r="AI72"/>
      <c r="AJ72" s="37"/>
      <c r="AL72" s="1"/>
      <c r="AM72" s="1"/>
    </row>
    <row r="73" spans="1:39" x14ac:dyDescent="0.3">
      <c r="A73" s="50"/>
      <c r="B73" s="38"/>
      <c r="C73" s="50"/>
      <c r="D73" s="39"/>
      <c r="E73" s="38"/>
      <c r="F73" s="38"/>
      <c r="G73" s="40"/>
      <c r="H73" s="40"/>
      <c r="I73" s="40"/>
      <c r="J73" s="40"/>
      <c r="K73" s="40"/>
      <c r="L73" s="40"/>
      <c r="M73" s="38" t="s">
        <v>35</v>
      </c>
      <c r="N73" s="54"/>
      <c r="O73" s="36"/>
      <c r="P73" s="40"/>
      <c r="Q73" s="40"/>
      <c r="R73" s="41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36">
        <f>+SUM(S73:AG73)-H73</f>
        <v>0</v>
      </c>
      <c r="AI73"/>
      <c r="AJ73" s="37"/>
      <c r="AL73" s="1"/>
      <c r="AM73" s="1"/>
    </row>
    <row r="74" spans="1:39" ht="15" thickBot="1" x14ac:dyDescent="0.35">
      <c r="G74" s="16">
        <f t="shared" ref="G74:L74" si="8">+SUM(G2:G73)</f>
        <v>863944.28</v>
      </c>
      <c r="H74" s="16">
        <f t="shared" si="8"/>
        <v>2026625.17</v>
      </c>
      <c r="I74" s="16">
        <f t="shared" si="8"/>
        <v>315130.48</v>
      </c>
      <c r="J74" s="16">
        <f t="shared" si="8"/>
        <v>3205699.93</v>
      </c>
      <c r="K74" s="16">
        <f t="shared" si="8"/>
        <v>2488411.8499999996</v>
      </c>
      <c r="L74" s="16">
        <f t="shared" si="8"/>
        <v>717288.08000000007</v>
      </c>
      <c r="P74" s="16">
        <f>+SUM(P2:P73)</f>
        <v>4792.28</v>
      </c>
      <c r="Q74" s="16">
        <f>+SUM(Q2:Q73)</f>
        <v>859152</v>
      </c>
      <c r="S74" s="16">
        <f t="shared" ref="S74:AH74" si="9">+SUM(S2:S73)</f>
        <v>280300.43</v>
      </c>
      <c r="T74" s="16">
        <f t="shared" si="9"/>
        <v>4191</v>
      </c>
      <c r="U74" s="16">
        <f t="shared" si="9"/>
        <v>7846.42</v>
      </c>
      <c r="V74" s="16">
        <f t="shared" si="9"/>
        <v>12350</v>
      </c>
      <c r="W74" s="16">
        <f t="shared" si="9"/>
        <v>513327.14</v>
      </c>
      <c r="X74" s="16">
        <f t="shared" si="9"/>
        <v>153351.11000000002</v>
      </c>
      <c r="Y74" s="16">
        <f t="shared" si="9"/>
        <v>957587.4099999998</v>
      </c>
      <c r="Z74" s="16">
        <f t="shared" si="9"/>
        <v>20112.16</v>
      </c>
      <c r="AA74" s="16">
        <f t="shared" si="9"/>
        <v>1800</v>
      </c>
      <c r="AB74" s="16">
        <f t="shared" si="9"/>
        <v>17700</v>
      </c>
      <c r="AC74" s="16">
        <f t="shared" si="9"/>
        <v>1000</v>
      </c>
      <c r="AD74" s="16">
        <f t="shared" si="9"/>
        <v>0</v>
      </c>
      <c r="AE74" s="16">
        <f t="shared" si="9"/>
        <v>3277.5</v>
      </c>
      <c r="AF74" s="16">
        <f t="shared" si="9"/>
        <v>44880</v>
      </c>
      <c r="AG74" s="16">
        <f t="shared" si="9"/>
        <v>8902</v>
      </c>
      <c r="AH74" s="47">
        <f t="shared" si="9"/>
        <v>0</v>
      </c>
      <c r="AI74"/>
      <c r="AJ74" s="37"/>
      <c r="AL74" s="1"/>
      <c r="AM74" s="1"/>
    </row>
    <row r="75" spans="1:39" ht="15" thickTop="1" x14ac:dyDescent="0.3">
      <c r="AJ75"/>
      <c r="AL75" s="1"/>
      <c r="AM75" s="1"/>
    </row>
    <row r="76" spans="1:39" x14ac:dyDescent="0.3">
      <c r="AL76" s="1"/>
      <c r="AM76" s="1"/>
    </row>
    <row r="77" spans="1:39" x14ac:dyDescent="0.3">
      <c r="M77" s="46"/>
      <c r="AL77" s="1"/>
      <c r="AM77" s="1"/>
    </row>
    <row r="78" spans="1:39" x14ac:dyDescent="0.3">
      <c r="D78"/>
      <c r="E78" s="49"/>
      <c r="F78" s="14"/>
      <c r="H78" s="21" t="s">
        <v>25</v>
      </c>
      <c r="I78" s="21" t="s">
        <v>26</v>
      </c>
      <c r="J78" s="21" t="s">
        <v>27</v>
      </c>
      <c r="K78" s="21" t="s">
        <v>28</v>
      </c>
      <c r="AK78"/>
    </row>
    <row r="79" spans="1:39" x14ac:dyDescent="0.3">
      <c r="B79" s="14" t="s">
        <v>30</v>
      </c>
      <c r="D79" s="15">
        <f>+H81+I81</f>
        <v>3784231.6592049999</v>
      </c>
      <c r="G79" s="14" t="s">
        <v>23</v>
      </c>
      <c r="H79" s="1">
        <f>+H74-I79</f>
        <v>1969565.66</v>
      </c>
      <c r="I79" s="1">
        <f>+H62+H55+H40+H11</f>
        <v>57059.51</v>
      </c>
      <c r="J79" s="1">
        <f>+H79*0.16</f>
        <v>315130.50559999997</v>
      </c>
      <c r="K79" s="1">
        <f>+SUM(H79:J79)</f>
        <v>2341755.6755999997</v>
      </c>
      <c r="M79" s="46"/>
      <c r="AL79" s="36"/>
    </row>
    <row r="80" spans="1:39" x14ac:dyDescent="0.3">
      <c r="A80" s="22" t="s">
        <v>32</v>
      </c>
      <c r="B80" s="14" t="s">
        <v>31</v>
      </c>
      <c r="D80" s="15">
        <f>2026625.17+'ENE USD '!N19</f>
        <v>3784231.6592049999</v>
      </c>
      <c r="G80" s="14" t="s">
        <v>24</v>
      </c>
      <c r="H80" s="1">
        <f>+'ENE USD '!N9</f>
        <v>7712.8874999999998</v>
      </c>
      <c r="I80" s="1">
        <f>+'ENE USD '!N3+'ENE USD '!N4+'ENE USD '!N5+'ENE USD '!N6+'ENE USD '!N7+'ENE USD '!N8+'ENE USD '!N10+'ENE USD '!N11</f>
        <v>1749893.6017049998</v>
      </c>
      <c r="J80" s="1">
        <f>+H80*0.16</f>
        <v>1234.0619999999999</v>
      </c>
      <c r="K80" s="1">
        <f>+SUM(H80:J80)</f>
        <v>1758840.5512049997</v>
      </c>
    </row>
    <row r="81" spans="1:40" ht="15" thickBot="1" x14ac:dyDescent="0.35">
      <c r="A81" s="22" t="s">
        <v>33</v>
      </c>
      <c r="B81" s="14" t="s">
        <v>34</v>
      </c>
      <c r="D81" s="20">
        <f>+D79-D80</f>
        <v>0</v>
      </c>
      <c r="E81" s="35"/>
      <c r="H81" s="20">
        <f>+SUM(H79:H80)</f>
        <v>1977278.5474999999</v>
      </c>
      <c r="I81" s="20">
        <f t="shared" ref="I81:J81" si="10">+SUM(I79:I80)</f>
        <v>1806953.1117049998</v>
      </c>
      <c r="J81" s="20">
        <f t="shared" si="10"/>
        <v>316364.56759999995</v>
      </c>
      <c r="K81" s="20">
        <f>+SUM(K79:K80)</f>
        <v>4100596.2268049996</v>
      </c>
    </row>
    <row r="82" spans="1:40" ht="15" thickTop="1" x14ac:dyDescent="0.3">
      <c r="D82"/>
    </row>
    <row r="83" spans="1:40" x14ac:dyDescent="0.3">
      <c r="D83" s="33"/>
      <c r="G83" s="14" t="s">
        <v>29</v>
      </c>
      <c r="H83" s="15">
        <f>+H81+I81</f>
        <v>3784231.6592049999</v>
      </c>
    </row>
    <row r="84" spans="1:40" x14ac:dyDescent="0.3">
      <c r="D84" s="33"/>
      <c r="G84" s="14"/>
      <c r="H84" s="15"/>
    </row>
    <row r="85" spans="1:40" x14ac:dyDescent="0.3">
      <c r="D85" s="33"/>
      <c r="G85" s="14"/>
      <c r="H85" s="15"/>
    </row>
    <row r="86" spans="1:40" x14ac:dyDescent="0.3">
      <c r="D86" s="33"/>
      <c r="G86" s="14"/>
      <c r="H86" s="15"/>
    </row>
    <row r="87" spans="1:40" x14ac:dyDescent="0.3">
      <c r="D87" s="33"/>
      <c r="G87" s="14"/>
      <c r="H87" s="15"/>
    </row>
    <row r="88" spans="1:40" s="1" customFormat="1" x14ac:dyDescent="0.3">
      <c r="A88"/>
      <c r="B88"/>
      <c r="C88"/>
      <c r="D88" s="33"/>
      <c r="E88"/>
      <c r="F88"/>
      <c r="G88" s="14"/>
      <c r="H88" s="15"/>
      <c r="M88"/>
      <c r="N88"/>
      <c r="O88"/>
      <c r="R88"/>
      <c r="AL88"/>
      <c r="AM88"/>
      <c r="AN88"/>
    </row>
    <row r="89" spans="1:40" s="1" customFormat="1" x14ac:dyDescent="0.3">
      <c r="A89"/>
      <c r="B89"/>
      <c r="C89"/>
      <c r="D89" s="33"/>
      <c r="E89"/>
      <c r="F89"/>
      <c r="G89" s="14"/>
      <c r="H89" s="15"/>
      <c r="M89"/>
      <c r="N89"/>
      <c r="O89"/>
      <c r="R89"/>
      <c r="AL89"/>
      <c r="AM89"/>
      <c r="AN89"/>
    </row>
    <row r="90" spans="1:40" s="1" customFormat="1" x14ac:dyDescent="0.3">
      <c r="A90"/>
      <c r="B90"/>
      <c r="C90"/>
      <c r="D90" s="33"/>
      <c r="E90"/>
      <c r="F90"/>
      <c r="G90" s="14"/>
      <c r="H90" s="15"/>
      <c r="M90"/>
      <c r="N90"/>
      <c r="O90"/>
      <c r="R90"/>
      <c r="AL90"/>
      <c r="AM90"/>
      <c r="AN90"/>
    </row>
    <row r="91" spans="1:40" s="1" customFormat="1" x14ac:dyDescent="0.3">
      <c r="A91"/>
      <c r="B91"/>
      <c r="C91"/>
      <c r="D91" s="33"/>
      <c r="E91"/>
      <c r="F91"/>
      <c r="G91" s="14"/>
      <c r="H91" s="15"/>
      <c r="M91"/>
      <c r="N91"/>
      <c r="O91"/>
      <c r="R91"/>
      <c r="AL91"/>
      <c r="AM91"/>
      <c r="AN91"/>
    </row>
  </sheetData>
  <autoFilter ref="A1:AL74" xr:uid="{6D9A6E66-117A-42D1-8872-A55637CA45F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2978-5F02-4283-B34F-C3F35CE09701}">
  <sheetPr>
    <tabColor rgb="FF0070C0"/>
  </sheetPr>
  <dimension ref="A1:AH27"/>
  <sheetViews>
    <sheetView zoomScale="90" zoomScaleNormal="90" workbookViewId="0">
      <pane xSplit="2" ySplit="2" topLeftCell="I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8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54</v>
      </c>
      <c r="W2" s="5" t="s">
        <v>3</v>
      </c>
      <c r="X2" s="5" t="s">
        <v>1</v>
      </c>
      <c r="Y2" s="5" t="s">
        <v>52</v>
      </c>
      <c r="Z2" s="5" t="s">
        <v>47</v>
      </c>
      <c r="AA2" s="8"/>
      <c r="AB2" s="5" t="s">
        <v>60</v>
      </c>
      <c r="AC2" s="5" t="s">
        <v>54</v>
      </c>
      <c r="AD2" s="5" t="s">
        <v>3</v>
      </c>
      <c r="AE2" s="5" t="s">
        <v>1</v>
      </c>
      <c r="AF2" s="5" t="s">
        <v>52</v>
      </c>
      <c r="AG2" s="5" t="s">
        <v>47</v>
      </c>
    </row>
    <row r="3" spans="1:34" x14ac:dyDescent="0.3">
      <c r="A3" s="51"/>
      <c r="B3" s="19" t="s">
        <v>150</v>
      </c>
      <c r="C3" s="2" t="s">
        <v>97</v>
      </c>
      <c r="D3" s="27">
        <v>45670</v>
      </c>
      <c r="E3" s="19" t="s">
        <v>57</v>
      </c>
      <c r="F3" s="2" t="s">
        <v>56</v>
      </c>
      <c r="G3" s="13">
        <v>0</v>
      </c>
      <c r="H3" s="13">
        <f>994+525.49</f>
        <v>1519.49</v>
      </c>
      <c r="I3" s="13">
        <v>0</v>
      </c>
      <c r="J3" s="13">
        <f>SUM(G3:I3)</f>
        <v>1519.49</v>
      </c>
      <c r="K3" s="13">
        <v>0</v>
      </c>
      <c r="L3" s="13">
        <f>J3-K3</f>
        <v>1519.49</v>
      </c>
      <c r="M3" s="18">
        <v>20.704499999999999</v>
      </c>
      <c r="N3" s="3">
        <f>H3*M3</f>
        <v>31460.280705000001</v>
      </c>
      <c r="O3" s="3">
        <f>I3*M3</f>
        <v>0</v>
      </c>
      <c r="P3" s="3">
        <f>J3*M3</f>
        <v>31460.280705000001</v>
      </c>
      <c r="Q3" s="3">
        <f>M3*K3</f>
        <v>0</v>
      </c>
      <c r="R3" s="3">
        <f>L3*M3</f>
        <v>31460.280705000001</v>
      </c>
      <c r="S3" s="48"/>
      <c r="T3" s="44"/>
      <c r="U3" s="3">
        <v>994</v>
      </c>
      <c r="V3" s="3"/>
      <c r="W3" s="3"/>
      <c r="X3" s="3"/>
      <c r="Y3" s="3">
        <v>525.49</v>
      </c>
      <c r="Z3" s="3"/>
      <c r="AB3" s="3">
        <f>U3*M3</f>
        <v>20580.273000000001</v>
      </c>
      <c r="AC3" s="3">
        <f>+V3*M3</f>
        <v>0</v>
      </c>
      <c r="AD3" s="60">
        <f>+M3*W3</f>
        <v>0</v>
      </c>
      <c r="AE3" s="3">
        <f>+X3*M3</f>
        <v>0</v>
      </c>
      <c r="AF3" s="3">
        <f>+Y3*M3</f>
        <v>10880.007705</v>
      </c>
      <c r="AG3" s="3">
        <f>+Z3*M3</f>
        <v>0</v>
      </c>
      <c r="AH3" s="46"/>
    </row>
    <row r="4" spans="1:34" x14ac:dyDescent="0.3">
      <c r="A4" s="51"/>
      <c r="B4" s="19" t="s">
        <v>151</v>
      </c>
      <c r="C4" s="2" t="s">
        <v>146</v>
      </c>
      <c r="D4" s="27">
        <v>45680</v>
      </c>
      <c r="E4" s="19" t="s">
        <v>61</v>
      </c>
      <c r="F4" s="2" t="s">
        <v>156</v>
      </c>
      <c r="G4" s="13">
        <v>0</v>
      </c>
      <c r="H4" s="13">
        <v>875</v>
      </c>
      <c r="I4" s="13">
        <v>0</v>
      </c>
      <c r="J4" s="13">
        <f t="shared" ref="J4:J7" si="0">SUM(G4:I4)</f>
        <v>875</v>
      </c>
      <c r="K4" s="13">
        <v>0</v>
      </c>
      <c r="L4" s="13">
        <f>J4-K4</f>
        <v>875</v>
      </c>
      <c r="M4" s="18">
        <v>20.704499999999999</v>
      </c>
      <c r="N4" s="3">
        <f>H4*M4</f>
        <v>18116.4375</v>
      </c>
      <c r="O4" s="3">
        <f>I4*M4</f>
        <v>0</v>
      </c>
      <c r="P4" s="3">
        <f>J4*M4</f>
        <v>18116.4375</v>
      </c>
      <c r="Q4" s="3">
        <f>M4*K4</f>
        <v>0</v>
      </c>
      <c r="R4" s="3">
        <f>L4*M4</f>
        <v>18116.4375</v>
      </c>
      <c r="S4" s="48"/>
      <c r="T4" s="44"/>
      <c r="U4" s="3">
        <v>875</v>
      </c>
      <c r="V4" s="3"/>
      <c r="W4" s="3"/>
      <c r="X4" s="3"/>
      <c r="Y4" s="3"/>
      <c r="Z4" s="3"/>
      <c r="AB4" s="3">
        <f>U4*M4</f>
        <v>18116.4375</v>
      </c>
      <c r="AC4" s="3">
        <f t="shared" ref="AC4:AC7" si="1">+V4*M4</f>
        <v>0</v>
      </c>
      <c r="AD4" s="60">
        <f t="shared" ref="AD4:AD7" si="2">+M4*W4</f>
        <v>0</v>
      </c>
      <c r="AE4" s="3">
        <f>+X4*M4</f>
        <v>0</v>
      </c>
      <c r="AF4" s="3">
        <f t="shared" ref="AF4:AF18" si="3">+Y4*M4</f>
        <v>0</v>
      </c>
      <c r="AG4" s="3">
        <f>+Z4*M4</f>
        <v>0</v>
      </c>
      <c r="AH4" s="46"/>
    </row>
    <row r="5" spans="1:34" x14ac:dyDescent="0.3">
      <c r="A5" s="51"/>
      <c r="B5" s="19" t="s">
        <v>152</v>
      </c>
      <c r="C5" s="2" t="s">
        <v>147</v>
      </c>
      <c r="D5" s="27">
        <v>45680</v>
      </c>
      <c r="E5" s="19" t="s">
        <v>61</v>
      </c>
      <c r="F5" s="2" t="s">
        <v>156</v>
      </c>
      <c r="G5" s="13">
        <v>0</v>
      </c>
      <c r="H5" s="13">
        <v>6850</v>
      </c>
      <c r="I5" s="13">
        <v>0</v>
      </c>
      <c r="J5" s="13">
        <f t="shared" si="0"/>
        <v>6850</v>
      </c>
      <c r="K5" s="13">
        <v>0</v>
      </c>
      <c r="L5" s="13">
        <f t="shared" ref="L5:L7" si="4">J5-K5</f>
        <v>6850</v>
      </c>
      <c r="M5" s="18">
        <v>20.481999999999999</v>
      </c>
      <c r="N5" s="3">
        <f>H5*M5</f>
        <v>140301.69999999998</v>
      </c>
      <c r="O5" s="3">
        <f>I5*M5</f>
        <v>0</v>
      </c>
      <c r="P5" s="3">
        <f>J5*M5</f>
        <v>140301.69999999998</v>
      </c>
      <c r="Q5" s="3">
        <f>M5*K5</f>
        <v>0</v>
      </c>
      <c r="R5" s="3">
        <f>L5*M5</f>
        <v>140301.69999999998</v>
      </c>
      <c r="S5" s="48"/>
      <c r="T5" s="44"/>
      <c r="U5" s="3">
        <v>6850</v>
      </c>
      <c r="V5" s="3"/>
      <c r="W5" s="3"/>
      <c r="X5" s="3"/>
      <c r="Y5" s="3"/>
      <c r="Z5" s="3"/>
      <c r="AB5" s="3">
        <f>U5*M5</f>
        <v>140301.69999999998</v>
      </c>
      <c r="AC5" s="3">
        <f t="shared" si="1"/>
        <v>0</v>
      </c>
      <c r="AD5" s="3">
        <f t="shared" si="2"/>
        <v>0</v>
      </c>
      <c r="AE5" s="3">
        <f>+X5*M5</f>
        <v>0</v>
      </c>
      <c r="AF5" s="3">
        <f t="shared" si="3"/>
        <v>0</v>
      </c>
      <c r="AG5" s="3">
        <f>+Z5*M5</f>
        <v>0</v>
      </c>
      <c r="AH5" s="46"/>
    </row>
    <row r="6" spans="1:34" x14ac:dyDescent="0.3">
      <c r="A6" s="51"/>
      <c r="B6" s="19" t="s">
        <v>153</v>
      </c>
      <c r="C6" s="2" t="s">
        <v>148</v>
      </c>
      <c r="D6" s="27">
        <v>45681</v>
      </c>
      <c r="E6" s="19" t="s">
        <v>157</v>
      </c>
      <c r="F6" s="2" t="s">
        <v>155</v>
      </c>
      <c r="G6" s="13">
        <v>0</v>
      </c>
      <c r="H6" s="13">
        <f>3750+360</f>
        <v>4110</v>
      </c>
      <c r="I6" s="13">
        <v>0</v>
      </c>
      <c r="J6" s="13">
        <f t="shared" si="0"/>
        <v>4110</v>
      </c>
      <c r="K6" s="13">
        <v>4110</v>
      </c>
      <c r="L6" s="13">
        <f t="shared" si="4"/>
        <v>0</v>
      </c>
      <c r="M6" s="18">
        <v>20.394300000000001</v>
      </c>
      <c r="N6" s="3">
        <f t="shared" ref="N6:N7" si="5">H6*M6</f>
        <v>83820.573000000004</v>
      </c>
      <c r="O6" s="3">
        <f t="shared" ref="O6:O7" si="6">I6*M6</f>
        <v>0</v>
      </c>
      <c r="P6" s="3">
        <f t="shared" ref="P6:P7" si="7">J6*M6</f>
        <v>83820.573000000004</v>
      </c>
      <c r="Q6" s="3">
        <f t="shared" ref="Q6:Q7" si="8">M6*K6</f>
        <v>83820.573000000004</v>
      </c>
      <c r="R6" s="3">
        <f t="shared" ref="R6:R7" si="9">L6*M6</f>
        <v>0</v>
      </c>
      <c r="S6" s="48"/>
      <c r="T6" s="44"/>
      <c r="U6" s="3">
        <v>3750</v>
      </c>
      <c r="V6" s="3"/>
      <c r="W6" s="3"/>
      <c r="X6" s="3"/>
      <c r="Y6" s="3">
        <v>360</v>
      </c>
      <c r="Z6" s="3"/>
      <c r="AB6" s="3">
        <f>U6*M6</f>
        <v>76478.625</v>
      </c>
      <c r="AC6" s="3">
        <f t="shared" si="1"/>
        <v>0</v>
      </c>
      <c r="AD6" s="3">
        <f t="shared" si="2"/>
        <v>0</v>
      </c>
      <c r="AE6" s="3">
        <f>+X6*M6</f>
        <v>0</v>
      </c>
      <c r="AF6" s="3">
        <f t="shared" si="3"/>
        <v>7341.9480000000003</v>
      </c>
      <c r="AG6" s="3">
        <f>+Z6*M6</f>
        <v>0</v>
      </c>
      <c r="AH6" s="46"/>
    </row>
    <row r="7" spans="1:34" s="67" customFormat="1" x14ac:dyDescent="0.3">
      <c r="A7" s="70"/>
      <c r="B7" s="71" t="s">
        <v>154</v>
      </c>
      <c r="C7" s="72" t="s">
        <v>149</v>
      </c>
      <c r="D7" s="73">
        <v>45681</v>
      </c>
      <c r="E7" s="71" t="s">
        <v>40</v>
      </c>
      <c r="F7" s="72" t="s">
        <v>41</v>
      </c>
      <c r="G7" s="74">
        <v>0</v>
      </c>
      <c r="H7" s="74">
        <f>4100+1500</f>
        <v>5600</v>
      </c>
      <c r="I7" s="74">
        <v>0</v>
      </c>
      <c r="J7" s="74">
        <f t="shared" si="0"/>
        <v>5600</v>
      </c>
      <c r="K7" s="74">
        <v>0</v>
      </c>
      <c r="L7" s="74">
        <f t="shared" si="4"/>
        <v>5600</v>
      </c>
      <c r="M7" s="75">
        <v>20.394300000000001</v>
      </c>
      <c r="N7" s="76">
        <f t="shared" si="5"/>
        <v>114208.08</v>
      </c>
      <c r="O7" s="76">
        <f t="shared" si="6"/>
        <v>0</v>
      </c>
      <c r="P7" s="76">
        <f t="shared" si="7"/>
        <v>114208.08</v>
      </c>
      <c r="Q7" s="76">
        <f t="shared" si="8"/>
        <v>0</v>
      </c>
      <c r="R7" s="76">
        <f t="shared" si="9"/>
        <v>114208.08</v>
      </c>
      <c r="S7" s="77"/>
      <c r="T7" s="78"/>
      <c r="U7" s="76">
        <v>4100</v>
      </c>
      <c r="V7" s="76"/>
      <c r="W7" s="76"/>
      <c r="X7" s="76"/>
      <c r="Y7" s="76">
        <v>1500</v>
      </c>
      <c r="Z7" s="76"/>
      <c r="AB7" s="76">
        <f>U7*M7</f>
        <v>83616.63</v>
      </c>
      <c r="AC7" s="76">
        <f t="shared" si="1"/>
        <v>0</v>
      </c>
      <c r="AD7" s="76">
        <f t="shared" si="2"/>
        <v>0</v>
      </c>
      <c r="AE7" s="76">
        <f>+X7*M7</f>
        <v>0</v>
      </c>
      <c r="AF7" s="76">
        <f t="shared" si="3"/>
        <v>30591.45</v>
      </c>
      <c r="AG7" s="76">
        <f>+Z7*M7</f>
        <v>0</v>
      </c>
      <c r="AH7" s="79"/>
    </row>
    <row r="8" spans="1:34" x14ac:dyDescent="0.3">
      <c r="A8" s="51"/>
      <c r="B8" s="19" t="s">
        <v>195</v>
      </c>
      <c r="C8" s="2" t="s">
        <v>192</v>
      </c>
      <c r="D8" s="27">
        <v>45687</v>
      </c>
      <c r="E8" s="19" t="s">
        <v>61</v>
      </c>
      <c r="F8" s="2" t="s">
        <v>156</v>
      </c>
      <c r="G8" s="13">
        <v>0</v>
      </c>
      <c r="H8" s="13">
        <v>6125</v>
      </c>
      <c r="I8" s="13">
        <v>0</v>
      </c>
      <c r="J8" s="13">
        <f t="shared" ref="J8:J18" si="10">SUM(G8:I8)</f>
        <v>6125</v>
      </c>
      <c r="K8" s="13">
        <v>0</v>
      </c>
      <c r="L8" s="13">
        <f t="shared" ref="L8:L18" si="11">J8-K8</f>
        <v>6125</v>
      </c>
      <c r="M8" s="18">
        <v>20.567699999999999</v>
      </c>
      <c r="N8" s="3">
        <f t="shared" ref="N8:N18" si="12">H8*M8</f>
        <v>125977.16249999999</v>
      </c>
      <c r="O8" s="3">
        <f t="shared" ref="O8:O18" si="13">I8*M8</f>
        <v>0</v>
      </c>
      <c r="P8" s="3">
        <f t="shared" ref="P8:P18" si="14">J8*M8</f>
        <v>125977.16249999999</v>
      </c>
      <c r="Q8" s="3">
        <f t="shared" ref="Q8:Q18" si="15">M8*K8</f>
        <v>0</v>
      </c>
      <c r="R8" s="3">
        <f t="shared" ref="R8:R18" si="16">L8*M8</f>
        <v>125977.16249999999</v>
      </c>
      <c r="S8" s="48"/>
      <c r="T8" s="44"/>
      <c r="U8" s="3">
        <v>6125</v>
      </c>
      <c r="V8" s="3"/>
      <c r="W8" s="3"/>
      <c r="X8" s="3"/>
      <c r="Y8" s="3"/>
      <c r="Z8" s="3"/>
      <c r="AB8" s="3">
        <f t="shared" ref="AB8:AB18" si="17">U8*M8</f>
        <v>125977.16249999999</v>
      </c>
      <c r="AC8" s="3">
        <f t="shared" ref="AC8:AC18" si="18">+V8*M8</f>
        <v>0</v>
      </c>
      <c r="AD8" s="3">
        <f t="shared" ref="AD8:AD18" si="19">+M8*W8</f>
        <v>0</v>
      </c>
      <c r="AE8" s="3">
        <f t="shared" ref="AE8:AE18" si="20">+X8*M8</f>
        <v>0</v>
      </c>
      <c r="AF8" s="3">
        <f t="shared" si="3"/>
        <v>0</v>
      </c>
      <c r="AG8" s="3">
        <f t="shared" ref="AG8:AG18" si="21">+Z8*M8</f>
        <v>0</v>
      </c>
      <c r="AH8" s="46"/>
    </row>
    <row r="9" spans="1:34" x14ac:dyDescent="0.3">
      <c r="A9" s="51"/>
      <c r="B9" s="19" t="s">
        <v>196</v>
      </c>
      <c r="C9" s="2" t="s">
        <v>193</v>
      </c>
      <c r="D9" s="27">
        <v>45687</v>
      </c>
      <c r="E9" s="19" t="s">
        <v>57</v>
      </c>
      <c r="F9" s="2" t="s">
        <v>56</v>
      </c>
      <c r="G9" s="13">
        <v>0</v>
      </c>
      <c r="H9" s="13">
        <v>375</v>
      </c>
      <c r="I9" s="13">
        <f>+H9*0.16</f>
        <v>60</v>
      </c>
      <c r="J9" s="13">
        <f t="shared" si="10"/>
        <v>435</v>
      </c>
      <c r="K9" s="13">
        <v>0</v>
      </c>
      <c r="L9" s="13">
        <f t="shared" si="11"/>
        <v>435</v>
      </c>
      <c r="M9" s="18">
        <v>20.567699999999999</v>
      </c>
      <c r="N9" s="3">
        <f t="shared" si="12"/>
        <v>7712.8874999999998</v>
      </c>
      <c r="O9" s="3">
        <f t="shared" si="13"/>
        <v>1234.0619999999999</v>
      </c>
      <c r="P9" s="3">
        <f t="shared" si="14"/>
        <v>8946.9494999999988</v>
      </c>
      <c r="Q9" s="3">
        <f t="shared" si="15"/>
        <v>0</v>
      </c>
      <c r="R9" s="3">
        <f t="shared" si="16"/>
        <v>8946.9494999999988</v>
      </c>
      <c r="S9" s="48"/>
      <c r="T9" s="44"/>
      <c r="U9" s="3"/>
      <c r="V9" s="3"/>
      <c r="W9" s="3"/>
      <c r="X9" s="3"/>
      <c r="Y9" s="3">
        <v>375</v>
      </c>
      <c r="Z9" s="3"/>
      <c r="AB9" s="3">
        <f t="shared" si="17"/>
        <v>0</v>
      </c>
      <c r="AC9" s="3">
        <f t="shared" si="18"/>
        <v>0</v>
      </c>
      <c r="AD9" s="3">
        <f t="shared" si="19"/>
        <v>0</v>
      </c>
      <c r="AE9" s="3">
        <f t="shared" si="20"/>
        <v>0</v>
      </c>
      <c r="AF9" s="3">
        <f t="shared" si="3"/>
        <v>7712.8874999999998</v>
      </c>
      <c r="AG9" s="3">
        <f t="shared" si="21"/>
        <v>0</v>
      </c>
      <c r="AH9" s="46"/>
    </row>
    <row r="10" spans="1:34" x14ac:dyDescent="0.3">
      <c r="A10" s="51"/>
      <c r="B10" s="19" t="s">
        <v>197</v>
      </c>
      <c r="C10" s="2" t="s">
        <v>194</v>
      </c>
      <c r="D10" s="27">
        <v>45687</v>
      </c>
      <c r="E10" s="19" t="s">
        <v>57</v>
      </c>
      <c r="F10" s="2" t="s">
        <v>56</v>
      </c>
      <c r="G10" s="13">
        <f>36232.6+539.4</f>
        <v>36772</v>
      </c>
      <c r="H10" s="13">
        <f>75+175</f>
        <v>250</v>
      </c>
      <c r="I10" s="13">
        <v>0</v>
      </c>
      <c r="J10" s="13">
        <f t="shared" si="10"/>
        <v>37022</v>
      </c>
      <c r="K10" s="13">
        <v>36482.6</v>
      </c>
      <c r="L10" s="13">
        <f t="shared" si="11"/>
        <v>539.40000000000146</v>
      </c>
      <c r="M10" s="18">
        <v>20.567699999999999</v>
      </c>
      <c r="N10" s="3">
        <f t="shared" si="12"/>
        <v>5141.9249999999993</v>
      </c>
      <c r="O10" s="3">
        <f t="shared" si="13"/>
        <v>0</v>
      </c>
      <c r="P10" s="3">
        <f t="shared" si="14"/>
        <v>761457.38939999999</v>
      </c>
      <c r="Q10" s="3">
        <f t="shared" si="15"/>
        <v>750363.17201999994</v>
      </c>
      <c r="R10" s="3">
        <f t="shared" si="16"/>
        <v>11094.217380000029</v>
      </c>
      <c r="S10" s="48"/>
      <c r="T10" s="44"/>
      <c r="U10" s="3"/>
      <c r="V10" s="3"/>
      <c r="W10" s="3">
        <v>175</v>
      </c>
      <c r="X10" s="3"/>
      <c r="Y10" s="3"/>
      <c r="Z10" s="3">
        <v>75</v>
      </c>
      <c r="AB10" s="3">
        <f t="shared" si="17"/>
        <v>0</v>
      </c>
      <c r="AC10" s="3">
        <f t="shared" si="18"/>
        <v>0</v>
      </c>
      <c r="AD10" s="3">
        <f t="shared" si="19"/>
        <v>3599.3474999999999</v>
      </c>
      <c r="AE10" s="3">
        <f t="shared" si="20"/>
        <v>0</v>
      </c>
      <c r="AF10" s="3">
        <f t="shared" si="3"/>
        <v>0</v>
      </c>
      <c r="AG10" s="3">
        <f t="shared" si="21"/>
        <v>1542.5774999999999</v>
      </c>
      <c r="AH10" s="46"/>
    </row>
    <row r="11" spans="1:34" x14ac:dyDescent="0.3">
      <c r="A11" s="51"/>
      <c r="B11" s="19" t="s">
        <v>226</v>
      </c>
      <c r="C11" s="2" t="s">
        <v>227</v>
      </c>
      <c r="D11" s="27">
        <v>45688</v>
      </c>
      <c r="E11" s="19" t="s">
        <v>229</v>
      </c>
      <c r="F11" s="2" t="s">
        <v>228</v>
      </c>
      <c r="G11" s="13">
        <v>0</v>
      </c>
      <c r="H11" s="13">
        <v>60190</v>
      </c>
      <c r="I11" s="13">
        <v>0</v>
      </c>
      <c r="J11" s="13">
        <f t="shared" si="10"/>
        <v>60190</v>
      </c>
      <c r="K11" s="13">
        <v>60190</v>
      </c>
      <c r="L11" s="13">
        <f t="shared" si="11"/>
        <v>0</v>
      </c>
      <c r="M11" s="18">
        <v>20.4497</v>
      </c>
      <c r="N11" s="3">
        <f t="shared" si="12"/>
        <v>1230867.443</v>
      </c>
      <c r="O11" s="3">
        <f t="shared" si="13"/>
        <v>0</v>
      </c>
      <c r="P11" s="3">
        <f t="shared" si="14"/>
        <v>1230867.443</v>
      </c>
      <c r="Q11" s="3">
        <f t="shared" si="15"/>
        <v>1230867.443</v>
      </c>
      <c r="R11" s="3">
        <f t="shared" si="16"/>
        <v>0</v>
      </c>
      <c r="S11" s="48"/>
      <c r="T11" s="44"/>
      <c r="U11" s="3"/>
      <c r="V11" s="3">
        <v>34980</v>
      </c>
      <c r="W11" s="3">
        <v>350</v>
      </c>
      <c r="X11" s="3">
        <v>24860</v>
      </c>
      <c r="Y11" s="3"/>
      <c r="Z11" s="3"/>
      <c r="AB11" s="3">
        <f t="shared" si="17"/>
        <v>0</v>
      </c>
      <c r="AC11" s="3">
        <f t="shared" si="18"/>
        <v>715330.50600000005</v>
      </c>
      <c r="AD11" s="3">
        <f t="shared" si="19"/>
        <v>7157.3950000000004</v>
      </c>
      <c r="AE11" s="3">
        <f t="shared" si="20"/>
        <v>508379.54200000002</v>
      </c>
      <c r="AF11" s="3">
        <f t="shared" si="3"/>
        <v>0</v>
      </c>
      <c r="AG11" s="3">
        <f t="shared" si="21"/>
        <v>0</v>
      </c>
      <c r="AH11" s="46"/>
    </row>
    <row r="12" spans="1:34" x14ac:dyDescent="0.3">
      <c r="A12" s="51"/>
      <c r="B12" s="19"/>
      <c r="C12" s="2"/>
      <c r="D12" s="27"/>
      <c r="E12" s="19"/>
      <c r="F12" s="2"/>
      <c r="G12" s="13"/>
      <c r="H12" s="13"/>
      <c r="I12" s="13"/>
      <c r="J12" s="13">
        <f t="shared" si="10"/>
        <v>0</v>
      </c>
      <c r="K12" s="13"/>
      <c r="L12" s="13">
        <f t="shared" si="11"/>
        <v>0</v>
      </c>
      <c r="M12" s="18"/>
      <c r="N12" s="3">
        <f t="shared" si="12"/>
        <v>0</v>
      </c>
      <c r="O12" s="3">
        <f t="shared" si="13"/>
        <v>0</v>
      </c>
      <c r="P12" s="3">
        <f t="shared" si="14"/>
        <v>0</v>
      </c>
      <c r="Q12" s="3">
        <f t="shared" si="15"/>
        <v>0</v>
      </c>
      <c r="R12" s="3">
        <f t="shared" si="16"/>
        <v>0</v>
      </c>
      <c r="S12" s="48"/>
      <c r="T12" s="44"/>
      <c r="U12" s="3"/>
      <c r="V12" s="3"/>
      <c r="W12" s="3"/>
      <c r="X12" s="3"/>
      <c r="Y12" s="3"/>
      <c r="Z12" s="3"/>
      <c r="AB12" s="3">
        <f t="shared" si="17"/>
        <v>0</v>
      </c>
      <c r="AC12" s="3">
        <f t="shared" si="18"/>
        <v>0</v>
      </c>
      <c r="AD12" s="3">
        <f t="shared" si="19"/>
        <v>0</v>
      </c>
      <c r="AE12" s="3">
        <f t="shared" si="20"/>
        <v>0</v>
      </c>
      <c r="AF12" s="3">
        <f t="shared" si="3"/>
        <v>0</v>
      </c>
      <c r="AG12" s="3">
        <f t="shared" si="21"/>
        <v>0</v>
      </c>
      <c r="AH12" s="46"/>
    </row>
    <row r="13" spans="1:34" x14ac:dyDescent="0.3">
      <c r="A13" s="51"/>
      <c r="B13" s="19"/>
      <c r="C13" s="2"/>
      <c r="D13" s="27"/>
      <c r="E13" s="19"/>
      <c r="F13" s="2"/>
      <c r="G13" s="13"/>
      <c r="H13" s="13"/>
      <c r="I13" s="13"/>
      <c r="J13" s="13">
        <f t="shared" si="10"/>
        <v>0</v>
      </c>
      <c r="K13" s="13"/>
      <c r="L13" s="13">
        <f t="shared" si="11"/>
        <v>0</v>
      </c>
      <c r="M13" s="18"/>
      <c r="N13" s="3">
        <f t="shared" si="12"/>
        <v>0</v>
      </c>
      <c r="O13" s="3">
        <f t="shared" si="13"/>
        <v>0</v>
      </c>
      <c r="P13" s="3">
        <f t="shared" si="14"/>
        <v>0</v>
      </c>
      <c r="Q13" s="3">
        <f t="shared" si="15"/>
        <v>0</v>
      </c>
      <c r="R13" s="3">
        <f t="shared" si="16"/>
        <v>0</v>
      </c>
      <c r="S13" s="48"/>
      <c r="T13" s="44"/>
      <c r="U13" s="3"/>
      <c r="V13" s="3"/>
      <c r="W13" s="3"/>
      <c r="X13" s="3"/>
      <c r="Y13" s="3"/>
      <c r="Z13" s="3"/>
      <c r="AB13" s="3">
        <f t="shared" si="17"/>
        <v>0</v>
      </c>
      <c r="AC13" s="3">
        <f t="shared" si="18"/>
        <v>0</v>
      </c>
      <c r="AD13" s="3">
        <f t="shared" si="19"/>
        <v>0</v>
      </c>
      <c r="AE13" s="3">
        <f t="shared" si="20"/>
        <v>0</v>
      </c>
      <c r="AF13" s="3">
        <f t="shared" si="3"/>
        <v>0</v>
      </c>
      <c r="AG13" s="3">
        <f t="shared" si="21"/>
        <v>0</v>
      </c>
      <c r="AH13" s="46"/>
    </row>
    <row r="14" spans="1:34" x14ac:dyDescent="0.3">
      <c r="A14" s="51"/>
      <c r="B14" s="19"/>
      <c r="C14" s="2"/>
      <c r="D14" s="27"/>
      <c r="E14" s="19"/>
      <c r="F14" s="2"/>
      <c r="G14" s="13"/>
      <c r="H14" s="13"/>
      <c r="I14" s="13"/>
      <c r="J14" s="13">
        <f t="shared" si="10"/>
        <v>0</v>
      </c>
      <c r="K14" s="13"/>
      <c r="L14" s="13">
        <f t="shared" si="11"/>
        <v>0</v>
      </c>
      <c r="M14" s="18"/>
      <c r="N14" s="3">
        <f t="shared" si="12"/>
        <v>0</v>
      </c>
      <c r="O14" s="3">
        <f t="shared" si="13"/>
        <v>0</v>
      </c>
      <c r="P14" s="3">
        <f t="shared" si="14"/>
        <v>0</v>
      </c>
      <c r="Q14" s="3">
        <f t="shared" si="15"/>
        <v>0</v>
      </c>
      <c r="R14" s="3">
        <f t="shared" si="16"/>
        <v>0</v>
      </c>
      <c r="S14" s="48"/>
      <c r="T14" s="44"/>
      <c r="U14" s="3"/>
      <c r="V14" s="3"/>
      <c r="W14" s="3"/>
      <c r="X14" s="3"/>
      <c r="Y14" s="3"/>
      <c r="Z14" s="3"/>
      <c r="AB14" s="3">
        <f t="shared" si="17"/>
        <v>0</v>
      </c>
      <c r="AC14" s="3">
        <f t="shared" si="18"/>
        <v>0</v>
      </c>
      <c r="AD14" s="3">
        <f t="shared" si="19"/>
        <v>0</v>
      </c>
      <c r="AE14" s="3">
        <f t="shared" si="20"/>
        <v>0</v>
      </c>
      <c r="AF14" s="3">
        <f t="shared" si="3"/>
        <v>0</v>
      </c>
      <c r="AG14" s="3">
        <f t="shared" si="21"/>
        <v>0</v>
      </c>
      <c r="AH14" s="46"/>
    </row>
    <row r="15" spans="1:34" x14ac:dyDescent="0.3">
      <c r="A15" s="51"/>
      <c r="B15" s="19"/>
      <c r="C15" s="2"/>
      <c r="D15" s="27"/>
      <c r="E15" s="19"/>
      <c r="F15" s="2"/>
      <c r="G15" s="13"/>
      <c r="H15" s="13"/>
      <c r="I15" s="13"/>
      <c r="J15" s="13">
        <f t="shared" si="10"/>
        <v>0</v>
      </c>
      <c r="K15" s="13"/>
      <c r="L15" s="13">
        <f t="shared" si="11"/>
        <v>0</v>
      </c>
      <c r="M15" s="18"/>
      <c r="N15" s="3">
        <f t="shared" si="12"/>
        <v>0</v>
      </c>
      <c r="O15" s="3">
        <f t="shared" si="13"/>
        <v>0</v>
      </c>
      <c r="P15" s="3">
        <f t="shared" si="14"/>
        <v>0</v>
      </c>
      <c r="Q15" s="3">
        <f t="shared" si="15"/>
        <v>0</v>
      </c>
      <c r="R15" s="3">
        <f t="shared" si="16"/>
        <v>0</v>
      </c>
      <c r="S15" s="48"/>
      <c r="T15" s="44"/>
      <c r="U15" s="3"/>
      <c r="V15" s="3"/>
      <c r="W15" s="3"/>
      <c r="X15" s="3"/>
      <c r="Y15" s="3"/>
      <c r="Z15" s="3"/>
      <c r="AB15" s="3">
        <f t="shared" si="17"/>
        <v>0</v>
      </c>
      <c r="AC15" s="3">
        <f t="shared" si="18"/>
        <v>0</v>
      </c>
      <c r="AD15" s="3">
        <f t="shared" si="19"/>
        <v>0</v>
      </c>
      <c r="AE15" s="3">
        <f t="shared" si="20"/>
        <v>0</v>
      </c>
      <c r="AF15" s="3">
        <f t="shared" si="3"/>
        <v>0</v>
      </c>
      <c r="AG15" s="3">
        <f t="shared" si="21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0"/>
        <v>0</v>
      </c>
      <c r="K16" s="13"/>
      <c r="L16" s="13">
        <f t="shared" si="11"/>
        <v>0</v>
      </c>
      <c r="M16" s="18"/>
      <c r="N16" s="3">
        <f t="shared" si="12"/>
        <v>0</v>
      </c>
      <c r="O16" s="3">
        <f t="shared" si="13"/>
        <v>0</v>
      </c>
      <c r="P16" s="3">
        <f t="shared" si="14"/>
        <v>0</v>
      </c>
      <c r="Q16" s="3">
        <f t="shared" si="15"/>
        <v>0</v>
      </c>
      <c r="R16" s="3">
        <f t="shared" si="16"/>
        <v>0</v>
      </c>
      <c r="S16" s="48"/>
      <c r="T16" s="44"/>
      <c r="U16" s="3"/>
      <c r="V16" s="3"/>
      <c r="W16" s="3"/>
      <c r="X16" s="3"/>
      <c r="Y16" s="3"/>
      <c r="Z16" s="3"/>
      <c r="AB16" s="3">
        <f t="shared" si="17"/>
        <v>0</v>
      </c>
      <c r="AC16" s="3">
        <f t="shared" si="18"/>
        <v>0</v>
      </c>
      <c r="AD16" s="3">
        <f t="shared" si="19"/>
        <v>0</v>
      </c>
      <c r="AE16" s="3">
        <f t="shared" si="20"/>
        <v>0</v>
      </c>
      <c r="AF16" s="3">
        <f t="shared" si="3"/>
        <v>0</v>
      </c>
      <c r="AG16" s="3">
        <f t="shared" si="21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0"/>
        <v>0</v>
      </c>
      <c r="K17" s="13"/>
      <c r="L17" s="13">
        <f t="shared" si="11"/>
        <v>0</v>
      </c>
      <c r="M17" s="18"/>
      <c r="N17" s="3">
        <f t="shared" si="12"/>
        <v>0</v>
      </c>
      <c r="O17" s="3">
        <f t="shared" si="13"/>
        <v>0</v>
      </c>
      <c r="P17" s="3">
        <f t="shared" si="14"/>
        <v>0</v>
      </c>
      <c r="Q17" s="3">
        <f t="shared" si="15"/>
        <v>0</v>
      </c>
      <c r="R17" s="3">
        <f t="shared" si="16"/>
        <v>0</v>
      </c>
      <c r="S17" s="48"/>
      <c r="T17" s="44"/>
      <c r="U17" s="3"/>
      <c r="V17" s="3"/>
      <c r="W17" s="3"/>
      <c r="X17" s="3"/>
      <c r="Y17" s="3"/>
      <c r="Z17" s="3"/>
      <c r="AB17" s="3">
        <f t="shared" si="17"/>
        <v>0</v>
      </c>
      <c r="AC17" s="3">
        <f t="shared" si="18"/>
        <v>0</v>
      </c>
      <c r="AD17" s="3">
        <f t="shared" si="19"/>
        <v>0</v>
      </c>
      <c r="AE17" s="3">
        <f t="shared" si="20"/>
        <v>0</v>
      </c>
      <c r="AF17" s="3">
        <f t="shared" si="3"/>
        <v>0</v>
      </c>
      <c r="AG17" s="3">
        <f t="shared" si="21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0"/>
        <v>0</v>
      </c>
      <c r="K18" s="13"/>
      <c r="L18" s="13">
        <f t="shared" si="11"/>
        <v>0</v>
      </c>
      <c r="M18" s="18"/>
      <c r="N18" s="3">
        <f t="shared" si="12"/>
        <v>0</v>
      </c>
      <c r="O18" s="3">
        <f t="shared" si="13"/>
        <v>0</v>
      </c>
      <c r="P18" s="3">
        <f t="shared" si="14"/>
        <v>0</v>
      </c>
      <c r="Q18" s="3">
        <f t="shared" si="15"/>
        <v>0</v>
      </c>
      <c r="R18" s="3">
        <f t="shared" si="16"/>
        <v>0</v>
      </c>
      <c r="S18" s="48"/>
      <c r="T18" s="44"/>
      <c r="U18" s="3"/>
      <c r="V18" s="3"/>
      <c r="W18" s="3"/>
      <c r="X18" s="3"/>
      <c r="Y18" s="3"/>
      <c r="Z18" s="3"/>
      <c r="AB18" s="3">
        <f t="shared" si="17"/>
        <v>0</v>
      </c>
      <c r="AC18" s="3">
        <f t="shared" si="18"/>
        <v>0</v>
      </c>
      <c r="AD18" s="3">
        <f t="shared" si="19"/>
        <v>0</v>
      </c>
      <c r="AE18" s="3">
        <f t="shared" si="20"/>
        <v>0</v>
      </c>
      <c r="AF18" s="3">
        <f t="shared" si="3"/>
        <v>0</v>
      </c>
      <c r="AG18" s="3">
        <f t="shared" si="21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22">+SUM(G3:G18)</f>
        <v>36772</v>
      </c>
      <c r="H19" s="59">
        <f t="shared" si="22"/>
        <v>85894.489999999991</v>
      </c>
      <c r="I19" s="17">
        <f t="shared" si="22"/>
        <v>60</v>
      </c>
      <c r="J19" s="17">
        <f t="shared" si="22"/>
        <v>122726.48999999999</v>
      </c>
      <c r="K19" s="17">
        <f t="shared" si="22"/>
        <v>100782.6</v>
      </c>
      <c r="L19" s="17">
        <f t="shared" si="22"/>
        <v>21943.89</v>
      </c>
      <c r="M19" s="14"/>
      <c r="N19" s="55">
        <f>+SUM(N3:N18)</f>
        <v>1757606.489205</v>
      </c>
      <c r="O19" s="16">
        <f>+SUM(O3:O18)</f>
        <v>1234.0619999999999</v>
      </c>
      <c r="P19" s="16">
        <f>+SUM(P3:P18)</f>
        <v>2515156.0156049998</v>
      </c>
      <c r="Q19" s="16">
        <f>+SUM(Q3:Q18)</f>
        <v>2065051.1880199998</v>
      </c>
      <c r="R19" s="16">
        <f>+SUM(R3:R18)</f>
        <v>450104.82758500002</v>
      </c>
      <c r="S19" s="15"/>
      <c r="T19" s="15"/>
      <c r="U19" s="17">
        <f t="shared" ref="U19:Z19" si="23">+SUM(U3:U18)</f>
        <v>22694</v>
      </c>
      <c r="V19" s="17">
        <f t="shared" si="23"/>
        <v>34980</v>
      </c>
      <c r="W19" s="17">
        <f t="shared" si="23"/>
        <v>525</v>
      </c>
      <c r="X19" s="17">
        <f t="shared" si="23"/>
        <v>24860</v>
      </c>
      <c r="Y19" s="17">
        <f t="shared" si="23"/>
        <v>2760.49</v>
      </c>
      <c r="Z19" s="17">
        <f t="shared" si="23"/>
        <v>75</v>
      </c>
      <c r="AA19" s="14"/>
      <c r="AB19" s="16">
        <f t="shared" ref="AB19:AG19" si="24">+SUM(AB3:AB18)</f>
        <v>465070.82799999998</v>
      </c>
      <c r="AC19" s="16">
        <f t="shared" si="24"/>
        <v>715330.50600000005</v>
      </c>
      <c r="AD19" s="16">
        <f t="shared" si="24"/>
        <v>10756.7425</v>
      </c>
      <c r="AE19" s="16">
        <f t="shared" si="24"/>
        <v>508379.54200000002</v>
      </c>
      <c r="AF19" s="16">
        <f t="shared" si="24"/>
        <v>56526.293204999994</v>
      </c>
      <c r="AG19" s="16">
        <f t="shared" si="24"/>
        <v>1542.5774999999999</v>
      </c>
      <c r="AH19" s="14"/>
    </row>
    <row r="20" spans="1:34" ht="15" thickTop="1" x14ac:dyDescent="0.3">
      <c r="Z20" s="34">
        <f>+SUM(T19:Z19)</f>
        <v>85894.49</v>
      </c>
      <c r="AG20" s="1">
        <f>+SUM(AB19:AG19)</f>
        <v>1757606.4892049998</v>
      </c>
    </row>
    <row r="21" spans="1:34" x14ac:dyDescent="0.3">
      <c r="H21" s="23"/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I22" s="32"/>
      <c r="N22" s="46"/>
    </row>
    <row r="23" spans="1:34" x14ac:dyDescent="0.3">
      <c r="N23" s="23"/>
    </row>
    <row r="24" spans="1:34" x14ac:dyDescent="0.3">
      <c r="N24" s="23"/>
    </row>
    <row r="25" spans="1:34" x14ac:dyDescent="0.3">
      <c r="N25" s="23"/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D2EE-5863-4620-9679-2FEB32EA247C}">
  <sheetPr>
    <tabColor rgb="FF0070C0"/>
  </sheetPr>
  <dimension ref="A1:AH94"/>
  <sheetViews>
    <sheetView showGridLines="0" zoomScale="80" zoomScaleNormal="80" zoomScaleSheetLayoutView="50" workbookViewId="0">
      <pane xSplit="3" ySplit="1" topLeftCell="D3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1.109375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1.3320312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8" width="15.6640625" style="1" customWidth="1"/>
    <col min="29" max="29" width="38.109375" style="1" bestFit="1" customWidth="1"/>
    <col min="30" max="30" width="35.6640625" style="1" customWidth="1"/>
    <col min="31" max="31" width="15.6640625" style="1" customWidth="1"/>
    <col min="32" max="32" width="12.33203125" bestFit="1" customWidth="1"/>
    <col min="33" max="33" width="13.88671875" bestFit="1" customWidth="1"/>
    <col min="34" max="34" width="12.5546875" bestFit="1" customWidth="1"/>
  </cols>
  <sheetData>
    <row r="1" spans="1:34" ht="43.2" x14ac:dyDescent="0.3">
      <c r="A1" s="4" t="s">
        <v>6</v>
      </c>
      <c r="B1" s="4" t="s">
        <v>7</v>
      </c>
      <c r="C1" s="4" t="s">
        <v>8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46</v>
      </c>
      <c r="Y1" s="5" t="s">
        <v>4</v>
      </c>
      <c r="Z1" s="5" t="s">
        <v>320</v>
      </c>
      <c r="AA1" s="5" t="s">
        <v>3</v>
      </c>
      <c r="AB1"/>
      <c r="AC1"/>
      <c r="AD1" s="7"/>
      <c r="AE1" s="5" t="s">
        <v>35</v>
      </c>
      <c r="AF1" s="5" t="s">
        <v>36</v>
      </c>
      <c r="AG1" s="5" t="s">
        <v>17</v>
      </c>
      <c r="AH1" s="5" t="s">
        <v>59</v>
      </c>
    </row>
    <row r="2" spans="1:34" x14ac:dyDescent="0.3">
      <c r="A2" s="38"/>
      <c r="B2" s="38" t="s">
        <v>230</v>
      </c>
      <c r="C2" s="38" t="s">
        <v>149</v>
      </c>
      <c r="D2" s="39">
        <v>45694</v>
      </c>
      <c r="E2" s="38" t="s">
        <v>40</v>
      </c>
      <c r="F2" s="38" t="s">
        <v>41</v>
      </c>
      <c r="G2" s="40">
        <v>0</v>
      </c>
      <c r="H2" s="40">
        <v>107360.24</v>
      </c>
      <c r="I2" s="40">
        <v>17177.64</v>
      </c>
      <c r="J2" s="40">
        <f>SUM(G2:I2)</f>
        <v>124537.88</v>
      </c>
      <c r="K2" s="40">
        <v>0</v>
      </c>
      <c r="L2" s="40">
        <f>+J2-K2</f>
        <v>124537.88</v>
      </c>
      <c r="M2" s="38" t="s">
        <v>35</v>
      </c>
      <c r="N2" s="54"/>
      <c r="O2" s="36"/>
      <c r="P2" s="40">
        <v>0</v>
      </c>
      <c r="Q2" s="40">
        <v>0</v>
      </c>
      <c r="R2" s="41"/>
      <c r="S2" s="40">
        <v>6162.9</v>
      </c>
      <c r="T2" s="40">
        <v>0</v>
      </c>
      <c r="U2" s="40">
        <v>29072.04</v>
      </c>
      <c r="V2" s="40">
        <v>2790.3</v>
      </c>
      <c r="W2" s="40">
        <v>69335</v>
      </c>
      <c r="X2" s="40">
        <v>0</v>
      </c>
      <c r="Y2" s="40">
        <v>0</v>
      </c>
      <c r="Z2" s="40">
        <v>0</v>
      </c>
      <c r="AA2" s="40">
        <v>0</v>
      </c>
      <c r="AB2" s="36">
        <f t="shared" ref="AB2:AB33" si="0">+SUM(S2:AA2)-H2</f>
        <v>0</v>
      </c>
      <c r="AC2"/>
      <c r="AD2" s="58" t="s">
        <v>1</v>
      </c>
      <c r="AE2" s="1">
        <f>+S77</f>
        <v>421824.28999999992</v>
      </c>
      <c r="AF2" s="1"/>
      <c r="AG2" s="1">
        <f>SUM(AE2:AF2)</f>
        <v>421824.28999999992</v>
      </c>
      <c r="AH2" s="56">
        <f>+AG2/AG24</f>
        <v>0.19486229605540389</v>
      </c>
    </row>
    <row r="3" spans="1:34" x14ac:dyDescent="0.3">
      <c r="A3" s="38"/>
      <c r="B3" s="38" t="s">
        <v>231</v>
      </c>
      <c r="C3" s="38" t="s">
        <v>236</v>
      </c>
      <c r="D3" s="39">
        <v>45694</v>
      </c>
      <c r="E3" s="38" t="s">
        <v>40</v>
      </c>
      <c r="F3" s="38" t="s">
        <v>41</v>
      </c>
      <c r="G3" s="40">
        <v>0</v>
      </c>
      <c r="H3" s="40">
        <v>73868.289999999994</v>
      </c>
      <c r="I3" s="40">
        <v>11818.93</v>
      </c>
      <c r="J3" s="40">
        <f t="shared" ref="J3:J66" si="1">SUM(G3:I3)</f>
        <v>85687.22</v>
      </c>
      <c r="K3" s="40">
        <v>0</v>
      </c>
      <c r="L3" s="40">
        <f t="shared" ref="L3:L66" si="2">+J3-K3</f>
        <v>85687.22</v>
      </c>
      <c r="M3" s="38" t="s">
        <v>35</v>
      </c>
      <c r="N3" s="54"/>
      <c r="O3" s="36"/>
      <c r="P3" s="40">
        <v>0</v>
      </c>
      <c r="Q3" s="40">
        <v>0</v>
      </c>
      <c r="R3" s="41"/>
      <c r="S3" s="40">
        <v>6118.29</v>
      </c>
      <c r="T3" s="40">
        <v>0</v>
      </c>
      <c r="U3" s="40">
        <v>25750</v>
      </c>
      <c r="V3" s="40">
        <v>0</v>
      </c>
      <c r="W3" s="40">
        <v>42000</v>
      </c>
      <c r="X3" s="40">
        <v>0</v>
      </c>
      <c r="Y3" s="40">
        <v>0</v>
      </c>
      <c r="Z3" s="40">
        <v>0</v>
      </c>
      <c r="AA3" s="40">
        <v>0</v>
      </c>
      <c r="AB3" s="36">
        <f t="shared" si="0"/>
        <v>0</v>
      </c>
      <c r="AC3"/>
      <c r="AD3" s="58" t="s">
        <v>50</v>
      </c>
      <c r="AE3" s="1">
        <f>+T77</f>
        <v>13310.6</v>
      </c>
      <c r="AF3" s="1">
        <f>+'FEB USD '!AC19</f>
        <v>10188.8935</v>
      </c>
      <c r="AG3" s="1">
        <f t="shared" ref="AG3:AG23" si="3">SUM(AE3:AF3)</f>
        <v>23499.4935</v>
      </c>
      <c r="AH3" s="56">
        <f>+AG3/AG24</f>
        <v>1.0855622514173E-2</v>
      </c>
    </row>
    <row r="4" spans="1:34" x14ac:dyDescent="0.3">
      <c r="A4" s="38"/>
      <c r="B4" s="38" t="s">
        <v>232</v>
      </c>
      <c r="C4" s="38" t="s">
        <v>237</v>
      </c>
      <c r="D4" s="39">
        <v>45694</v>
      </c>
      <c r="E4" s="38" t="s">
        <v>53</v>
      </c>
      <c r="F4" s="38" t="s">
        <v>199</v>
      </c>
      <c r="G4" s="40">
        <v>781</v>
      </c>
      <c r="H4" s="40">
        <v>13293.3</v>
      </c>
      <c r="I4" s="40">
        <v>2126.9299999999998</v>
      </c>
      <c r="J4" s="40">
        <f t="shared" si="1"/>
        <v>16201.23</v>
      </c>
      <c r="K4" s="40">
        <v>25378.07</v>
      </c>
      <c r="L4" s="40">
        <f t="shared" si="2"/>
        <v>-9176.84</v>
      </c>
      <c r="M4" s="38" t="s">
        <v>35</v>
      </c>
      <c r="N4" s="54"/>
      <c r="O4" s="36"/>
      <c r="P4" s="40">
        <v>0</v>
      </c>
      <c r="Q4" s="40">
        <v>781</v>
      </c>
      <c r="R4" s="41"/>
      <c r="S4" s="40">
        <v>7404.37</v>
      </c>
      <c r="T4" s="40">
        <v>0</v>
      </c>
      <c r="U4" s="40">
        <v>5888.93</v>
      </c>
      <c r="V4" s="40">
        <v>0</v>
      </c>
      <c r="W4" s="40"/>
      <c r="X4" s="40">
        <v>0</v>
      </c>
      <c r="Y4" s="40">
        <v>0</v>
      </c>
      <c r="Z4" s="40">
        <v>0</v>
      </c>
      <c r="AA4" s="40">
        <v>0</v>
      </c>
      <c r="AB4" s="36">
        <f t="shared" si="0"/>
        <v>0</v>
      </c>
      <c r="AC4"/>
      <c r="AD4" s="58" t="s">
        <v>54</v>
      </c>
      <c r="AE4" s="1">
        <f>+U77</f>
        <v>420886.31</v>
      </c>
      <c r="AF4" s="1"/>
      <c r="AG4" s="1">
        <f t="shared" si="3"/>
        <v>420886.31</v>
      </c>
      <c r="AH4" s="56">
        <f>+AG4/AG24</f>
        <v>0.19442899493740987</v>
      </c>
    </row>
    <row r="5" spans="1:34" x14ac:dyDescent="0.3">
      <c r="A5" s="38"/>
      <c r="B5" s="38" t="s">
        <v>234</v>
      </c>
      <c r="C5" s="38" t="s">
        <v>238</v>
      </c>
      <c r="D5" s="39">
        <v>45694</v>
      </c>
      <c r="E5" s="38" t="s">
        <v>42</v>
      </c>
      <c r="F5" s="38" t="s">
        <v>49</v>
      </c>
      <c r="G5" s="40">
        <f>781+295</f>
        <v>1076</v>
      </c>
      <c r="H5" s="40">
        <v>143742.45000000001</v>
      </c>
      <c r="I5" s="40">
        <v>22998.79</v>
      </c>
      <c r="J5" s="40">
        <f t="shared" si="1"/>
        <v>167817.24000000002</v>
      </c>
      <c r="K5" s="40">
        <v>167817.25</v>
      </c>
      <c r="L5" s="40">
        <f t="shared" si="2"/>
        <v>-9.9999999802093953E-3</v>
      </c>
      <c r="M5" s="38" t="s">
        <v>35</v>
      </c>
      <c r="N5" s="54"/>
      <c r="O5" s="36"/>
      <c r="P5" s="40">
        <v>295</v>
      </c>
      <c r="Q5" s="40">
        <v>781</v>
      </c>
      <c r="R5" s="41"/>
      <c r="S5" s="40">
        <v>30125.61</v>
      </c>
      <c r="T5" s="40">
        <v>0</v>
      </c>
      <c r="U5" s="40">
        <v>65911.839999999997</v>
      </c>
      <c r="V5" s="40">
        <v>0</v>
      </c>
      <c r="W5" s="40">
        <v>47705</v>
      </c>
      <c r="X5" s="40">
        <v>0</v>
      </c>
      <c r="Y5" s="40">
        <v>0</v>
      </c>
      <c r="Z5" s="40">
        <v>0</v>
      </c>
      <c r="AA5" s="40">
        <v>0</v>
      </c>
      <c r="AB5" s="36">
        <f t="shared" si="0"/>
        <v>0</v>
      </c>
      <c r="AC5"/>
      <c r="AD5" s="58" t="s">
        <v>43</v>
      </c>
      <c r="AE5" s="1">
        <f>+V77</f>
        <v>3967.78</v>
      </c>
      <c r="AF5" s="1"/>
      <c r="AG5" s="1">
        <f t="shared" si="3"/>
        <v>3967.78</v>
      </c>
      <c r="AH5" s="56">
        <f>+AG5/AG24</f>
        <v>1.8329212882518232E-3</v>
      </c>
    </row>
    <row r="6" spans="1:34" x14ac:dyDescent="0.3">
      <c r="A6" s="38"/>
      <c r="B6" s="38" t="s">
        <v>243</v>
      </c>
      <c r="C6" s="38" t="s">
        <v>245</v>
      </c>
      <c r="D6" s="39">
        <v>45695</v>
      </c>
      <c r="E6" s="38" t="s">
        <v>40</v>
      </c>
      <c r="F6" s="38" t="s">
        <v>41</v>
      </c>
      <c r="G6" s="40">
        <v>0</v>
      </c>
      <c r="H6" s="40">
        <v>26000.04</v>
      </c>
      <c r="I6" s="40">
        <v>4160.01</v>
      </c>
      <c r="J6" s="40">
        <f t="shared" si="1"/>
        <v>30160.050000000003</v>
      </c>
      <c r="K6" s="40">
        <v>0</v>
      </c>
      <c r="L6" s="40">
        <f t="shared" si="2"/>
        <v>30160.050000000003</v>
      </c>
      <c r="M6" s="38" t="s">
        <v>35</v>
      </c>
      <c r="N6" s="54"/>
      <c r="O6" s="36"/>
      <c r="P6" s="40">
        <v>0</v>
      </c>
      <c r="Q6" s="40">
        <v>0</v>
      </c>
      <c r="R6" s="41"/>
      <c r="S6" s="40">
        <v>4140.04</v>
      </c>
      <c r="T6" s="40">
        <v>0</v>
      </c>
      <c r="U6" s="40">
        <v>0</v>
      </c>
      <c r="V6" s="40">
        <v>0</v>
      </c>
      <c r="W6" s="40">
        <v>21860</v>
      </c>
      <c r="X6" s="40">
        <v>0</v>
      </c>
      <c r="Y6" s="40">
        <v>0</v>
      </c>
      <c r="Z6" s="40">
        <v>0</v>
      </c>
      <c r="AA6" s="40">
        <v>0</v>
      </c>
      <c r="AB6" s="36">
        <f t="shared" si="0"/>
        <v>0</v>
      </c>
      <c r="AC6"/>
      <c r="AD6" s="58" t="s">
        <v>0</v>
      </c>
      <c r="AE6" s="1">
        <f>+W77</f>
        <v>999662.55</v>
      </c>
      <c r="AF6" s="1">
        <f>+'FEB USD '!AB19</f>
        <v>160463.11749999999</v>
      </c>
      <c r="AG6" s="1">
        <f t="shared" si="3"/>
        <v>1160125.6675</v>
      </c>
      <c r="AH6" s="56">
        <f>+AG6/AG24</f>
        <v>0.53592160679475831</v>
      </c>
    </row>
    <row r="7" spans="1:34" x14ac:dyDescent="0.3">
      <c r="A7" s="50"/>
      <c r="B7" s="38" t="s">
        <v>244</v>
      </c>
      <c r="C7" s="50" t="s">
        <v>246</v>
      </c>
      <c r="D7" s="39">
        <v>45695</v>
      </c>
      <c r="E7" s="38" t="s">
        <v>53</v>
      </c>
      <c r="F7" s="38" t="s">
        <v>199</v>
      </c>
      <c r="G7" s="40">
        <f>336+336</f>
        <v>672</v>
      </c>
      <c r="H7" s="40">
        <v>15295.72</v>
      </c>
      <c r="I7" s="40">
        <v>2447.3200000000002</v>
      </c>
      <c r="J7" s="40">
        <f t="shared" si="1"/>
        <v>18415.04</v>
      </c>
      <c r="K7" s="40">
        <v>18415.04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f>336+336</f>
        <v>672</v>
      </c>
      <c r="R7" s="41"/>
      <c r="S7" s="40">
        <f>7647.86+7647.86</f>
        <v>15295.72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36">
        <f t="shared" si="0"/>
        <v>0</v>
      </c>
      <c r="AC7"/>
      <c r="AD7" s="58" t="s">
        <v>46</v>
      </c>
      <c r="AE7" s="1">
        <f>+X77</f>
        <v>38326.46</v>
      </c>
      <c r="AF7" s="1"/>
      <c r="AG7" s="1">
        <f t="shared" si="3"/>
        <v>38326.46</v>
      </c>
      <c r="AH7" s="80">
        <f>+AG7/AG24</f>
        <v>1.7704959558577333E-2</v>
      </c>
    </row>
    <row r="8" spans="1:34" x14ac:dyDescent="0.3">
      <c r="A8" s="38"/>
      <c r="B8" s="38" t="s">
        <v>247</v>
      </c>
      <c r="C8" s="38" t="s">
        <v>257</v>
      </c>
      <c r="D8" s="39">
        <v>45699</v>
      </c>
      <c r="E8" s="38" t="s">
        <v>61</v>
      </c>
      <c r="F8" s="38" t="s">
        <v>156</v>
      </c>
      <c r="G8" s="40">
        <v>0</v>
      </c>
      <c r="H8" s="40">
        <v>21320.23</v>
      </c>
      <c r="I8" s="40">
        <v>3411.24</v>
      </c>
      <c r="J8" s="40">
        <f t="shared" si="1"/>
        <v>24731.47</v>
      </c>
      <c r="K8" s="40">
        <v>24731.47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0</v>
      </c>
      <c r="R8" s="41"/>
      <c r="S8" s="40">
        <v>0</v>
      </c>
      <c r="T8" s="40">
        <v>0</v>
      </c>
      <c r="U8" s="40">
        <v>0</v>
      </c>
      <c r="V8" s="40">
        <v>0</v>
      </c>
      <c r="W8" s="40">
        <v>21320.23</v>
      </c>
      <c r="X8" s="40">
        <v>0</v>
      </c>
      <c r="Y8" s="40">
        <v>0</v>
      </c>
      <c r="Z8" s="40">
        <v>0</v>
      </c>
      <c r="AA8" s="40">
        <v>0</v>
      </c>
      <c r="AB8" s="36">
        <f t="shared" si="0"/>
        <v>0</v>
      </c>
      <c r="AC8"/>
      <c r="AD8" s="58" t="s">
        <v>4</v>
      </c>
      <c r="AE8" s="1">
        <f>+Y77</f>
        <v>71000</v>
      </c>
      <c r="AF8" s="1"/>
      <c r="AG8" s="1">
        <f t="shared" si="3"/>
        <v>71000</v>
      </c>
      <c r="AH8" s="56">
        <f>+AG8/AG24</f>
        <v>3.2798545147634049E-2</v>
      </c>
    </row>
    <row r="9" spans="1:34" x14ac:dyDescent="0.3">
      <c r="A9" s="38"/>
      <c r="B9" s="38" t="s">
        <v>248</v>
      </c>
      <c r="C9" s="38" t="s">
        <v>258</v>
      </c>
      <c r="D9" s="39">
        <v>45699</v>
      </c>
      <c r="E9" s="38" t="s">
        <v>198</v>
      </c>
      <c r="F9" t="s">
        <v>200</v>
      </c>
      <c r="G9" s="40">
        <v>0</v>
      </c>
      <c r="H9" s="40">
        <v>66000</v>
      </c>
      <c r="I9" s="40">
        <v>10560</v>
      </c>
      <c r="J9" s="40">
        <f t="shared" si="1"/>
        <v>76560</v>
      </c>
      <c r="K9" s="40">
        <v>76560</v>
      </c>
      <c r="L9" s="40">
        <f t="shared" si="2"/>
        <v>0</v>
      </c>
      <c r="M9" s="38" t="s">
        <v>35</v>
      </c>
      <c r="N9" s="54"/>
      <c r="O9" s="36"/>
      <c r="P9" s="40">
        <v>0</v>
      </c>
      <c r="Q9" s="40">
        <v>0</v>
      </c>
      <c r="R9" s="41"/>
      <c r="S9" s="40">
        <v>0</v>
      </c>
      <c r="T9" s="40">
        <v>0</v>
      </c>
      <c r="U9" s="40">
        <v>0</v>
      </c>
      <c r="V9" s="40">
        <v>0</v>
      </c>
      <c r="W9" s="40">
        <v>66000</v>
      </c>
      <c r="X9" s="40">
        <v>0</v>
      </c>
      <c r="Y9" s="40">
        <v>0</v>
      </c>
      <c r="Z9" s="40">
        <v>0</v>
      </c>
      <c r="AA9" s="40">
        <v>0</v>
      </c>
      <c r="AB9" s="36">
        <f t="shared" si="0"/>
        <v>0</v>
      </c>
      <c r="AC9"/>
      <c r="AD9" s="58" t="s">
        <v>320</v>
      </c>
      <c r="AE9" s="1">
        <f>+Z77</f>
        <v>2550</v>
      </c>
      <c r="AF9" s="1"/>
      <c r="AG9" s="1">
        <f t="shared" si="3"/>
        <v>2550</v>
      </c>
      <c r="AH9" s="56">
        <f>+AG9/AG24</f>
        <v>1.1779759172741808E-3</v>
      </c>
    </row>
    <row r="10" spans="1:34" x14ac:dyDescent="0.3">
      <c r="A10" s="38"/>
      <c r="B10" s="38" t="s">
        <v>249</v>
      </c>
      <c r="C10" s="38" t="s">
        <v>259</v>
      </c>
      <c r="D10" s="39">
        <v>45699</v>
      </c>
      <c r="E10" s="38" t="s">
        <v>22</v>
      </c>
      <c r="F10" s="38" t="s">
        <v>45</v>
      </c>
      <c r="G10" s="40">
        <v>1695</v>
      </c>
      <c r="H10" s="40">
        <v>8039.94</v>
      </c>
      <c r="I10" s="40">
        <v>1286.3900000000001</v>
      </c>
      <c r="J10" s="40">
        <f t="shared" si="1"/>
        <v>11021.329999999998</v>
      </c>
      <c r="K10" s="40">
        <v>11021.33</v>
      </c>
      <c r="L10" s="40">
        <f t="shared" si="2"/>
        <v>0</v>
      </c>
      <c r="M10" s="38" t="s">
        <v>35</v>
      </c>
      <c r="N10" s="54"/>
      <c r="O10" s="36"/>
      <c r="P10" s="40">
        <v>0</v>
      </c>
      <c r="Q10" s="40">
        <v>1695</v>
      </c>
      <c r="R10" s="41"/>
      <c r="S10" s="40">
        <v>4089.94</v>
      </c>
      <c r="T10" s="40">
        <v>0</v>
      </c>
      <c r="U10" s="40">
        <v>0</v>
      </c>
      <c r="V10" s="40">
        <v>0</v>
      </c>
      <c r="W10" s="40">
        <v>3950</v>
      </c>
      <c r="X10" s="40">
        <v>0</v>
      </c>
      <c r="Y10" s="40">
        <v>0</v>
      </c>
      <c r="Z10" s="40">
        <v>0</v>
      </c>
      <c r="AA10" s="40">
        <v>0</v>
      </c>
      <c r="AB10" s="36">
        <f t="shared" si="0"/>
        <v>0</v>
      </c>
      <c r="AC10"/>
      <c r="AD10" s="58" t="s">
        <v>3</v>
      </c>
      <c r="AE10" s="1">
        <f>+AA77</f>
        <v>1597.5</v>
      </c>
      <c r="AF10" s="1">
        <f>+'FEB USD '!AD19</f>
        <v>4815.5495000000001</v>
      </c>
      <c r="AG10" s="1">
        <f t="shared" si="3"/>
        <v>6413.0495000000001</v>
      </c>
      <c r="AH10" s="56">
        <f>+AG10/AG24</f>
        <v>2.9625168107008729E-3</v>
      </c>
    </row>
    <row r="11" spans="1:34" x14ac:dyDescent="0.3">
      <c r="A11" s="38"/>
      <c r="B11" s="38" t="s">
        <v>250</v>
      </c>
      <c r="C11" s="38" t="s">
        <v>260</v>
      </c>
      <c r="D11" s="39">
        <v>45699</v>
      </c>
      <c r="E11" s="38" t="s">
        <v>22</v>
      </c>
      <c r="F11" s="38" t="s">
        <v>45</v>
      </c>
      <c r="G11" s="40">
        <v>336</v>
      </c>
      <c r="H11" s="40">
        <v>4121.3599999999997</v>
      </c>
      <c r="I11" s="40">
        <v>659.42</v>
      </c>
      <c r="J11" s="40">
        <f t="shared" si="1"/>
        <v>5116.78</v>
      </c>
      <c r="K11" s="40">
        <v>5116.78</v>
      </c>
      <c r="L11" s="40">
        <f t="shared" si="2"/>
        <v>0</v>
      </c>
      <c r="M11" s="38" t="s">
        <v>35</v>
      </c>
      <c r="N11" s="54"/>
      <c r="O11" s="36"/>
      <c r="P11" s="40">
        <v>0</v>
      </c>
      <c r="Q11" s="40">
        <v>336</v>
      </c>
      <c r="R11" s="41"/>
      <c r="S11" s="40">
        <v>4121.3599999999997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36">
        <f t="shared" si="0"/>
        <v>0</v>
      </c>
      <c r="AC11"/>
      <c r="AD11" s="58" t="s">
        <v>396</v>
      </c>
      <c r="AF11" s="1">
        <f>+'FEB USD '!AF19</f>
        <v>14600.235500000001</v>
      </c>
      <c r="AG11" s="1">
        <f t="shared" si="3"/>
        <v>14600.235500000001</v>
      </c>
      <c r="AH11" s="56">
        <f>+AG11/AG24</f>
        <v>6.7445983551104143E-3</v>
      </c>
    </row>
    <row r="12" spans="1:34" ht="14.4" customHeight="1" x14ac:dyDescent="0.3">
      <c r="A12" s="38"/>
      <c r="B12" s="38" t="s">
        <v>251</v>
      </c>
      <c r="C12" s="38" t="s">
        <v>261</v>
      </c>
      <c r="D12" s="39">
        <v>45699</v>
      </c>
      <c r="E12" s="38" t="s">
        <v>22</v>
      </c>
      <c r="F12" s="38" t="s">
        <v>45</v>
      </c>
      <c r="G12" s="40">
        <v>19120</v>
      </c>
      <c r="H12" s="40">
        <v>8071.36</v>
      </c>
      <c r="I12" s="40">
        <v>1291.42</v>
      </c>
      <c r="J12" s="40">
        <f t="shared" si="1"/>
        <v>28482.78</v>
      </c>
      <c r="K12" s="40">
        <v>28482.78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19120</v>
      </c>
      <c r="R12" s="41"/>
      <c r="S12" s="40">
        <v>4121.3599999999997</v>
      </c>
      <c r="T12" s="40">
        <v>0</v>
      </c>
      <c r="U12" s="40">
        <v>0</v>
      </c>
      <c r="V12" s="40">
        <v>0</v>
      </c>
      <c r="W12" s="40">
        <v>3950</v>
      </c>
      <c r="X12" s="40">
        <v>0</v>
      </c>
      <c r="Y12" s="40">
        <v>0</v>
      </c>
      <c r="Z12" s="40">
        <v>0</v>
      </c>
      <c r="AA12" s="40">
        <v>0</v>
      </c>
      <c r="AB12" s="36">
        <f t="shared" si="0"/>
        <v>0</v>
      </c>
      <c r="AC12"/>
      <c r="AD12" s="58" t="s">
        <v>47</v>
      </c>
      <c r="AF12" s="1">
        <f>+'FEB USD '!AG19</f>
        <v>1536.8775000000001</v>
      </c>
      <c r="AG12" s="1">
        <f t="shared" si="3"/>
        <v>1536.8775000000001</v>
      </c>
      <c r="AH12" s="56">
        <f>+AG12/AG24</f>
        <v>7.0996262070609792E-4</v>
      </c>
    </row>
    <row r="13" spans="1:34" x14ac:dyDescent="0.3">
      <c r="A13" s="38"/>
      <c r="B13" s="38" t="s">
        <v>252</v>
      </c>
      <c r="C13" s="38" t="s">
        <v>262</v>
      </c>
      <c r="D13" s="39">
        <v>45699</v>
      </c>
      <c r="E13" s="38" t="s">
        <v>22</v>
      </c>
      <c r="F13" s="38" t="s">
        <v>45</v>
      </c>
      <c r="G13" s="40">
        <v>781</v>
      </c>
      <c r="H13" s="40">
        <v>8035.36</v>
      </c>
      <c r="I13" s="40">
        <v>1285.6600000000001</v>
      </c>
      <c r="J13" s="40">
        <f t="shared" si="1"/>
        <v>10102.02</v>
      </c>
      <c r="K13" s="40">
        <v>10102.02</v>
      </c>
      <c r="L13" s="40">
        <f t="shared" si="2"/>
        <v>0</v>
      </c>
      <c r="M13" s="38" t="s">
        <v>35</v>
      </c>
      <c r="N13" s="54"/>
      <c r="O13" s="36"/>
      <c r="P13" s="40">
        <v>0</v>
      </c>
      <c r="Q13" s="40">
        <v>781</v>
      </c>
      <c r="R13" s="41"/>
      <c r="S13" s="40">
        <v>4085.36</v>
      </c>
      <c r="T13" s="40">
        <v>0</v>
      </c>
      <c r="U13" s="40">
        <v>0</v>
      </c>
      <c r="V13" s="40">
        <v>0</v>
      </c>
      <c r="W13" s="40">
        <v>3950</v>
      </c>
      <c r="X13" s="40">
        <v>0</v>
      </c>
      <c r="Y13" s="40">
        <v>0</v>
      </c>
      <c r="Z13" s="40">
        <v>0</v>
      </c>
      <c r="AA13" s="40">
        <v>0</v>
      </c>
      <c r="AB13" s="36">
        <f t="shared" si="0"/>
        <v>0</v>
      </c>
      <c r="AC13"/>
      <c r="AD13" s="58"/>
      <c r="AF13" s="1"/>
      <c r="AG13" s="1">
        <f t="shared" si="3"/>
        <v>0</v>
      </c>
      <c r="AH13" s="56">
        <f>+AG13/AG24</f>
        <v>0</v>
      </c>
    </row>
    <row r="14" spans="1:34" x14ac:dyDescent="0.3">
      <c r="A14" s="38"/>
      <c r="B14" s="38" t="s">
        <v>253</v>
      </c>
      <c r="C14" s="38" t="s">
        <v>263</v>
      </c>
      <c r="D14" s="39">
        <v>45699</v>
      </c>
      <c r="E14" s="38" t="s">
        <v>22</v>
      </c>
      <c r="F14" s="38" t="s">
        <v>45</v>
      </c>
      <c r="G14" s="40">
        <v>781</v>
      </c>
      <c r="H14" s="40">
        <v>8035.36</v>
      </c>
      <c r="I14" s="40">
        <v>1285.6600000000001</v>
      </c>
      <c r="J14" s="40">
        <f t="shared" si="1"/>
        <v>10102.02</v>
      </c>
      <c r="K14" s="40">
        <v>10102.02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781</v>
      </c>
      <c r="R14" s="41"/>
      <c r="S14" s="40">
        <v>4085.36</v>
      </c>
      <c r="T14" s="40">
        <v>0</v>
      </c>
      <c r="U14" s="40">
        <v>0</v>
      </c>
      <c r="V14" s="40">
        <v>0</v>
      </c>
      <c r="W14" s="40">
        <v>3950</v>
      </c>
      <c r="X14" s="40">
        <v>0</v>
      </c>
      <c r="Y14" s="40">
        <v>0</v>
      </c>
      <c r="Z14" s="40">
        <v>0</v>
      </c>
      <c r="AA14" s="40">
        <v>0</v>
      </c>
      <c r="AB14" s="36">
        <f t="shared" si="0"/>
        <v>0</v>
      </c>
      <c r="AC14"/>
      <c r="AD14" s="58"/>
      <c r="AF14" s="1"/>
      <c r="AG14" s="1">
        <f t="shared" si="3"/>
        <v>0</v>
      </c>
      <c r="AH14" s="56">
        <f>+AG14/AG24</f>
        <v>0</v>
      </c>
    </row>
    <row r="15" spans="1:34" x14ac:dyDescent="0.3">
      <c r="A15" s="50"/>
      <c r="B15" s="38" t="s">
        <v>254</v>
      </c>
      <c r="C15" s="50" t="s">
        <v>264</v>
      </c>
      <c r="D15" s="39">
        <v>45699</v>
      </c>
      <c r="E15" s="38" t="s">
        <v>22</v>
      </c>
      <c r="F15" s="38" t="s">
        <v>45</v>
      </c>
      <c r="G15" s="40">
        <v>1782</v>
      </c>
      <c r="H15" s="40">
        <v>8022.43</v>
      </c>
      <c r="I15" s="40">
        <v>1283.5899999999999</v>
      </c>
      <c r="J15" s="40">
        <f t="shared" si="1"/>
        <v>11088.02</v>
      </c>
      <c r="K15" s="40">
        <v>11088.02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1782</v>
      </c>
      <c r="R15" s="41"/>
      <c r="S15" s="40">
        <v>4072.43</v>
      </c>
      <c r="T15" s="40">
        <v>0</v>
      </c>
      <c r="U15" s="40">
        <v>0</v>
      </c>
      <c r="V15" s="40">
        <v>0</v>
      </c>
      <c r="W15" s="40">
        <v>3950</v>
      </c>
      <c r="X15" s="40">
        <v>0</v>
      </c>
      <c r="Y15" s="40">
        <v>0</v>
      </c>
      <c r="Z15" s="40">
        <v>0</v>
      </c>
      <c r="AA15" s="40">
        <v>0</v>
      </c>
      <c r="AB15" s="36">
        <f t="shared" si="0"/>
        <v>0</v>
      </c>
      <c r="AC15"/>
      <c r="AD15" s="58"/>
      <c r="AF15" s="1"/>
      <c r="AG15" s="1">
        <f t="shared" si="3"/>
        <v>0</v>
      </c>
      <c r="AH15" s="56">
        <f>+AG15/AG24</f>
        <v>0</v>
      </c>
    </row>
    <row r="16" spans="1:34" x14ac:dyDescent="0.3">
      <c r="A16" s="50"/>
      <c r="B16" s="38" t="s">
        <v>255</v>
      </c>
      <c r="C16" s="50" t="s">
        <v>265</v>
      </c>
      <c r="D16" s="39">
        <v>45699</v>
      </c>
      <c r="E16" s="38" t="s">
        <v>22</v>
      </c>
      <c r="F16" s="38" t="s">
        <v>45</v>
      </c>
      <c r="G16" s="40">
        <v>1515</v>
      </c>
      <c r="H16" s="40">
        <v>8025.02</v>
      </c>
      <c r="I16" s="40">
        <v>1284</v>
      </c>
      <c r="J16" s="40">
        <f t="shared" si="1"/>
        <v>10824.02</v>
      </c>
      <c r="K16" s="40">
        <v>10824.02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1515</v>
      </c>
      <c r="R16" s="41"/>
      <c r="S16" s="40">
        <v>4075.02</v>
      </c>
      <c r="T16" s="40">
        <v>0</v>
      </c>
      <c r="U16" s="40">
        <v>0</v>
      </c>
      <c r="V16" s="40">
        <v>0</v>
      </c>
      <c r="W16" s="40">
        <v>3950</v>
      </c>
      <c r="X16" s="40">
        <v>0</v>
      </c>
      <c r="Y16" s="40">
        <v>0</v>
      </c>
      <c r="Z16" s="40">
        <v>0</v>
      </c>
      <c r="AA16" s="40">
        <v>0</v>
      </c>
      <c r="AB16" s="36">
        <f t="shared" si="0"/>
        <v>0</v>
      </c>
      <c r="AC16"/>
      <c r="AD16" s="58"/>
      <c r="AF16" s="1"/>
      <c r="AG16" s="1">
        <f t="shared" si="3"/>
        <v>0</v>
      </c>
      <c r="AH16" s="56">
        <f>+AG16/AG24</f>
        <v>0</v>
      </c>
    </row>
    <row r="17" spans="1:34" x14ac:dyDescent="0.3">
      <c r="A17" s="50"/>
      <c r="B17" s="38" t="s">
        <v>256</v>
      </c>
      <c r="C17" s="50" t="s">
        <v>266</v>
      </c>
      <c r="D17" s="39">
        <v>45699</v>
      </c>
      <c r="E17" s="38" t="s">
        <v>40</v>
      </c>
      <c r="F17" s="38" t="s">
        <v>41</v>
      </c>
      <c r="G17" s="40">
        <v>0</v>
      </c>
      <c r="H17" s="40">
        <v>9013.77</v>
      </c>
      <c r="I17" s="40">
        <v>1442.2</v>
      </c>
      <c r="J17" s="40">
        <f t="shared" si="1"/>
        <v>10455.970000000001</v>
      </c>
      <c r="K17" s="40">
        <v>0</v>
      </c>
      <c r="L17" s="40">
        <f t="shared" si="2"/>
        <v>10455.970000000001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4085.2</v>
      </c>
      <c r="T17" s="40">
        <v>0</v>
      </c>
      <c r="U17" s="40">
        <v>0</v>
      </c>
      <c r="V17" s="40">
        <v>0</v>
      </c>
      <c r="W17" s="40">
        <v>4928.57</v>
      </c>
      <c r="X17" s="40">
        <v>0</v>
      </c>
      <c r="Y17" s="40">
        <v>0</v>
      </c>
      <c r="Z17" s="40">
        <v>0</v>
      </c>
      <c r="AA17" s="40">
        <v>0</v>
      </c>
      <c r="AB17" s="36">
        <f t="shared" si="0"/>
        <v>0</v>
      </c>
      <c r="AC17"/>
      <c r="AD17" s="37"/>
      <c r="AF17" s="1"/>
      <c r="AG17" s="1">
        <f t="shared" si="3"/>
        <v>0</v>
      </c>
      <c r="AH17" s="56">
        <f>+AG17/AG24</f>
        <v>0</v>
      </c>
    </row>
    <row r="18" spans="1:34" x14ac:dyDescent="0.3">
      <c r="A18" s="50"/>
      <c r="B18" s="38" t="s">
        <v>267</v>
      </c>
      <c r="C18" s="50" t="s">
        <v>293</v>
      </c>
      <c r="D18" s="39">
        <v>45700</v>
      </c>
      <c r="E18" s="38" t="s">
        <v>22</v>
      </c>
      <c r="F18" s="38" t="s">
        <v>45</v>
      </c>
      <c r="G18" s="40">
        <v>2305</v>
      </c>
      <c r="H18" s="40">
        <v>9677.26</v>
      </c>
      <c r="I18" s="40">
        <v>1548.36</v>
      </c>
      <c r="J18" s="40">
        <f t="shared" si="1"/>
        <v>13530.62</v>
      </c>
      <c r="K18" s="40">
        <v>11674.62</v>
      </c>
      <c r="L18" s="40">
        <f t="shared" si="2"/>
        <v>1856</v>
      </c>
      <c r="M18" s="38" t="s">
        <v>35</v>
      </c>
      <c r="N18" s="54"/>
      <c r="O18" s="36"/>
      <c r="P18" s="40">
        <v>0</v>
      </c>
      <c r="Q18" s="40">
        <v>2305</v>
      </c>
      <c r="R18" s="41"/>
      <c r="S18" s="40">
        <v>4127.26</v>
      </c>
      <c r="T18" s="40">
        <v>0</v>
      </c>
      <c r="U18" s="40">
        <v>0</v>
      </c>
      <c r="V18" s="40">
        <v>0</v>
      </c>
      <c r="W18" s="40">
        <v>3950</v>
      </c>
      <c r="X18" s="40">
        <v>0</v>
      </c>
      <c r="Y18" s="40">
        <v>1600</v>
      </c>
      <c r="Z18" s="40">
        <v>0</v>
      </c>
      <c r="AA18" s="40">
        <v>0</v>
      </c>
      <c r="AB18" s="36">
        <f t="shared" si="0"/>
        <v>0</v>
      </c>
      <c r="AC18"/>
      <c r="AD18" s="37"/>
      <c r="AF18" s="1"/>
      <c r="AG18" s="1">
        <f t="shared" si="3"/>
        <v>0</v>
      </c>
      <c r="AH18" s="56">
        <f>+AG18/AG24</f>
        <v>0</v>
      </c>
    </row>
    <row r="19" spans="1:34" x14ac:dyDescent="0.3">
      <c r="A19" s="50"/>
      <c r="B19" s="38" t="s">
        <v>268</v>
      </c>
      <c r="C19" s="50" t="s">
        <v>294</v>
      </c>
      <c r="D19" s="39">
        <v>45700</v>
      </c>
      <c r="E19" s="38" t="s">
        <v>22</v>
      </c>
      <c r="F19" s="38" t="s">
        <v>45</v>
      </c>
      <c r="G19" s="40">
        <v>38418</v>
      </c>
      <c r="H19" s="40">
        <v>20291.439999999999</v>
      </c>
      <c r="I19" s="40">
        <v>3246.63</v>
      </c>
      <c r="J19" s="40">
        <f t="shared" si="1"/>
        <v>61956.07</v>
      </c>
      <c r="K19" s="40">
        <v>61956.07</v>
      </c>
      <c r="L19" s="40">
        <f t="shared" si="2"/>
        <v>0</v>
      </c>
      <c r="M19" s="38" t="s">
        <v>35</v>
      </c>
      <c r="N19" s="54"/>
      <c r="O19" s="36"/>
      <c r="P19" s="40">
        <v>0</v>
      </c>
      <c r="Q19" s="40">
        <v>38418</v>
      </c>
      <c r="R19" s="41"/>
      <c r="S19" s="40">
        <v>4085.36</v>
      </c>
      <c r="T19" s="40">
        <v>0</v>
      </c>
      <c r="U19" s="40">
        <v>0</v>
      </c>
      <c r="V19" s="40">
        <v>0</v>
      </c>
      <c r="W19" s="40">
        <v>3950</v>
      </c>
      <c r="X19" s="40">
        <v>12256.08</v>
      </c>
      <c r="Y19" s="40">
        <v>0</v>
      </c>
      <c r="Z19" s="40">
        <v>0</v>
      </c>
      <c r="AA19" s="40">
        <v>0</v>
      </c>
      <c r="AB19" s="36">
        <f t="shared" si="0"/>
        <v>0</v>
      </c>
      <c r="AC19"/>
      <c r="AD19" s="37"/>
      <c r="AF19" s="1"/>
      <c r="AG19" s="1"/>
      <c r="AH19" s="56"/>
    </row>
    <row r="20" spans="1:34" x14ac:dyDescent="0.3">
      <c r="A20" s="50"/>
      <c r="B20" s="38" t="s">
        <v>269</v>
      </c>
      <c r="C20" s="50" t="s">
        <v>295</v>
      </c>
      <c r="D20" s="39">
        <v>45700</v>
      </c>
      <c r="E20" s="38" t="s">
        <v>40</v>
      </c>
      <c r="F20" s="38" t="s">
        <v>41</v>
      </c>
      <c r="G20" s="40">
        <v>0</v>
      </c>
      <c r="H20" s="40">
        <v>38816.61</v>
      </c>
      <c r="I20" s="40">
        <v>6210.66</v>
      </c>
      <c r="J20" s="40">
        <f t="shared" si="1"/>
        <v>45027.270000000004</v>
      </c>
      <c r="K20" s="40">
        <v>0</v>
      </c>
      <c r="L20" s="40">
        <f t="shared" si="2"/>
        <v>45027.270000000004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4102.5</v>
      </c>
      <c r="T20" s="40">
        <v>3737.5</v>
      </c>
      <c r="U20" s="40">
        <v>19501.61</v>
      </c>
      <c r="V20" s="40">
        <v>0</v>
      </c>
      <c r="W20" s="40">
        <v>11475</v>
      </c>
      <c r="X20" s="40">
        <v>0</v>
      </c>
      <c r="Y20" s="40">
        <v>0</v>
      </c>
      <c r="Z20" s="40">
        <v>0</v>
      </c>
      <c r="AA20" s="40">
        <v>0</v>
      </c>
      <c r="AB20" s="36">
        <f t="shared" si="0"/>
        <v>0</v>
      </c>
      <c r="AC20"/>
      <c r="AD20" s="37"/>
      <c r="AF20" s="1"/>
      <c r="AG20" s="1"/>
      <c r="AH20" s="56"/>
    </row>
    <row r="21" spans="1:34" x14ac:dyDescent="0.3">
      <c r="A21" s="50"/>
      <c r="B21" s="38" t="s">
        <v>270</v>
      </c>
      <c r="C21" s="50" t="s">
        <v>296</v>
      </c>
      <c r="D21" s="39">
        <v>45701</v>
      </c>
      <c r="E21" s="38" t="s">
        <v>198</v>
      </c>
      <c r="F21" t="s">
        <v>200</v>
      </c>
      <c r="G21" s="40">
        <v>0</v>
      </c>
      <c r="H21" s="40">
        <v>22000</v>
      </c>
      <c r="I21" s="40">
        <v>3520</v>
      </c>
      <c r="J21" s="40">
        <f t="shared" si="1"/>
        <v>25520</v>
      </c>
      <c r="K21" s="40">
        <v>25520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0</v>
      </c>
      <c r="R21" s="41"/>
      <c r="S21" s="40">
        <v>0</v>
      </c>
      <c r="T21" s="40">
        <v>0</v>
      </c>
      <c r="U21" s="40">
        <v>0</v>
      </c>
      <c r="V21" s="40">
        <v>0</v>
      </c>
      <c r="W21" s="40">
        <v>22000</v>
      </c>
      <c r="X21" s="40">
        <v>0</v>
      </c>
      <c r="Y21" s="40">
        <v>0</v>
      </c>
      <c r="Z21" s="40">
        <v>0</v>
      </c>
      <c r="AA21" s="40">
        <v>0</v>
      </c>
      <c r="AB21" s="36">
        <f t="shared" si="0"/>
        <v>0</v>
      </c>
      <c r="AC21"/>
      <c r="AD21" s="37"/>
      <c r="AF21" s="1"/>
      <c r="AG21" s="1"/>
      <c r="AH21" s="56"/>
    </row>
    <row r="22" spans="1:34" x14ac:dyDescent="0.3">
      <c r="A22" s="50"/>
      <c r="B22" s="38" t="s">
        <v>271</v>
      </c>
      <c r="C22" s="50" t="s">
        <v>297</v>
      </c>
      <c r="D22" s="39">
        <v>45701</v>
      </c>
      <c r="E22" s="38" t="s">
        <v>223</v>
      </c>
      <c r="F22" s="38" t="s">
        <v>219</v>
      </c>
      <c r="G22" s="40">
        <v>5295</v>
      </c>
      <c r="H22" s="40">
        <v>21926.3</v>
      </c>
      <c r="I22" s="40">
        <v>3508.21</v>
      </c>
      <c r="J22" s="40">
        <f>SUM(G22:I22)</f>
        <v>30729.51</v>
      </c>
      <c r="K22" s="40">
        <v>31002.76</v>
      </c>
      <c r="L22" s="40">
        <f t="shared" si="2"/>
        <v>-273.25</v>
      </c>
      <c r="M22" s="38" t="s">
        <v>35</v>
      </c>
      <c r="N22" s="54"/>
      <c r="O22" s="36"/>
      <c r="P22" s="40">
        <v>0</v>
      </c>
      <c r="Q22" s="40">
        <v>5295</v>
      </c>
      <c r="R22" s="41"/>
      <c r="S22" s="40">
        <v>6500</v>
      </c>
      <c r="T22" s="40">
        <v>0</v>
      </c>
      <c r="U22" s="40">
        <v>10348.6</v>
      </c>
      <c r="V22" s="40">
        <v>0</v>
      </c>
      <c r="W22" s="40">
        <v>5077.7</v>
      </c>
      <c r="X22" s="40">
        <v>0</v>
      </c>
      <c r="Y22" s="40">
        <v>0</v>
      </c>
      <c r="Z22" s="40">
        <v>0</v>
      </c>
      <c r="AA22" s="40">
        <v>0</v>
      </c>
      <c r="AB22" s="36">
        <f t="shared" si="0"/>
        <v>0</v>
      </c>
      <c r="AC22"/>
      <c r="AD22" s="37"/>
      <c r="AF22" s="1"/>
      <c r="AG22" s="1"/>
      <c r="AH22" s="56"/>
    </row>
    <row r="23" spans="1:34" x14ac:dyDescent="0.3">
      <c r="A23" s="38"/>
      <c r="B23" s="38" t="s">
        <v>272</v>
      </c>
      <c r="C23" s="38" t="s">
        <v>298</v>
      </c>
      <c r="D23" s="39">
        <v>45701</v>
      </c>
      <c r="E23" s="38" t="s">
        <v>223</v>
      </c>
      <c r="F23" s="38" t="s">
        <v>219</v>
      </c>
      <c r="G23" s="40">
        <v>30380</v>
      </c>
      <c r="H23" s="40">
        <v>22092.27</v>
      </c>
      <c r="I23" s="40">
        <v>3534.77</v>
      </c>
      <c r="J23" s="40">
        <f t="shared" si="1"/>
        <v>56007.040000000001</v>
      </c>
      <c r="K23" s="40">
        <v>56009.760000000002</v>
      </c>
      <c r="L23" s="40">
        <f t="shared" si="2"/>
        <v>-2.7200000000011642</v>
      </c>
      <c r="M23" s="38" t="s">
        <v>35</v>
      </c>
      <c r="N23" s="54"/>
      <c r="O23" s="36"/>
      <c r="P23" s="40">
        <v>0</v>
      </c>
      <c r="Q23" s="40">
        <v>30380</v>
      </c>
      <c r="R23" s="41"/>
      <c r="S23" s="40">
        <v>6500</v>
      </c>
      <c r="T23" s="40">
        <v>652.6</v>
      </c>
      <c r="U23" s="40">
        <f>9760+4079.67</f>
        <v>13839.67</v>
      </c>
      <c r="V23" s="40">
        <v>0</v>
      </c>
      <c r="W23" s="40">
        <v>1100</v>
      </c>
      <c r="X23" s="40">
        <v>0</v>
      </c>
      <c r="Y23" s="40">
        <v>0</v>
      </c>
      <c r="Z23" s="40">
        <v>0</v>
      </c>
      <c r="AA23" s="40">
        <v>0</v>
      </c>
      <c r="AB23" s="36">
        <f t="shared" si="0"/>
        <v>0</v>
      </c>
      <c r="AC23"/>
      <c r="AD23" s="37"/>
      <c r="AE23" s="1">
        <v>0</v>
      </c>
      <c r="AF23" s="1"/>
      <c r="AG23" s="1">
        <f t="shared" si="3"/>
        <v>0</v>
      </c>
      <c r="AH23" s="56">
        <f>+AG23/AG24</f>
        <v>0</v>
      </c>
    </row>
    <row r="24" spans="1:34" x14ac:dyDescent="0.3">
      <c r="A24" s="38"/>
      <c r="B24" s="38" t="s">
        <v>273</v>
      </c>
      <c r="C24" s="38" t="s">
        <v>299</v>
      </c>
      <c r="D24" s="39">
        <v>45701</v>
      </c>
      <c r="E24" s="38" t="s">
        <v>53</v>
      </c>
      <c r="F24" s="38" t="s">
        <v>199</v>
      </c>
      <c r="G24" s="40">
        <v>781</v>
      </c>
      <c r="H24" s="40">
        <v>61555.79</v>
      </c>
      <c r="I24" s="40">
        <v>9848.93</v>
      </c>
      <c r="J24" s="40">
        <f t="shared" si="1"/>
        <v>72185.72</v>
      </c>
      <c r="K24" s="40">
        <v>971053.49</v>
      </c>
      <c r="L24" s="40">
        <f t="shared" si="2"/>
        <v>-898867.77</v>
      </c>
      <c r="M24" s="38" t="s">
        <v>35</v>
      </c>
      <c r="N24" s="54"/>
      <c r="O24" s="36"/>
      <c r="P24" s="40">
        <v>0</v>
      </c>
      <c r="Q24" s="40">
        <v>781</v>
      </c>
      <c r="R24" s="41"/>
      <c r="S24" s="40">
        <v>7341.94</v>
      </c>
      <c r="T24" s="40">
        <v>0</v>
      </c>
      <c r="U24" s="40">
        <v>54213.85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36">
        <f t="shared" si="0"/>
        <v>0</v>
      </c>
      <c r="AC24"/>
      <c r="AD24" s="37"/>
      <c r="AE24" s="45">
        <f>+SUM(AE2:AE23)</f>
        <v>1973125.49</v>
      </c>
      <c r="AF24" s="45">
        <f>+SUM(AF2:AF23)</f>
        <v>191604.6735</v>
      </c>
      <c r="AG24" s="45">
        <f>+SUM(AG2:AG23)</f>
        <v>2164730.1635000003</v>
      </c>
      <c r="AH24" s="57">
        <f>+SUM(AH2:AH23)</f>
        <v>0.99999999999999989</v>
      </c>
    </row>
    <row r="25" spans="1:34" x14ac:dyDescent="0.3">
      <c r="A25" s="38"/>
      <c r="B25" s="38" t="s">
        <v>274</v>
      </c>
      <c r="C25" s="38" t="s">
        <v>300</v>
      </c>
      <c r="D25" s="39">
        <v>45701</v>
      </c>
      <c r="E25" s="38" t="s">
        <v>53</v>
      </c>
      <c r="F25" s="38" t="s">
        <v>199</v>
      </c>
      <c r="G25" s="40">
        <v>781</v>
      </c>
      <c r="H25" s="40">
        <v>10776.17</v>
      </c>
      <c r="I25" s="40">
        <v>1724.18</v>
      </c>
      <c r="J25" s="40">
        <f t="shared" si="1"/>
        <v>13281.35</v>
      </c>
      <c r="K25" s="40">
        <v>19752.669999999998</v>
      </c>
      <c r="L25" s="40">
        <f t="shared" si="2"/>
        <v>-6471.3199999999979</v>
      </c>
      <c r="M25" s="38" t="s">
        <v>35</v>
      </c>
      <c r="N25" s="54"/>
      <c r="O25" s="36"/>
      <c r="P25" s="40">
        <v>0</v>
      </c>
      <c r="Q25" s="40">
        <v>781</v>
      </c>
      <c r="R25" s="41"/>
      <c r="S25" s="40">
        <v>7361.89</v>
      </c>
      <c r="T25" s="40">
        <v>0</v>
      </c>
      <c r="U25" s="40">
        <v>3414.28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36">
        <f t="shared" si="0"/>
        <v>0</v>
      </c>
      <c r="AC25"/>
      <c r="AE25" s="36"/>
      <c r="AF25" s="36"/>
      <c r="AG25" s="1"/>
    </row>
    <row r="26" spans="1:34" x14ac:dyDescent="0.3">
      <c r="A26" s="38"/>
      <c r="B26" s="38" t="s">
        <v>275</v>
      </c>
      <c r="C26" s="38" t="s">
        <v>301</v>
      </c>
      <c r="D26" s="39">
        <v>45701</v>
      </c>
      <c r="E26" s="38" t="s">
        <v>319</v>
      </c>
      <c r="F26" s="38" t="s">
        <v>318</v>
      </c>
      <c r="G26" s="40">
        <v>12384</v>
      </c>
      <c r="H26" s="40">
        <v>9336.15</v>
      </c>
      <c r="I26" s="40">
        <v>1493.79</v>
      </c>
      <c r="J26" s="40">
        <f t="shared" si="1"/>
        <v>23213.940000000002</v>
      </c>
      <c r="K26" s="40">
        <v>23213.94</v>
      </c>
      <c r="L26" s="40">
        <f t="shared" si="2"/>
        <v>0</v>
      </c>
      <c r="M26" s="38" t="s">
        <v>35</v>
      </c>
      <c r="N26" s="54"/>
      <c r="O26" s="36"/>
      <c r="P26" s="40">
        <v>0</v>
      </c>
      <c r="Q26" s="40">
        <v>12384</v>
      </c>
      <c r="R26" s="41"/>
      <c r="S26" s="40">
        <v>4447.41</v>
      </c>
      <c r="T26" s="40">
        <v>0</v>
      </c>
      <c r="U26" s="40">
        <v>2788.74</v>
      </c>
      <c r="V26" s="40">
        <v>0</v>
      </c>
      <c r="W26" s="40">
        <v>2100</v>
      </c>
      <c r="X26" s="40">
        <v>0</v>
      </c>
      <c r="Y26" s="40">
        <v>0</v>
      </c>
      <c r="Z26" s="40">
        <v>0</v>
      </c>
      <c r="AA26" s="40">
        <v>0</v>
      </c>
      <c r="AB26" s="36">
        <f t="shared" si="0"/>
        <v>0</v>
      </c>
      <c r="AC26"/>
      <c r="AD26" s="37"/>
      <c r="AF26" s="1"/>
      <c r="AG26" s="1"/>
    </row>
    <row r="27" spans="1:34" x14ac:dyDescent="0.3">
      <c r="A27" s="38"/>
      <c r="B27" s="38" t="s">
        <v>276</v>
      </c>
      <c r="C27" s="38" t="s">
        <v>302</v>
      </c>
      <c r="D27" s="39">
        <v>45701</v>
      </c>
      <c r="E27" s="38" t="s">
        <v>198</v>
      </c>
      <c r="F27" t="s">
        <v>200</v>
      </c>
      <c r="G27" s="40">
        <v>0</v>
      </c>
      <c r="H27" s="40">
        <v>20000</v>
      </c>
      <c r="I27" s="40">
        <v>3200</v>
      </c>
      <c r="J27" s="40">
        <f t="shared" si="1"/>
        <v>23200</v>
      </c>
      <c r="K27" s="40">
        <v>23200</v>
      </c>
      <c r="L27" s="40">
        <f t="shared" si="2"/>
        <v>0</v>
      </c>
      <c r="M27" s="38" t="s">
        <v>35</v>
      </c>
      <c r="N27" s="54"/>
      <c r="O27" s="36"/>
      <c r="P27" s="40">
        <v>0</v>
      </c>
      <c r="Q27" s="40">
        <v>0</v>
      </c>
      <c r="R27" s="41"/>
      <c r="S27" s="40">
        <v>0</v>
      </c>
      <c r="T27" s="40">
        <v>0</v>
      </c>
      <c r="U27" s="40">
        <v>0</v>
      </c>
      <c r="V27" s="40">
        <v>0</v>
      </c>
      <c r="W27" s="40">
        <v>20000</v>
      </c>
      <c r="X27" s="40">
        <v>0</v>
      </c>
      <c r="Y27" s="40">
        <v>0</v>
      </c>
      <c r="Z27" s="40">
        <v>0</v>
      </c>
      <c r="AA27" s="40">
        <v>0</v>
      </c>
      <c r="AB27" s="36">
        <f t="shared" si="0"/>
        <v>0</v>
      </c>
      <c r="AC27"/>
      <c r="AD27" s="37"/>
      <c r="AF27" s="1"/>
      <c r="AG27" s="1"/>
    </row>
    <row r="28" spans="1:34" x14ac:dyDescent="0.3">
      <c r="A28" s="38"/>
      <c r="B28" s="38" t="s">
        <v>277</v>
      </c>
      <c r="C28" s="38" t="s">
        <v>303</v>
      </c>
      <c r="D28" s="39">
        <v>45705</v>
      </c>
      <c r="E28" s="38" t="s">
        <v>53</v>
      </c>
      <c r="F28" s="38" t="s">
        <v>199</v>
      </c>
      <c r="G28" s="40">
        <v>336</v>
      </c>
      <c r="H28" s="40">
        <v>100458.15</v>
      </c>
      <c r="I28" s="40">
        <v>16073.3</v>
      </c>
      <c r="J28" s="40">
        <f t="shared" si="1"/>
        <v>116867.45</v>
      </c>
      <c r="K28" s="40">
        <v>116867.45</v>
      </c>
      <c r="L28" s="40">
        <f t="shared" si="2"/>
        <v>0</v>
      </c>
      <c r="M28" s="38" t="s">
        <v>35</v>
      </c>
      <c r="N28" s="54"/>
      <c r="O28" s="36"/>
      <c r="P28" s="40">
        <v>0</v>
      </c>
      <c r="Q28" s="40">
        <v>336</v>
      </c>
      <c r="R28" s="41"/>
      <c r="S28" s="40">
        <v>100458.15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36">
        <f t="shared" si="0"/>
        <v>0</v>
      </c>
      <c r="AC28"/>
      <c r="AD28" s="37"/>
      <c r="AE28" s="52"/>
      <c r="AF28" s="1"/>
      <c r="AG28" s="1"/>
    </row>
    <row r="29" spans="1:34" x14ac:dyDescent="0.3">
      <c r="A29" s="38"/>
      <c r="B29" s="38" t="s">
        <v>278</v>
      </c>
      <c r="C29" s="38" t="s">
        <v>304</v>
      </c>
      <c r="D29" s="39">
        <v>45705</v>
      </c>
      <c r="E29" s="38" t="s">
        <v>40</v>
      </c>
      <c r="F29" s="38" t="s">
        <v>41</v>
      </c>
      <c r="G29" s="40">
        <v>0</v>
      </c>
      <c r="H29" s="40">
        <v>11406.38</v>
      </c>
      <c r="I29" s="40">
        <v>1825.03</v>
      </c>
      <c r="J29" s="40">
        <f t="shared" si="1"/>
        <v>13231.41</v>
      </c>
      <c r="K29" s="40">
        <v>0</v>
      </c>
      <c r="L29" s="40">
        <f t="shared" si="2"/>
        <v>13231.41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4113.3599999999997</v>
      </c>
      <c r="T29" s="40">
        <v>1500</v>
      </c>
      <c r="U29" s="40">
        <v>2115.54</v>
      </c>
      <c r="V29" s="40">
        <v>1177.48</v>
      </c>
      <c r="W29" s="40">
        <v>2500</v>
      </c>
      <c r="X29" s="40">
        <v>0</v>
      </c>
      <c r="Y29" s="40">
        <v>0</v>
      </c>
      <c r="Z29" s="40">
        <v>0</v>
      </c>
      <c r="AA29" s="40">
        <v>0</v>
      </c>
      <c r="AB29" s="36">
        <f t="shared" si="0"/>
        <v>0</v>
      </c>
      <c r="AC29"/>
      <c r="AD29" s="37"/>
      <c r="AE29" s="52"/>
      <c r="AF29" s="1"/>
      <c r="AG29" s="1"/>
    </row>
    <row r="30" spans="1:34" x14ac:dyDescent="0.3">
      <c r="A30" s="38"/>
      <c r="B30" s="38" t="s">
        <v>279</v>
      </c>
      <c r="C30" s="38" t="s">
        <v>305</v>
      </c>
      <c r="D30" s="39">
        <v>45705</v>
      </c>
      <c r="E30" s="38" t="s">
        <v>40</v>
      </c>
      <c r="F30" s="38" t="s">
        <v>41</v>
      </c>
      <c r="G30" s="40">
        <v>0</v>
      </c>
      <c r="H30" s="40">
        <v>41110.239999999998</v>
      </c>
      <c r="I30" s="40">
        <v>6577.64</v>
      </c>
      <c r="J30" s="40">
        <f t="shared" si="1"/>
        <v>47687.88</v>
      </c>
      <c r="K30" s="40">
        <v>0</v>
      </c>
      <c r="L30" s="40">
        <f t="shared" si="2"/>
        <v>47687.88</v>
      </c>
      <c r="M30" s="38" t="s">
        <v>35</v>
      </c>
      <c r="N30" s="54"/>
      <c r="O30" s="36"/>
      <c r="P30" s="40">
        <v>0</v>
      </c>
      <c r="Q30" s="40">
        <v>0</v>
      </c>
      <c r="R30" s="41"/>
      <c r="S30" s="40">
        <v>4110.24</v>
      </c>
      <c r="T30" s="40">
        <v>0</v>
      </c>
      <c r="U30" s="40">
        <v>0</v>
      </c>
      <c r="V30" s="40">
        <v>0</v>
      </c>
      <c r="W30" s="40">
        <v>37000</v>
      </c>
      <c r="X30" s="40">
        <v>0</v>
      </c>
      <c r="Y30" s="40">
        <v>0</v>
      </c>
      <c r="Z30" s="40">
        <v>0</v>
      </c>
      <c r="AA30" s="40">
        <v>0</v>
      </c>
      <c r="AB30" s="36">
        <f t="shared" si="0"/>
        <v>0</v>
      </c>
      <c r="AC30"/>
      <c r="AD30" s="37"/>
      <c r="AF30" s="1"/>
      <c r="AG30" s="1"/>
    </row>
    <row r="31" spans="1:34" x14ac:dyDescent="0.3">
      <c r="A31" s="38"/>
      <c r="B31" s="38" t="s">
        <v>280</v>
      </c>
      <c r="C31" s="38" t="s">
        <v>306</v>
      </c>
      <c r="D31" s="39">
        <v>45706</v>
      </c>
      <c r="E31" s="38" t="s">
        <v>22</v>
      </c>
      <c r="F31" s="38" t="s">
        <v>45</v>
      </c>
      <c r="G31" s="40">
        <v>336</v>
      </c>
      <c r="H31" s="40">
        <v>6985.2</v>
      </c>
      <c r="I31" s="40">
        <v>1117.6300000000001</v>
      </c>
      <c r="J31" s="40">
        <f t="shared" si="1"/>
        <v>8438.83</v>
      </c>
      <c r="K31" s="40">
        <v>8438.83</v>
      </c>
      <c r="L31" s="40">
        <f t="shared" si="2"/>
        <v>0</v>
      </c>
      <c r="M31" s="38" t="s">
        <v>35</v>
      </c>
      <c r="N31" s="54"/>
      <c r="O31" s="36"/>
      <c r="P31" s="40">
        <v>0</v>
      </c>
      <c r="Q31" s="40">
        <v>336</v>
      </c>
      <c r="R31" s="41"/>
      <c r="S31" s="40">
        <v>3035.2</v>
      </c>
      <c r="T31" s="40">
        <v>0</v>
      </c>
      <c r="U31" s="40">
        <v>0</v>
      </c>
      <c r="V31" s="40">
        <v>0</v>
      </c>
      <c r="W31" s="40">
        <v>3950</v>
      </c>
      <c r="X31" s="40">
        <v>0</v>
      </c>
      <c r="Y31" s="40">
        <v>0</v>
      </c>
      <c r="Z31" s="40">
        <v>0</v>
      </c>
      <c r="AA31" s="40">
        <v>0</v>
      </c>
      <c r="AB31" s="36">
        <f t="shared" si="0"/>
        <v>0</v>
      </c>
      <c r="AC31"/>
      <c r="AD31" s="37"/>
      <c r="AE31" s="53"/>
      <c r="AF31" s="1"/>
      <c r="AG31" s="1"/>
    </row>
    <row r="32" spans="1:34" x14ac:dyDescent="0.3">
      <c r="A32" s="38"/>
      <c r="B32" s="38" t="s">
        <v>281</v>
      </c>
      <c r="C32" s="38" t="s">
        <v>307</v>
      </c>
      <c r="D32" s="39">
        <v>45706</v>
      </c>
      <c r="E32" s="38" t="s">
        <v>40</v>
      </c>
      <c r="F32" s="38" t="s">
        <v>41</v>
      </c>
      <c r="G32" s="40">
        <v>0</v>
      </c>
      <c r="H32" s="40">
        <v>41113.599999999999</v>
      </c>
      <c r="I32" s="40">
        <v>6578.18</v>
      </c>
      <c r="J32" s="40">
        <f t="shared" si="1"/>
        <v>47691.78</v>
      </c>
      <c r="K32" s="40">
        <v>0</v>
      </c>
      <c r="L32" s="40">
        <f t="shared" si="2"/>
        <v>47691.78</v>
      </c>
      <c r="M32" s="38" t="s">
        <v>35</v>
      </c>
      <c r="N32" s="54"/>
      <c r="O32" s="36"/>
      <c r="P32" s="40">
        <v>0</v>
      </c>
      <c r="Q32" s="40">
        <v>0</v>
      </c>
      <c r="R32" s="41"/>
      <c r="S32" s="40">
        <v>4113.6000000000004</v>
      </c>
      <c r="T32" s="40">
        <v>0</v>
      </c>
      <c r="U32" s="40">
        <v>0</v>
      </c>
      <c r="V32" s="40">
        <v>0</v>
      </c>
      <c r="W32" s="40">
        <v>37000</v>
      </c>
      <c r="X32" s="40">
        <v>0</v>
      </c>
      <c r="Y32" s="40">
        <v>0</v>
      </c>
      <c r="Z32" s="40">
        <v>0</v>
      </c>
      <c r="AA32" s="40">
        <v>0</v>
      </c>
      <c r="AB32" s="36">
        <f t="shared" si="0"/>
        <v>0</v>
      </c>
      <c r="AC32"/>
      <c r="AD32" s="37"/>
      <c r="AF32" s="1"/>
      <c r="AG32" s="1"/>
    </row>
    <row r="33" spans="1:33" x14ac:dyDescent="0.3">
      <c r="A33" s="38"/>
      <c r="B33" s="38" t="s">
        <v>282</v>
      </c>
      <c r="C33" s="38" t="s">
        <v>308</v>
      </c>
      <c r="D33" s="39">
        <v>45706</v>
      </c>
      <c r="E33" s="38" t="s">
        <v>22</v>
      </c>
      <c r="F33" s="38" t="s">
        <v>45</v>
      </c>
      <c r="G33" s="40">
        <v>336</v>
      </c>
      <c r="H33" s="40">
        <v>7045.45</v>
      </c>
      <c r="I33" s="40">
        <v>1127.27</v>
      </c>
      <c r="J33" s="40">
        <f t="shared" si="1"/>
        <v>8508.7199999999993</v>
      </c>
      <c r="K33" s="40">
        <v>8508.7199999999993</v>
      </c>
      <c r="L33" s="40">
        <f t="shared" si="2"/>
        <v>0</v>
      </c>
      <c r="M33" s="38" t="s">
        <v>35</v>
      </c>
      <c r="N33" s="54"/>
      <c r="O33" s="36"/>
      <c r="P33" s="40">
        <v>0</v>
      </c>
      <c r="Q33" s="40">
        <v>336</v>
      </c>
      <c r="R33" s="41"/>
      <c r="S33" s="40">
        <v>3095.45</v>
      </c>
      <c r="T33" s="40">
        <v>0</v>
      </c>
      <c r="U33" s="40">
        <v>0</v>
      </c>
      <c r="V33" s="40">
        <v>0</v>
      </c>
      <c r="W33" s="40">
        <v>3950</v>
      </c>
      <c r="X33" s="40">
        <v>0</v>
      </c>
      <c r="Y33" s="40">
        <v>0</v>
      </c>
      <c r="Z33" s="40">
        <v>0</v>
      </c>
      <c r="AA33" s="40">
        <v>0</v>
      </c>
      <c r="AB33" s="36">
        <f t="shared" si="0"/>
        <v>0</v>
      </c>
      <c r="AC33"/>
      <c r="AD33" s="37"/>
      <c r="AF33" s="1"/>
      <c r="AG33" s="1"/>
    </row>
    <row r="34" spans="1:33" x14ac:dyDescent="0.3">
      <c r="A34" s="38"/>
      <c r="B34" s="38" t="s">
        <v>283</v>
      </c>
      <c r="C34" s="38" t="s">
        <v>309</v>
      </c>
      <c r="D34" s="39">
        <v>45706</v>
      </c>
      <c r="E34" s="38" t="s">
        <v>22</v>
      </c>
      <c r="F34" s="38" t="s">
        <v>45</v>
      </c>
      <c r="G34" s="40">
        <v>336</v>
      </c>
      <c r="H34" s="40">
        <v>14090.89</v>
      </c>
      <c r="I34" s="40">
        <v>2254.54</v>
      </c>
      <c r="J34" s="40">
        <f t="shared" si="1"/>
        <v>16681.43</v>
      </c>
      <c r="K34" s="40">
        <v>16681.43</v>
      </c>
      <c r="L34" s="40">
        <f t="shared" si="2"/>
        <v>0</v>
      </c>
      <c r="M34" s="38" t="s">
        <v>35</v>
      </c>
      <c r="N34" s="54"/>
      <c r="O34" s="36"/>
      <c r="P34" s="40">
        <v>0</v>
      </c>
      <c r="Q34" s="40">
        <v>336</v>
      </c>
      <c r="R34" s="41"/>
      <c r="S34" s="40">
        <v>6190.89</v>
      </c>
      <c r="T34" s="40">
        <v>0</v>
      </c>
      <c r="U34" s="40">
        <v>0</v>
      </c>
      <c r="V34" s="40">
        <v>0</v>
      </c>
      <c r="W34" s="40">
        <v>7900</v>
      </c>
      <c r="X34" s="40">
        <v>0</v>
      </c>
      <c r="Y34" s="40">
        <v>0</v>
      </c>
      <c r="Z34" s="40">
        <v>0</v>
      </c>
      <c r="AA34" s="40">
        <v>0</v>
      </c>
      <c r="AB34" s="36">
        <f t="shared" ref="AB34:AB65" si="4">+SUM(S34:AA34)-H34</f>
        <v>0</v>
      </c>
      <c r="AC34"/>
      <c r="AD34" s="37"/>
      <c r="AF34" s="1"/>
      <c r="AG34" s="1"/>
    </row>
    <row r="35" spans="1:33" x14ac:dyDescent="0.3">
      <c r="A35" s="38"/>
      <c r="B35" s="38" t="s">
        <v>284</v>
      </c>
      <c r="C35" s="38" t="s">
        <v>310</v>
      </c>
      <c r="D35" s="39">
        <v>45706</v>
      </c>
      <c r="E35" s="38" t="s">
        <v>40</v>
      </c>
      <c r="F35" s="38" t="s">
        <v>41</v>
      </c>
      <c r="G35" s="40">
        <v>0</v>
      </c>
      <c r="H35" s="40">
        <v>16244.3</v>
      </c>
      <c r="I35" s="40">
        <v>2599.09</v>
      </c>
      <c r="J35" s="40">
        <f t="shared" si="1"/>
        <v>18843.39</v>
      </c>
      <c r="K35" s="40">
        <v>0</v>
      </c>
      <c r="L35" s="40">
        <f t="shared" si="2"/>
        <v>18843.39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8220.48</v>
      </c>
      <c r="T35" s="40">
        <v>0</v>
      </c>
      <c r="U35" s="40">
        <v>3373.82</v>
      </c>
      <c r="V35" s="40">
        <v>0</v>
      </c>
      <c r="W35" s="40">
        <v>2100</v>
      </c>
      <c r="X35" s="40">
        <v>0</v>
      </c>
      <c r="Y35" s="40">
        <v>0</v>
      </c>
      <c r="Z35" s="40">
        <v>2550</v>
      </c>
      <c r="AA35" s="40">
        <v>0</v>
      </c>
      <c r="AB35" s="36">
        <f t="shared" si="4"/>
        <v>0</v>
      </c>
      <c r="AC35"/>
      <c r="AD35" s="37"/>
      <c r="AF35" s="1"/>
      <c r="AG35" s="1"/>
    </row>
    <row r="36" spans="1:33" x14ac:dyDescent="0.3">
      <c r="A36" s="38"/>
      <c r="B36" s="38" t="s">
        <v>285</v>
      </c>
      <c r="C36" s="38" t="s">
        <v>211</v>
      </c>
      <c r="D36" s="39">
        <v>45707</v>
      </c>
      <c r="E36" s="38" t="s">
        <v>223</v>
      </c>
      <c r="F36" s="38" t="s">
        <v>219</v>
      </c>
      <c r="G36" s="40">
        <v>359364</v>
      </c>
      <c r="H36" s="40">
        <v>94500</v>
      </c>
      <c r="I36" s="40">
        <v>15120</v>
      </c>
      <c r="J36" s="40">
        <f t="shared" si="1"/>
        <v>468984</v>
      </c>
      <c r="K36" s="40">
        <v>468984</v>
      </c>
      <c r="L36" s="40">
        <f t="shared" si="2"/>
        <v>0</v>
      </c>
      <c r="M36" s="38" t="s">
        <v>35</v>
      </c>
      <c r="N36" s="54"/>
      <c r="O36" s="36"/>
      <c r="P36" s="40">
        <v>0</v>
      </c>
      <c r="Q36" s="40">
        <v>359364</v>
      </c>
      <c r="R36" s="41"/>
      <c r="S36" s="40">
        <v>7500</v>
      </c>
      <c r="T36" s="40">
        <v>0</v>
      </c>
      <c r="U36" s="40">
        <v>24000</v>
      </c>
      <c r="V36" s="40">
        <v>0</v>
      </c>
      <c r="W36" s="40">
        <v>63000</v>
      </c>
      <c r="X36" s="40">
        <v>0</v>
      </c>
      <c r="Y36" s="40">
        <v>0</v>
      </c>
      <c r="Z36" s="40">
        <v>0</v>
      </c>
      <c r="AA36" s="40">
        <v>0</v>
      </c>
      <c r="AB36" s="36">
        <f t="shared" si="4"/>
        <v>0</v>
      </c>
      <c r="AC36"/>
      <c r="AD36" s="37"/>
      <c r="AF36" s="1"/>
      <c r="AG36" s="1"/>
    </row>
    <row r="37" spans="1:33" x14ac:dyDescent="0.3">
      <c r="A37" s="38"/>
      <c r="B37" s="38" t="s">
        <v>286</v>
      </c>
      <c r="C37" s="38" t="s">
        <v>311</v>
      </c>
      <c r="D37" s="39">
        <v>45707</v>
      </c>
      <c r="E37" s="38" t="s">
        <v>22</v>
      </c>
      <c r="F37" s="38" t="s">
        <v>45</v>
      </c>
      <c r="G37" s="40">
        <v>10306</v>
      </c>
      <c r="H37" s="40">
        <v>8060.24</v>
      </c>
      <c r="I37" s="40">
        <v>1289.6400000000001</v>
      </c>
      <c r="J37" s="40">
        <f t="shared" si="1"/>
        <v>19655.879999999997</v>
      </c>
      <c r="K37" s="40">
        <v>19655.88</v>
      </c>
      <c r="L37" s="40">
        <f t="shared" si="2"/>
        <v>0</v>
      </c>
      <c r="M37" s="38" t="s">
        <v>35</v>
      </c>
      <c r="N37" s="54"/>
      <c r="O37" s="36"/>
      <c r="P37" s="40">
        <v>0</v>
      </c>
      <c r="Q37" s="40">
        <v>10306</v>
      </c>
      <c r="R37" s="41"/>
      <c r="S37" s="40">
        <v>4110.24</v>
      </c>
      <c r="T37" s="40">
        <v>0</v>
      </c>
      <c r="U37" s="40">
        <v>0</v>
      </c>
      <c r="V37" s="40">
        <v>0</v>
      </c>
      <c r="W37" s="40">
        <v>3950</v>
      </c>
      <c r="X37" s="40">
        <v>0</v>
      </c>
      <c r="Y37" s="40">
        <v>0</v>
      </c>
      <c r="Z37" s="40">
        <v>0</v>
      </c>
      <c r="AA37" s="40">
        <v>0</v>
      </c>
      <c r="AB37" s="36">
        <f t="shared" si="4"/>
        <v>0</v>
      </c>
      <c r="AC37"/>
      <c r="AD37" s="37"/>
      <c r="AF37" s="1"/>
      <c r="AG37" s="1"/>
    </row>
    <row r="38" spans="1:33" x14ac:dyDescent="0.3">
      <c r="A38" s="38"/>
      <c r="B38" s="38" t="s">
        <v>287</v>
      </c>
      <c r="C38" s="38" t="s">
        <v>312</v>
      </c>
      <c r="D38" s="39">
        <v>45707</v>
      </c>
      <c r="E38" s="38" t="s">
        <v>22</v>
      </c>
      <c r="F38" s="38" t="s">
        <v>45</v>
      </c>
      <c r="G38" s="40">
        <v>1921</v>
      </c>
      <c r="H38" s="40">
        <v>8060.24</v>
      </c>
      <c r="I38" s="40">
        <v>1289.6400000000001</v>
      </c>
      <c r="J38" s="40">
        <f t="shared" si="1"/>
        <v>11270.88</v>
      </c>
      <c r="K38" s="40">
        <v>11270.88</v>
      </c>
      <c r="L38" s="40">
        <f t="shared" si="2"/>
        <v>0</v>
      </c>
      <c r="M38" s="38" t="s">
        <v>35</v>
      </c>
      <c r="N38" s="54"/>
      <c r="O38" s="36"/>
      <c r="P38" s="40">
        <v>0</v>
      </c>
      <c r="Q38" s="40">
        <v>1921</v>
      </c>
      <c r="R38" s="41"/>
      <c r="S38" s="40">
        <v>4110.24</v>
      </c>
      <c r="T38" s="40">
        <v>0</v>
      </c>
      <c r="U38" s="40">
        <v>0</v>
      </c>
      <c r="V38" s="40">
        <v>0</v>
      </c>
      <c r="W38" s="40">
        <v>3950</v>
      </c>
      <c r="X38" s="40">
        <v>0</v>
      </c>
      <c r="Y38" s="40">
        <v>0</v>
      </c>
      <c r="Z38" s="40">
        <v>0</v>
      </c>
      <c r="AA38" s="40">
        <v>0</v>
      </c>
      <c r="AB38" s="36">
        <f t="shared" si="4"/>
        <v>0</v>
      </c>
      <c r="AC38"/>
      <c r="AD38" s="37"/>
      <c r="AF38" s="1"/>
      <c r="AG38" s="1"/>
    </row>
    <row r="39" spans="1:33" x14ac:dyDescent="0.3">
      <c r="A39" s="50"/>
      <c r="B39" s="38" t="s">
        <v>288</v>
      </c>
      <c r="C39" s="50" t="s">
        <v>313</v>
      </c>
      <c r="D39" s="39">
        <v>45707</v>
      </c>
      <c r="E39" s="38" t="s">
        <v>22</v>
      </c>
      <c r="F39" s="38" t="s">
        <v>45</v>
      </c>
      <c r="G39" s="40">
        <v>781</v>
      </c>
      <c r="H39" s="40">
        <v>11224.98</v>
      </c>
      <c r="I39" s="40">
        <v>1796</v>
      </c>
      <c r="J39" s="40">
        <f t="shared" si="1"/>
        <v>13801.98</v>
      </c>
      <c r="K39" s="40">
        <v>10150.620000000001</v>
      </c>
      <c r="L39" s="40">
        <f t="shared" si="2"/>
        <v>3651.3599999999988</v>
      </c>
      <c r="M39" s="38" t="s">
        <v>35</v>
      </c>
      <c r="N39" s="54"/>
      <c r="O39" s="36"/>
      <c r="P39" s="40">
        <v>0</v>
      </c>
      <c r="Q39" s="40">
        <v>781</v>
      </c>
      <c r="R39" s="41"/>
      <c r="S39" s="40">
        <v>4127.26</v>
      </c>
      <c r="T39" s="40">
        <v>0</v>
      </c>
      <c r="U39" s="40">
        <v>0</v>
      </c>
      <c r="V39" s="40">
        <v>0</v>
      </c>
      <c r="W39" s="40">
        <v>3950</v>
      </c>
      <c r="X39" s="40">
        <v>1547.72</v>
      </c>
      <c r="Y39" s="40">
        <v>1600</v>
      </c>
      <c r="Z39" s="40">
        <v>0</v>
      </c>
      <c r="AA39" s="40">
        <v>0</v>
      </c>
      <c r="AB39" s="36">
        <f t="shared" si="4"/>
        <v>0</v>
      </c>
      <c r="AC39"/>
      <c r="AD39" s="37"/>
      <c r="AF39" s="1"/>
      <c r="AG39" s="1"/>
    </row>
    <row r="40" spans="1:33" x14ac:dyDescent="0.3">
      <c r="A40" s="50"/>
      <c r="B40" s="38" t="s">
        <v>289</v>
      </c>
      <c r="C40" s="50" t="s">
        <v>314</v>
      </c>
      <c r="D40" s="39">
        <v>45707</v>
      </c>
      <c r="E40" s="38" t="s">
        <v>22</v>
      </c>
      <c r="F40" s="38" t="s">
        <v>45</v>
      </c>
      <c r="G40" s="40">
        <v>336</v>
      </c>
      <c r="H40" s="40">
        <v>14070.4</v>
      </c>
      <c r="I40" s="40">
        <v>2251.2600000000002</v>
      </c>
      <c r="J40" s="40">
        <f t="shared" si="1"/>
        <v>16657.66</v>
      </c>
      <c r="K40" s="40">
        <v>16657.66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336</v>
      </c>
      <c r="R40" s="41"/>
      <c r="S40" s="40">
        <v>6170.4</v>
      </c>
      <c r="T40" s="40">
        <v>0</v>
      </c>
      <c r="U40" s="40">
        <v>0</v>
      </c>
      <c r="V40" s="40">
        <v>0</v>
      </c>
      <c r="W40" s="40">
        <v>7900</v>
      </c>
      <c r="X40" s="40">
        <v>0</v>
      </c>
      <c r="Y40" s="40">
        <v>0</v>
      </c>
      <c r="Z40" s="40">
        <v>0</v>
      </c>
      <c r="AA40" s="40">
        <v>0</v>
      </c>
      <c r="AB40" s="36">
        <f t="shared" si="4"/>
        <v>0</v>
      </c>
      <c r="AC40"/>
      <c r="AD40" s="37"/>
      <c r="AF40" s="1"/>
      <c r="AG40" s="1"/>
    </row>
    <row r="41" spans="1:33" x14ac:dyDescent="0.3">
      <c r="A41" s="50"/>
      <c r="B41" s="38" t="s">
        <v>290</v>
      </c>
      <c r="C41" s="50" t="s">
        <v>315</v>
      </c>
      <c r="D41" s="39">
        <v>45707</v>
      </c>
      <c r="E41" s="38" t="s">
        <v>53</v>
      </c>
      <c r="F41" s="38" t="s">
        <v>199</v>
      </c>
      <c r="G41" s="40">
        <v>781</v>
      </c>
      <c r="H41" s="40">
        <v>14879.38</v>
      </c>
      <c r="I41" s="40">
        <v>2380.6999999999998</v>
      </c>
      <c r="J41" s="40">
        <f t="shared" si="1"/>
        <v>18041.079999999998</v>
      </c>
      <c r="K41" s="40">
        <v>25378.07</v>
      </c>
      <c r="L41" s="40">
        <f t="shared" si="2"/>
        <v>-7336.9900000000016</v>
      </c>
      <c r="M41" s="38" t="s">
        <v>35</v>
      </c>
      <c r="N41" s="54"/>
      <c r="O41" s="36"/>
      <c r="P41" s="40">
        <v>0</v>
      </c>
      <c r="Q41" s="40">
        <v>781</v>
      </c>
      <c r="R41" s="41"/>
      <c r="S41" s="40">
        <v>7404.37</v>
      </c>
      <c r="T41" s="40">
        <v>0</v>
      </c>
      <c r="U41" s="40">
        <v>7475.01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36">
        <f t="shared" si="4"/>
        <v>0</v>
      </c>
      <c r="AC41"/>
      <c r="AD41" s="37"/>
      <c r="AF41" s="1"/>
      <c r="AG41" s="1"/>
    </row>
    <row r="42" spans="1:33" x14ac:dyDescent="0.3">
      <c r="A42" s="38"/>
      <c r="B42" s="38" t="s">
        <v>291</v>
      </c>
      <c r="C42" s="38" t="s">
        <v>316</v>
      </c>
      <c r="D42" s="39">
        <v>45707</v>
      </c>
      <c r="E42" s="38" t="s">
        <v>61</v>
      </c>
      <c r="F42" t="s">
        <v>156</v>
      </c>
      <c r="G42" s="40">
        <v>0</v>
      </c>
      <c r="H42" s="40">
        <v>18000</v>
      </c>
      <c r="I42" s="40">
        <v>2880</v>
      </c>
      <c r="J42" s="40">
        <f t="shared" si="1"/>
        <v>20880</v>
      </c>
      <c r="K42" s="40">
        <v>20880</v>
      </c>
      <c r="L42" s="40">
        <f t="shared" si="2"/>
        <v>0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0</v>
      </c>
      <c r="T42" s="40">
        <v>0</v>
      </c>
      <c r="U42" s="40">
        <v>0</v>
      </c>
      <c r="V42" s="40">
        <v>0</v>
      </c>
      <c r="W42" s="40">
        <v>18000</v>
      </c>
      <c r="X42" s="40">
        <v>0</v>
      </c>
      <c r="Y42" s="40">
        <v>0</v>
      </c>
      <c r="Z42" s="40">
        <v>0</v>
      </c>
      <c r="AA42" s="40">
        <v>0</v>
      </c>
      <c r="AB42" s="36">
        <f t="shared" si="4"/>
        <v>0</v>
      </c>
      <c r="AC42"/>
      <c r="AD42" s="37"/>
      <c r="AF42" s="1"/>
      <c r="AG42" s="1"/>
    </row>
    <row r="43" spans="1:33" x14ac:dyDescent="0.3">
      <c r="A43" s="50"/>
      <c r="B43" s="38" t="s">
        <v>292</v>
      </c>
      <c r="C43" s="50" t="s">
        <v>317</v>
      </c>
      <c r="D43" s="39">
        <v>45707</v>
      </c>
      <c r="E43" s="38" t="s">
        <v>61</v>
      </c>
      <c r="F43" t="s">
        <v>156</v>
      </c>
      <c r="G43" s="40">
        <v>0</v>
      </c>
      <c r="H43" s="40">
        <v>25000</v>
      </c>
      <c r="I43" s="40">
        <v>4000</v>
      </c>
      <c r="J43" s="40">
        <f t="shared" si="1"/>
        <v>29000</v>
      </c>
      <c r="K43" s="40">
        <v>29000</v>
      </c>
      <c r="L43" s="40">
        <f t="shared" si="2"/>
        <v>0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0</v>
      </c>
      <c r="T43" s="40">
        <v>0</v>
      </c>
      <c r="U43" s="40">
        <v>0</v>
      </c>
      <c r="V43" s="40">
        <v>0</v>
      </c>
      <c r="W43" s="40">
        <v>25000</v>
      </c>
      <c r="X43" s="40">
        <v>0</v>
      </c>
      <c r="Y43" s="40">
        <v>0</v>
      </c>
      <c r="Z43" s="40">
        <v>0</v>
      </c>
      <c r="AA43" s="40">
        <v>0</v>
      </c>
      <c r="AB43" s="36">
        <f t="shared" si="4"/>
        <v>0</v>
      </c>
      <c r="AC43"/>
      <c r="AD43" s="37"/>
      <c r="AF43" s="1"/>
      <c r="AG43" s="1"/>
    </row>
    <row r="44" spans="1:33" x14ac:dyDescent="0.3">
      <c r="A44" s="38"/>
      <c r="B44" s="38" t="s">
        <v>333</v>
      </c>
      <c r="C44" s="38" t="s">
        <v>337</v>
      </c>
      <c r="D44" s="39">
        <v>45708</v>
      </c>
      <c r="E44" s="38" t="s">
        <v>20</v>
      </c>
      <c r="F44" s="38" t="s">
        <v>21</v>
      </c>
      <c r="G44" s="40">
        <v>183058</v>
      </c>
      <c r="H44" s="40">
        <v>10275.6</v>
      </c>
      <c r="I44" s="40">
        <v>1644.1</v>
      </c>
      <c r="J44" s="40">
        <f t="shared" si="1"/>
        <v>194977.7</v>
      </c>
      <c r="K44" s="40">
        <v>187725.4</v>
      </c>
      <c r="L44" s="40">
        <f t="shared" si="2"/>
        <v>7252.3000000000175</v>
      </c>
      <c r="M44" s="38" t="s">
        <v>35</v>
      </c>
      <c r="N44" s="54"/>
      <c r="O44" s="36"/>
      <c r="P44" s="40">
        <v>0</v>
      </c>
      <c r="Q44" s="40">
        <v>183058</v>
      </c>
      <c r="R44" s="41"/>
      <c r="S44" s="40">
        <f>4110.24+6165.36</f>
        <v>10275.599999999999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36">
        <f t="shared" si="4"/>
        <v>0</v>
      </c>
      <c r="AC44"/>
      <c r="AD44" s="37"/>
      <c r="AF44" s="1"/>
      <c r="AG44" s="1"/>
    </row>
    <row r="45" spans="1:33" x14ac:dyDescent="0.3">
      <c r="A45" s="38"/>
      <c r="B45" s="38" t="s">
        <v>334</v>
      </c>
      <c r="C45" s="38" t="s">
        <v>186</v>
      </c>
      <c r="D45" s="39">
        <v>45708</v>
      </c>
      <c r="E45" s="38" t="s">
        <v>42</v>
      </c>
      <c r="F45" s="38" t="s">
        <v>49</v>
      </c>
      <c r="G45" s="40">
        <v>781</v>
      </c>
      <c r="H45" s="40">
        <v>87882.04</v>
      </c>
      <c r="I45" s="40">
        <v>14061.13</v>
      </c>
      <c r="J45" s="40">
        <f t="shared" si="1"/>
        <v>102724.17</v>
      </c>
      <c r="K45" s="40">
        <v>102759.32</v>
      </c>
      <c r="L45" s="40">
        <f t="shared" si="2"/>
        <v>-35.150000000008731</v>
      </c>
      <c r="M45" s="38" t="s">
        <v>35</v>
      </c>
      <c r="N45" s="54"/>
      <c r="O45" s="36"/>
      <c r="P45" s="40">
        <v>0</v>
      </c>
      <c r="Q45" s="40">
        <v>781</v>
      </c>
      <c r="R45" s="41"/>
      <c r="S45" s="40">
        <v>6182.04</v>
      </c>
      <c r="T45" s="40">
        <v>0</v>
      </c>
      <c r="U45" s="40">
        <v>25000</v>
      </c>
      <c r="V45" s="40">
        <v>0</v>
      </c>
      <c r="W45" s="40">
        <v>56700</v>
      </c>
      <c r="X45" s="40">
        <v>0</v>
      </c>
      <c r="Y45" s="40">
        <v>0</v>
      </c>
      <c r="Z45" s="40">
        <v>0</v>
      </c>
      <c r="AA45" s="40">
        <v>0</v>
      </c>
      <c r="AB45" s="36">
        <f t="shared" si="4"/>
        <v>0</v>
      </c>
      <c r="AC45"/>
      <c r="AD45" s="37"/>
      <c r="AF45" s="1"/>
      <c r="AG45" s="1"/>
    </row>
    <row r="46" spans="1:33" x14ac:dyDescent="0.3">
      <c r="A46" s="38"/>
      <c r="B46" s="38" t="s">
        <v>335</v>
      </c>
      <c r="C46" s="38" t="s">
        <v>338</v>
      </c>
      <c r="D46" s="39">
        <v>45708</v>
      </c>
      <c r="E46" s="38" t="s">
        <v>22</v>
      </c>
      <c r="F46" s="38" t="s">
        <v>45</v>
      </c>
      <c r="G46" s="40">
        <v>29189</v>
      </c>
      <c r="H46" s="40">
        <v>4713.54</v>
      </c>
      <c r="I46" s="40">
        <v>754.17</v>
      </c>
      <c r="J46" s="40">
        <f t="shared" si="1"/>
        <v>34656.71</v>
      </c>
      <c r="K46" s="40">
        <v>34656.71</v>
      </c>
      <c r="L46" s="40">
        <f t="shared" si="2"/>
        <v>0</v>
      </c>
      <c r="M46" s="38" t="s">
        <v>35</v>
      </c>
      <c r="N46" s="54"/>
      <c r="O46" s="36"/>
      <c r="P46" s="40">
        <v>0</v>
      </c>
      <c r="Q46" s="40">
        <v>29189</v>
      </c>
      <c r="R46" s="41"/>
      <c r="S46" s="40">
        <v>4113.54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600</v>
      </c>
      <c r="Z46" s="40">
        <v>0</v>
      </c>
      <c r="AA46" s="40">
        <v>0</v>
      </c>
      <c r="AB46" s="36">
        <f t="shared" si="4"/>
        <v>0</v>
      </c>
      <c r="AC46"/>
      <c r="AD46" s="37"/>
      <c r="AF46" s="1"/>
      <c r="AG46" s="1"/>
    </row>
    <row r="47" spans="1:33" x14ac:dyDescent="0.3">
      <c r="A47" s="38"/>
      <c r="B47" s="38" t="s">
        <v>336</v>
      </c>
      <c r="C47" s="38" t="s">
        <v>339</v>
      </c>
      <c r="D47" s="39">
        <v>45708</v>
      </c>
      <c r="E47" s="38" t="s">
        <v>22</v>
      </c>
      <c r="F47" s="38" t="s">
        <v>45</v>
      </c>
      <c r="G47" s="40">
        <v>5115</v>
      </c>
      <c r="H47" s="40">
        <v>8047.47</v>
      </c>
      <c r="I47" s="40">
        <v>1287.5999999999999</v>
      </c>
      <c r="J47" s="40">
        <f t="shared" si="1"/>
        <v>14450.070000000002</v>
      </c>
      <c r="K47" s="40">
        <v>14450.07</v>
      </c>
      <c r="L47" s="40">
        <f t="shared" si="2"/>
        <v>0</v>
      </c>
      <c r="M47" s="38" t="s">
        <v>35</v>
      </c>
      <c r="N47" s="54"/>
      <c r="O47" s="36"/>
      <c r="P47" s="40">
        <v>0</v>
      </c>
      <c r="Q47" s="40">
        <v>5115</v>
      </c>
      <c r="R47" s="41"/>
      <c r="S47" s="40">
        <v>4097.47</v>
      </c>
      <c r="T47" s="40">
        <v>0</v>
      </c>
      <c r="U47" s="40">
        <v>0</v>
      </c>
      <c r="V47" s="40">
        <v>0</v>
      </c>
      <c r="W47" s="40">
        <v>3950</v>
      </c>
      <c r="X47" s="40">
        <v>0</v>
      </c>
      <c r="Y47" s="40">
        <v>0</v>
      </c>
      <c r="Z47" s="40">
        <v>0</v>
      </c>
      <c r="AA47" s="40">
        <v>0</v>
      </c>
      <c r="AB47" s="36">
        <f t="shared" si="4"/>
        <v>0</v>
      </c>
      <c r="AC47"/>
      <c r="AD47" s="37"/>
      <c r="AF47" s="1"/>
      <c r="AG47" s="1"/>
    </row>
    <row r="48" spans="1:33" x14ac:dyDescent="0.3">
      <c r="A48" s="50"/>
      <c r="B48" s="38" t="s">
        <v>340</v>
      </c>
      <c r="C48" s="50" t="s">
        <v>148</v>
      </c>
      <c r="D48" s="39">
        <v>45709</v>
      </c>
      <c r="E48" s="38" t="s">
        <v>157</v>
      </c>
      <c r="F48" s="38" t="s">
        <v>155</v>
      </c>
      <c r="G48" s="40">
        <v>102252</v>
      </c>
      <c r="H48" s="40">
        <v>95976</v>
      </c>
      <c r="I48" s="40">
        <v>15356.16</v>
      </c>
      <c r="J48" s="40">
        <f t="shared" si="1"/>
        <v>213584.16</v>
      </c>
      <c r="K48" s="40">
        <v>213584.16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102252</v>
      </c>
      <c r="R48" s="41"/>
      <c r="S48" s="40">
        <v>8170</v>
      </c>
      <c r="T48" s="40">
        <v>0</v>
      </c>
      <c r="U48" s="40">
        <v>19350</v>
      </c>
      <c r="V48" s="40">
        <v>0</v>
      </c>
      <c r="W48" s="40">
        <v>68456</v>
      </c>
      <c r="X48" s="40">
        <v>0</v>
      </c>
      <c r="Y48" s="40">
        <v>0</v>
      </c>
      <c r="Z48" s="40">
        <v>0</v>
      </c>
      <c r="AA48" s="40">
        <v>0</v>
      </c>
      <c r="AB48" s="36">
        <f t="shared" si="4"/>
        <v>0</v>
      </c>
      <c r="AC48"/>
      <c r="AD48" s="37"/>
      <c r="AF48" s="1"/>
      <c r="AG48" s="1"/>
    </row>
    <row r="49" spans="1:33" x14ac:dyDescent="0.3">
      <c r="A49" s="38"/>
      <c r="B49" s="38" t="s">
        <v>341</v>
      </c>
      <c r="C49" s="38" t="s">
        <v>148</v>
      </c>
      <c r="D49" s="39">
        <v>45709</v>
      </c>
      <c r="E49" s="38" t="s">
        <v>157</v>
      </c>
      <c r="F49" s="38" t="s">
        <v>155</v>
      </c>
      <c r="G49" s="40">
        <v>0</v>
      </c>
      <c r="H49" s="40">
        <v>1333</v>
      </c>
      <c r="I49" s="40">
        <v>0</v>
      </c>
      <c r="J49" s="40">
        <f t="shared" si="1"/>
        <v>1333</v>
      </c>
      <c r="K49" s="40">
        <v>1333</v>
      </c>
      <c r="L49" s="40">
        <f t="shared" si="2"/>
        <v>0</v>
      </c>
      <c r="M49" s="38" t="s">
        <v>35</v>
      </c>
      <c r="N49" s="54"/>
      <c r="O49" s="36"/>
      <c r="P49" s="40">
        <v>0</v>
      </c>
      <c r="Q49" s="40">
        <v>0</v>
      </c>
      <c r="R49" s="41"/>
      <c r="S49" s="40">
        <v>0</v>
      </c>
      <c r="T49" s="40">
        <v>1333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36">
        <f t="shared" si="4"/>
        <v>0</v>
      </c>
      <c r="AC49"/>
      <c r="AD49" s="37"/>
      <c r="AF49" s="1"/>
      <c r="AG49" s="1"/>
    </row>
    <row r="50" spans="1:33" x14ac:dyDescent="0.3">
      <c r="A50" s="38"/>
      <c r="B50" s="38" t="s">
        <v>342</v>
      </c>
      <c r="C50" s="38" t="s">
        <v>349</v>
      </c>
      <c r="D50" s="39">
        <v>45709</v>
      </c>
      <c r="E50" s="38" t="s">
        <v>22</v>
      </c>
      <c r="F50" s="38" t="s">
        <v>45</v>
      </c>
      <c r="G50" s="40">
        <v>781</v>
      </c>
      <c r="H50" s="40">
        <v>4133.8599999999997</v>
      </c>
      <c r="I50" s="40">
        <v>661.42</v>
      </c>
      <c r="J50" s="40">
        <f t="shared" si="1"/>
        <v>5576.28</v>
      </c>
      <c r="K50" s="40">
        <v>5576.28</v>
      </c>
      <c r="L50" s="40">
        <f t="shared" si="2"/>
        <v>0</v>
      </c>
      <c r="M50" s="38" t="s">
        <v>35</v>
      </c>
      <c r="N50" s="54"/>
      <c r="O50" s="36"/>
      <c r="P50" s="40">
        <v>0</v>
      </c>
      <c r="Q50" s="40">
        <v>781</v>
      </c>
      <c r="R50" s="41"/>
      <c r="S50" s="40">
        <v>4133.8599999999997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36">
        <f t="shared" si="4"/>
        <v>0</v>
      </c>
      <c r="AC50"/>
      <c r="AD50" s="37"/>
      <c r="AF50" s="1"/>
      <c r="AG50" s="1"/>
    </row>
    <row r="51" spans="1:33" x14ac:dyDescent="0.3">
      <c r="A51" s="50"/>
      <c r="B51" s="38" t="s">
        <v>343</v>
      </c>
      <c r="C51" s="50" t="s">
        <v>350</v>
      </c>
      <c r="D51" s="39">
        <v>45709</v>
      </c>
      <c r="E51" s="38" t="s">
        <v>22</v>
      </c>
      <c r="F51" s="38" t="s">
        <v>45</v>
      </c>
      <c r="G51" s="40">
        <v>32709</v>
      </c>
      <c r="H51" s="40">
        <v>20348.240000000002</v>
      </c>
      <c r="I51" s="40">
        <v>3255.72</v>
      </c>
      <c r="J51" s="40">
        <f t="shared" si="1"/>
        <v>56312.960000000006</v>
      </c>
      <c r="K51" s="40">
        <v>56312.959999999999</v>
      </c>
      <c r="L51" s="40">
        <f t="shared" si="2"/>
        <v>0</v>
      </c>
      <c r="M51" s="38" t="s">
        <v>35</v>
      </c>
      <c r="N51" s="54"/>
      <c r="O51" s="36"/>
      <c r="P51" s="40">
        <v>0</v>
      </c>
      <c r="Q51" s="40">
        <v>32709</v>
      </c>
      <c r="R51" s="41"/>
      <c r="S51" s="40">
        <v>4099.5600000000004</v>
      </c>
      <c r="T51" s="40">
        <v>0</v>
      </c>
      <c r="U51" s="40">
        <v>0</v>
      </c>
      <c r="V51" s="40">
        <v>0</v>
      </c>
      <c r="W51" s="40">
        <v>3950</v>
      </c>
      <c r="X51" s="40">
        <v>12298.68</v>
      </c>
      <c r="Y51" s="40">
        <v>0</v>
      </c>
      <c r="Z51" s="40">
        <v>0</v>
      </c>
      <c r="AA51" s="40">
        <v>0</v>
      </c>
      <c r="AB51" s="36">
        <f t="shared" si="4"/>
        <v>0</v>
      </c>
      <c r="AC51"/>
      <c r="AD51" s="37"/>
      <c r="AF51" s="1"/>
      <c r="AG51" s="1"/>
    </row>
    <row r="52" spans="1:33" x14ac:dyDescent="0.3">
      <c r="A52" s="50"/>
      <c r="B52" s="38" t="s">
        <v>344</v>
      </c>
      <c r="C52" s="50" t="s">
        <v>351</v>
      </c>
      <c r="D52" s="39">
        <v>45712</v>
      </c>
      <c r="E52" s="38" t="s">
        <v>40</v>
      </c>
      <c r="F52" s="38" t="s">
        <v>41</v>
      </c>
      <c r="G52" s="40">
        <v>0</v>
      </c>
      <c r="H52" s="40">
        <v>41061.64</v>
      </c>
      <c r="I52" s="40">
        <v>6569.86</v>
      </c>
      <c r="J52" s="40">
        <f t="shared" si="1"/>
        <v>47631.5</v>
      </c>
      <c r="K52" s="40">
        <v>0</v>
      </c>
      <c r="L52" s="40">
        <f t="shared" si="2"/>
        <v>47631.5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4061.64</v>
      </c>
      <c r="T52" s="40">
        <v>0</v>
      </c>
      <c r="U52" s="40">
        <v>0</v>
      </c>
      <c r="V52" s="40">
        <v>0</v>
      </c>
      <c r="W52" s="40">
        <v>37000</v>
      </c>
      <c r="X52" s="40">
        <v>0</v>
      </c>
      <c r="Y52" s="40">
        <v>0</v>
      </c>
      <c r="Z52" s="40">
        <v>0</v>
      </c>
      <c r="AA52" s="40">
        <v>0</v>
      </c>
      <c r="AB52" s="36">
        <f t="shared" si="4"/>
        <v>0</v>
      </c>
      <c r="AC52"/>
      <c r="AD52" s="37"/>
      <c r="AF52" s="1"/>
      <c r="AG52" s="1"/>
    </row>
    <row r="53" spans="1:33" x14ac:dyDescent="0.3">
      <c r="A53" s="38"/>
      <c r="B53" s="38" t="s">
        <v>345</v>
      </c>
      <c r="C53" s="38" t="s">
        <v>352</v>
      </c>
      <c r="D53" s="39">
        <v>45713</v>
      </c>
      <c r="E53" s="38" t="s">
        <v>40</v>
      </c>
      <c r="F53" s="38" t="s">
        <v>41</v>
      </c>
      <c r="G53" s="40">
        <v>0</v>
      </c>
      <c r="H53" s="40">
        <v>31019.93</v>
      </c>
      <c r="I53" s="40">
        <v>4963.1899999999996</v>
      </c>
      <c r="J53" s="40">
        <f t="shared" si="1"/>
        <v>35983.120000000003</v>
      </c>
      <c r="K53" s="40">
        <v>0</v>
      </c>
      <c r="L53" s="40">
        <f t="shared" si="2"/>
        <v>35983.120000000003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4084.16</v>
      </c>
      <c r="T53" s="40">
        <v>3737.5</v>
      </c>
      <c r="U53" s="40">
        <v>11723.27</v>
      </c>
      <c r="V53" s="40">
        <v>0</v>
      </c>
      <c r="W53" s="40">
        <v>11475</v>
      </c>
      <c r="X53" s="40">
        <v>0</v>
      </c>
      <c r="Y53" s="40">
        <v>0</v>
      </c>
      <c r="Z53" s="40">
        <v>0</v>
      </c>
      <c r="AA53" s="40">
        <v>0</v>
      </c>
      <c r="AB53" s="36">
        <f t="shared" si="4"/>
        <v>0</v>
      </c>
      <c r="AC53"/>
      <c r="AD53" s="37"/>
      <c r="AF53" s="1"/>
      <c r="AG53" s="1"/>
    </row>
    <row r="54" spans="1:33" x14ac:dyDescent="0.3">
      <c r="A54" s="50"/>
      <c r="B54" s="38" t="s">
        <v>346</v>
      </c>
      <c r="C54" s="50" t="s">
        <v>353</v>
      </c>
      <c r="D54" s="39">
        <v>45713</v>
      </c>
      <c r="E54" s="38" t="s">
        <v>40</v>
      </c>
      <c r="F54" s="38" t="s">
        <v>41</v>
      </c>
      <c r="G54" s="40">
        <v>0</v>
      </c>
      <c r="H54" s="40">
        <v>2982.36</v>
      </c>
      <c r="I54" s="40">
        <v>477.18</v>
      </c>
      <c r="J54" s="40">
        <f t="shared" si="1"/>
        <v>3459.54</v>
      </c>
      <c r="K54" s="40">
        <v>0</v>
      </c>
      <c r="L54" s="40">
        <f t="shared" si="2"/>
        <v>3459.54</v>
      </c>
      <c r="M54" s="38" t="s">
        <v>35</v>
      </c>
      <c r="N54" s="54"/>
      <c r="O54" s="36"/>
      <c r="P54" s="40">
        <v>0</v>
      </c>
      <c r="Q54" s="40">
        <v>0</v>
      </c>
      <c r="R54" s="41"/>
      <c r="S54" s="40">
        <v>2982.36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36">
        <f t="shared" si="4"/>
        <v>0</v>
      </c>
      <c r="AC54"/>
      <c r="AD54" s="37"/>
      <c r="AF54" s="1"/>
      <c r="AG54" s="1"/>
    </row>
    <row r="55" spans="1:33" x14ac:dyDescent="0.3">
      <c r="A55" s="38"/>
      <c r="B55" s="38" t="s">
        <v>347</v>
      </c>
      <c r="C55" s="38" t="s">
        <v>354</v>
      </c>
      <c r="D55" s="39">
        <v>45713</v>
      </c>
      <c r="E55" s="38" t="s">
        <v>42</v>
      </c>
      <c r="F55" s="38" t="s">
        <v>49</v>
      </c>
      <c r="G55" s="40">
        <v>781</v>
      </c>
      <c r="H55" s="40">
        <v>42337.5</v>
      </c>
      <c r="I55" s="40">
        <v>6774</v>
      </c>
      <c r="J55" s="40">
        <f t="shared" si="1"/>
        <v>49892.5</v>
      </c>
      <c r="K55" s="40">
        <v>69612.5</v>
      </c>
      <c r="L55" s="40">
        <f t="shared" si="2"/>
        <v>-19720</v>
      </c>
      <c r="M55" s="38" t="s">
        <v>35</v>
      </c>
      <c r="N55" s="54"/>
      <c r="O55" s="36"/>
      <c r="P55" s="40">
        <v>0</v>
      </c>
      <c r="Q55" s="40">
        <v>781</v>
      </c>
      <c r="R55" s="41"/>
      <c r="S55" s="40">
        <v>6390</v>
      </c>
      <c r="T55" s="40">
        <v>2350</v>
      </c>
      <c r="U55" s="40">
        <v>18000</v>
      </c>
      <c r="V55" s="40">
        <v>0</v>
      </c>
      <c r="W55" s="40">
        <v>14000</v>
      </c>
      <c r="X55" s="40">
        <v>0</v>
      </c>
      <c r="Y55" s="40">
        <v>0</v>
      </c>
      <c r="Z55" s="40">
        <v>0</v>
      </c>
      <c r="AA55" s="40">
        <v>1597.5</v>
      </c>
      <c r="AB55" s="36">
        <f t="shared" si="4"/>
        <v>0</v>
      </c>
      <c r="AC55"/>
      <c r="AD55" s="37"/>
      <c r="AF55" s="1"/>
      <c r="AG55" s="1"/>
    </row>
    <row r="56" spans="1:33" x14ac:dyDescent="0.3">
      <c r="A56" s="38"/>
      <c r="B56" s="38" t="s">
        <v>348</v>
      </c>
      <c r="C56" s="38" t="s">
        <v>355</v>
      </c>
      <c r="D56" s="39">
        <v>45713</v>
      </c>
      <c r="E56" s="38" t="s">
        <v>198</v>
      </c>
      <c r="F56" t="s">
        <v>200</v>
      </c>
      <c r="G56" s="40">
        <v>0</v>
      </c>
      <c r="H56" s="40">
        <v>22000</v>
      </c>
      <c r="I56" s="40">
        <v>3520</v>
      </c>
      <c r="J56" s="40">
        <f t="shared" si="1"/>
        <v>25520</v>
      </c>
      <c r="K56" s="40">
        <v>25520</v>
      </c>
      <c r="L56" s="40">
        <f t="shared" si="2"/>
        <v>0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0</v>
      </c>
      <c r="T56" s="40">
        <v>0</v>
      </c>
      <c r="U56" s="40">
        <v>0</v>
      </c>
      <c r="V56" s="40">
        <v>0</v>
      </c>
      <c r="W56" s="40">
        <v>22000</v>
      </c>
      <c r="X56" s="40">
        <v>0</v>
      </c>
      <c r="Y56" s="40">
        <v>0</v>
      </c>
      <c r="Z56" s="40">
        <v>0</v>
      </c>
      <c r="AA56" s="40">
        <v>0</v>
      </c>
      <c r="AB56" s="36">
        <f t="shared" si="4"/>
        <v>0</v>
      </c>
      <c r="AC56"/>
      <c r="AD56" s="37"/>
      <c r="AF56" s="1"/>
      <c r="AG56" s="1"/>
    </row>
    <row r="57" spans="1:33" x14ac:dyDescent="0.3">
      <c r="A57" s="50"/>
      <c r="B57" s="38" t="s">
        <v>356</v>
      </c>
      <c r="C57" s="50" t="s">
        <v>366</v>
      </c>
      <c r="D57" s="39">
        <v>45714</v>
      </c>
      <c r="E57" s="38" t="s">
        <v>40</v>
      </c>
      <c r="F57" s="38" t="s">
        <v>41</v>
      </c>
      <c r="G57" s="40">
        <v>0</v>
      </c>
      <c r="H57" s="40">
        <v>42268.959999999999</v>
      </c>
      <c r="I57" s="40">
        <v>6763.03</v>
      </c>
      <c r="J57" s="40">
        <f t="shared" si="1"/>
        <v>49031.99</v>
      </c>
      <c r="K57" s="40">
        <v>0</v>
      </c>
      <c r="L57" s="40">
        <f t="shared" si="2"/>
        <v>49031.99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4068.96</v>
      </c>
      <c r="T57" s="40">
        <v>0</v>
      </c>
      <c r="U57" s="40">
        <v>0</v>
      </c>
      <c r="V57" s="40">
        <v>0</v>
      </c>
      <c r="W57" s="40">
        <v>37000</v>
      </c>
      <c r="X57" s="40">
        <v>0</v>
      </c>
      <c r="Y57" s="40">
        <v>1200</v>
      </c>
      <c r="Z57" s="40">
        <v>0</v>
      </c>
      <c r="AA57" s="40">
        <v>0</v>
      </c>
      <c r="AB57" s="36">
        <f t="shared" si="4"/>
        <v>0</v>
      </c>
      <c r="AC57"/>
      <c r="AD57" s="37"/>
      <c r="AF57" s="1"/>
      <c r="AG57" s="1"/>
    </row>
    <row r="58" spans="1:33" x14ac:dyDescent="0.3">
      <c r="A58" s="50"/>
      <c r="B58" s="38" t="s">
        <v>357</v>
      </c>
      <c r="C58" s="50" t="s">
        <v>367</v>
      </c>
      <c r="D58" s="39">
        <v>45714</v>
      </c>
      <c r="E58" s="38" t="s">
        <v>198</v>
      </c>
      <c r="F58" t="s">
        <v>200</v>
      </c>
      <c r="G58" s="40">
        <v>0</v>
      </c>
      <c r="H58" s="40">
        <v>22000</v>
      </c>
      <c r="I58" s="40">
        <v>3520</v>
      </c>
      <c r="J58" s="40">
        <f t="shared" si="1"/>
        <v>25520</v>
      </c>
      <c r="K58" s="40">
        <v>25520</v>
      </c>
      <c r="L58" s="40">
        <f t="shared" si="2"/>
        <v>0</v>
      </c>
      <c r="M58" s="38" t="s">
        <v>35</v>
      </c>
      <c r="N58" s="54"/>
      <c r="O58" s="36"/>
      <c r="P58" s="40">
        <v>0</v>
      </c>
      <c r="Q58" s="40">
        <v>0</v>
      </c>
      <c r="R58" s="41"/>
      <c r="S58" s="40">
        <v>0</v>
      </c>
      <c r="T58" s="40">
        <v>0</v>
      </c>
      <c r="U58" s="40">
        <v>0</v>
      </c>
      <c r="V58" s="40">
        <v>0</v>
      </c>
      <c r="W58" s="40">
        <v>22000</v>
      </c>
      <c r="X58" s="40">
        <v>0</v>
      </c>
      <c r="Y58" s="40">
        <v>0</v>
      </c>
      <c r="Z58" s="40">
        <v>0</v>
      </c>
      <c r="AA58" s="40">
        <v>0</v>
      </c>
      <c r="AB58" s="36">
        <f t="shared" si="4"/>
        <v>0</v>
      </c>
      <c r="AC58"/>
      <c r="AD58" s="37"/>
      <c r="AF58" s="1"/>
      <c r="AG58" s="1"/>
    </row>
    <row r="59" spans="1:33" x14ac:dyDescent="0.3">
      <c r="A59" s="38"/>
      <c r="B59" s="38" t="s">
        <v>358</v>
      </c>
      <c r="C59" s="38" t="s">
        <v>368</v>
      </c>
      <c r="D59" s="39">
        <v>45714</v>
      </c>
      <c r="E59" s="38" t="s">
        <v>198</v>
      </c>
      <c r="F59" t="s">
        <v>200</v>
      </c>
      <c r="G59" s="40">
        <v>0</v>
      </c>
      <c r="H59" s="40">
        <v>22000</v>
      </c>
      <c r="I59" s="40">
        <v>3520</v>
      </c>
      <c r="J59" s="40">
        <f t="shared" si="1"/>
        <v>25520</v>
      </c>
      <c r="K59" s="40">
        <v>25520</v>
      </c>
      <c r="L59" s="40">
        <f t="shared" si="2"/>
        <v>0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0</v>
      </c>
      <c r="T59" s="40">
        <v>0</v>
      </c>
      <c r="U59" s="40">
        <v>0</v>
      </c>
      <c r="V59" s="40">
        <v>0</v>
      </c>
      <c r="W59" s="40">
        <v>22000</v>
      </c>
      <c r="X59" s="40">
        <v>0</v>
      </c>
      <c r="Y59" s="40">
        <v>0</v>
      </c>
      <c r="Z59" s="40">
        <v>0</v>
      </c>
      <c r="AA59" s="40">
        <v>0</v>
      </c>
      <c r="AB59" s="36">
        <f t="shared" si="4"/>
        <v>0</v>
      </c>
      <c r="AC59"/>
      <c r="AD59" s="37"/>
      <c r="AF59" s="1"/>
      <c r="AG59" s="1"/>
    </row>
    <row r="60" spans="1:33" x14ac:dyDescent="0.3">
      <c r="A60" s="38"/>
      <c r="B60" s="38" t="s">
        <v>359</v>
      </c>
      <c r="C60" s="38" t="s">
        <v>369</v>
      </c>
      <c r="D60" s="39">
        <v>45714</v>
      </c>
      <c r="E60" s="38" t="s">
        <v>61</v>
      </c>
      <c r="F60" s="38" t="s">
        <v>156</v>
      </c>
      <c r="G60" s="40">
        <v>0</v>
      </c>
      <c r="H60" s="40">
        <v>17000</v>
      </c>
      <c r="I60" s="40">
        <v>2720</v>
      </c>
      <c r="J60" s="40">
        <f t="shared" si="1"/>
        <v>19720</v>
      </c>
      <c r="K60" s="40">
        <v>19720</v>
      </c>
      <c r="L60" s="40">
        <f t="shared" si="2"/>
        <v>0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0</v>
      </c>
      <c r="T60" s="40">
        <v>0</v>
      </c>
      <c r="U60" s="40">
        <v>0</v>
      </c>
      <c r="V60" s="40">
        <v>0</v>
      </c>
      <c r="W60" s="40">
        <v>17000</v>
      </c>
      <c r="X60" s="40">
        <v>0</v>
      </c>
      <c r="Y60" s="40">
        <v>0</v>
      </c>
      <c r="Z60" s="40">
        <v>0</v>
      </c>
      <c r="AA60" s="40">
        <v>0</v>
      </c>
      <c r="AB60" s="36">
        <f t="shared" si="4"/>
        <v>0</v>
      </c>
      <c r="AC60"/>
      <c r="AD60" s="37"/>
      <c r="AF60" s="1"/>
      <c r="AG60" s="1"/>
    </row>
    <row r="61" spans="1:33" x14ac:dyDescent="0.3">
      <c r="A61" s="38"/>
      <c r="B61" s="38" t="s">
        <v>360</v>
      </c>
      <c r="C61" s="38" t="s">
        <v>370</v>
      </c>
      <c r="D61" s="39">
        <v>45714</v>
      </c>
      <c r="E61" s="38" t="s">
        <v>198</v>
      </c>
      <c r="F61" t="s">
        <v>200</v>
      </c>
      <c r="G61" s="40">
        <v>0</v>
      </c>
      <c r="H61" s="40">
        <v>22000</v>
      </c>
      <c r="I61" s="40">
        <v>3520</v>
      </c>
      <c r="J61" s="40">
        <f t="shared" si="1"/>
        <v>25520</v>
      </c>
      <c r="K61" s="40">
        <v>25520</v>
      </c>
      <c r="L61" s="40">
        <f t="shared" si="2"/>
        <v>0</v>
      </c>
      <c r="M61" s="38" t="s">
        <v>35</v>
      </c>
      <c r="N61" s="54"/>
      <c r="O61" s="36"/>
      <c r="P61" s="40">
        <v>0</v>
      </c>
      <c r="Q61" s="40">
        <v>0</v>
      </c>
      <c r="R61" s="41"/>
      <c r="S61" s="40">
        <v>0</v>
      </c>
      <c r="T61" s="40">
        <v>0</v>
      </c>
      <c r="U61" s="40">
        <v>0</v>
      </c>
      <c r="V61" s="40">
        <v>0</v>
      </c>
      <c r="W61" s="40">
        <v>22000</v>
      </c>
      <c r="X61" s="40">
        <v>0</v>
      </c>
      <c r="Y61" s="40">
        <v>0</v>
      </c>
      <c r="Z61" s="40">
        <v>0</v>
      </c>
      <c r="AA61" s="40">
        <v>0</v>
      </c>
      <c r="AB61" s="36">
        <f t="shared" si="4"/>
        <v>0</v>
      </c>
      <c r="AC61"/>
      <c r="AD61" s="37"/>
      <c r="AF61" s="1"/>
      <c r="AG61" s="1"/>
    </row>
    <row r="62" spans="1:33" x14ac:dyDescent="0.3">
      <c r="A62" s="38"/>
      <c r="B62" s="38" t="s">
        <v>361</v>
      </c>
      <c r="C62" s="38" t="s">
        <v>371</v>
      </c>
      <c r="D62" s="39">
        <v>45714</v>
      </c>
      <c r="E62" s="38" t="s">
        <v>198</v>
      </c>
      <c r="F62" t="s">
        <v>200</v>
      </c>
      <c r="G62" s="40">
        <v>0</v>
      </c>
      <c r="H62" s="40">
        <v>22000</v>
      </c>
      <c r="I62" s="40">
        <v>3520</v>
      </c>
      <c r="J62" s="40">
        <f t="shared" si="1"/>
        <v>25520</v>
      </c>
      <c r="K62" s="40">
        <v>25520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0</v>
      </c>
      <c r="R62" s="41"/>
      <c r="S62" s="40">
        <v>0</v>
      </c>
      <c r="T62" s="40">
        <v>0</v>
      </c>
      <c r="U62" s="40">
        <v>0</v>
      </c>
      <c r="V62" s="40">
        <v>0</v>
      </c>
      <c r="W62" s="40">
        <v>22000</v>
      </c>
      <c r="X62" s="40">
        <v>0</v>
      </c>
      <c r="Y62" s="40">
        <v>0</v>
      </c>
      <c r="Z62" s="40">
        <v>0</v>
      </c>
      <c r="AA62" s="40">
        <v>0</v>
      </c>
      <c r="AB62" s="36">
        <f t="shared" si="4"/>
        <v>0</v>
      </c>
      <c r="AC62"/>
      <c r="AD62" s="37"/>
      <c r="AF62" s="1"/>
      <c r="AG62" s="1"/>
    </row>
    <row r="63" spans="1:33" x14ac:dyDescent="0.3">
      <c r="A63" s="38"/>
      <c r="B63" s="38" t="s">
        <v>362</v>
      </c>
      <c r="C63" s="38" t="s">
        <v>372</v>
      </c>
      <c r="D63" s="39">
        <v>45714</v>
      </c>
      <c r="E63" s="38" t="s">
        <v>22</v>
      </c>
      <c r="F63" s="38" t="s">
        <v>45</v>
      </c>
      <c r="G63" s="40">
        <v>6558</v>
      </c>
      <c r="H63" s="40">
        <v>4099.5600000000004</v>
      </c>
      <c r="I63" s="40">
        <v>655.93</v>
      </c>
      <c r="J63" s="40">
        <f t="shared" si="1"/>
        <v>11313.490000000002</v>
      </c>
      <c r="K63" s="40">
        <v>11379.49</v>
      </c>
      <c r="L63" s="40">
        <f t="shared" si="2"/>
        <v>-65.999999999998181</v>
      </c>
      <c r="M63" s="38" t="s">
        <v>35</v>
      </c>
      <c r="N63" s="54"/>
      <c r="O63" s="36"/>
      <c r="P63" s="40">
        <v>0</v>
      </c>
      <c r="Q63" s="40">
        <v>6558</v>
      </c>
      <c r="R63" s="41"/>
      <c r="S63" s="40">
        <v>4099.5600000000004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36">
        <f t="shared" si="4"/>
        <v>0</v>
      </c>
      <c r="AC63"/>
      <c r="AD63" s="37"/>
      <c r="AF63" s="1"/>
      <c r="AG63" s="1"/>
    </row>
    <row r="64" spans="1:33" x14ac:dyDescent="0.3">
      <c r="A64" s="38"/>
      <c r="B64" s="38" t="s">
        <v>363</v>
      </c>
      <c r="C64" s="38" t="s">
        <v>373</v>
      </c>
      <c r="D64" s="39">
        <v>45714</v>
      </c>
      <c r="E64" s="38" t="s">
        <v>22</v>
      </c>
      <c r="F64" s="38" t="s">
        <v>45</v>
      </c>
      <c r="G64" s="40">
        <v>336</v>
      </c>
      <c r="H64" s="40">
        <v>6992.45</v>
      </c>
      <c r="I64" s="40">
        <v>1118.79</v>
      </c>
      <c r="J64" s="40">
        <f t="shared" si="1"/>
        <v>8447.24</v>
      </c>
      <c r="K64" s="40">
        <v>8447.24</v>
      </c>
      <c r="L64" s="40">
        <f t="shared" si="2"/>
        <v>0</v>
      </c>
      <c r="M64" s="38" t="s">
        <v>35</v>
      </c>
      <c r="N64" s="54"/>
      <c r="O64" s="36"/>
      <c r="P64" s="40">
        <v>0</v>
      </c>
      <c r="Q64" s="40">
        <v>336</v>
      </c>
      <c r="R64" s="41"/>
      <c r="S64" s="40">
        <v>3042.45</v>
      </c>
      <c r="T64" s="40">
        <v>0</v>
      </c>
      <c r="U64" s="40">
        <v>0</v>
      </c>
      <c r="V64" s="40">
        <v>0</v>
      </c>
      <c r="W64" s="40">
        <v>3950</v>
      </c>
      <c r="X64" s="40">
        <v>0</v>
      </c>
      <c r="Y64" s="40">
        <v>0</v>
      </c>
      <c r="Z64" s="40">
        <v>0</v>
      </c>
      <c r="AA64" s="40">
        <v>0</v>
      </c>
      <c r="AB64" s="36">
        <f t="shared" si="4"/>
        <v>0</v>
      </c>
      <c r="AC64"/>
      <c r="AD64" s="37"/>
      <c r="AF64" s="1"/>
      <c r="AG64" s="1"/>
    </row>
    <row r="65" spans="1:33" x14ac:dyDescent="0.3">
      <c r="A65" s="38"/>
      <c r="B65" s="38" t="s">
        <v>364</v>
      </c>
      <c r="C65" s="38" t="s">
        <v>374</v>
      </c>
      <c r="D65" s="39">
        <v>45714</v>
      </c>
      <c r="E65" s="38" t="s">
        <v>22</v>
      </c>
      <c r="F65" s="38" t="s">
        <v>45</v>
      </c>
      <c r="G65" s="40">
        <v>336</v>
      </c>
      <c r="H65" s="40">
        <v>14034.9</v>
      </c>
      <c r="I65" s="40">
        <v>2245.58</v>
      </c>
      <c r="J65" s="40">
        <f t="shared" si="1"/>
        <v>16616.48</v>
      </c>
      <c r="K65" s="40">
        <v>16616.48</v>
      </c>
      <c r="L65" s="40">
        <f t="shared" si="2"/>
        <v>0</v>
      </c>
      <c r="M65" s="38" t="s">
        <v>35</v>
      </c>
      <c r="N65" s="54"/>
      <c r="O65" s="36"/>
      <c r="P65" s="40">
        <v>0</v>
      </c>
      <c r="Q65" s="40">
        <v>336</v>
      </c>
      <c r="R65" s="41"/>
      <c r="S65" s="40">
        <v>6084.9</v>
      </c>
      <c r="T65" s="40">
        <v>0</v>
      </c>
      <c r="U65" s="40">
        <v>0</v>
      </c>
      <c r="V65" s="40">
        <v>0</v>
      </c>
      <c r="W65" s="40">
        <v>7950</v>
      </c>
      <c r="X65" s="40">
        <v>0</v>
      </c>
      <c r="Y65" s="40">
        <v>0</v>
      </c>
      <c r="Z65" s="40">
        <v>0</v>
      </c>
      <c r="AA65" s="40">
        <v>0</v>
      </c>
      <c r="AB65" s="36">
        <f t="shared" si="4"/>
        <v>0</v>
      </c>
      <c r="AC65"/>
      <c r="AD65" s="37"/>
      <c r="AF65" s="1"/>
      <c r="AG65" s="1"/>
    </row>
    <row r="66" spans="1:33" x14ac:dyDescent="0.3">
      <c r="A66" s="38"/>
      <c r="B66" s="38" t="s">
        <v>365</v>
      </c>
      <c r="C66" s="38" t="s">
        <v>375</v>
      </c>
      <c r="D66" s="39">
        <v>45714</v>
      </c>
      <c r="E66" s="38" t="s">
        <v>40</v>
      </c>
      <c r="F66" s="38" t="s">
        <v>41</v>
      </c>
      <c r="G66" s="40">
        <v>0</v>
      </c>
      <c r="H66" s="40">
        <v>101221.38</v>
      </c>
      <c r="I66" s="40">
        <v>16195.42</v>
      </c>
      <c r="J66" s="40">
        <f t="shared" si="1"/>
        <v>117416.8</v>
      </c>
      <c r="K66" s="40">
        <v>0</v>
      </c>
      <c r="L66" s="40">
        <f t="shared" si="2"/>
        <v>117416.8</v>
      </c>
      <c r="M66" s="38" t="s">
        <v>35</v>
      </c>
      <c r="N66" s="54"/>
      <c r="O66" s="36"/>
      <c r="P66" s="40">
        <v>0</v>
      </c>
      <c r="Q66" s="40">
        <v>0</v>
      </c>
      <c r="R66" s="41"/>
      <c r="S66" s="40">
        <v>6149.34</v>
      </c>
      <c r="T66" s="40">
        <v>0</v>
      </c>
      <c r="U66" s="40">
        <v>29072.04</v>
      </c>
      <c r="V66" s="40">
        <v>0</v>
      </c>
      <c r="W66" s="40">
        <v>0</v>
      </c>
      <c r="X66" s="40">
        <v>0</v>
      </c>
      <c r="Y66" s="40">
        <v>66000</v>
      </c>
      <c r="Z66" s="40">
        <v>0</v>
      </c>
      <c r="AA66" s="40">
        <v>0</v>
      </c>
      <c r="AB66" s="36">
        <f t="shared" ref="AB66:AB76" si="5">+SUM(S66:AA66)-H66</f>
        <v>0</v>
      </c>
      <c r="AC66"/>
      <c r="AD66" s="37"/>
      <c r="AF66" s="1"/>
      <c r="AG66" s="1"/>
    </row>
    <row r="67" spans="1:33" x14ac:dyDescent="0.3">
      <c r="A67" s="38"/>
      <c r="B67" s="38" t="s">
        <v>379</v>
      </c>
      <c r="C67" s="38" t="s">
        <v>384</v>
      </c>
      <c r="D67" s="39">
        <v>45715</v>
      </c>
      <c r="E67" s="38" t="s">
        <v>224</v>
      </c>
      <c r="F67" s="38" t="s">
        <v>221</v>
      </c>
      <c r="G67" s="40">
        <v>2135</v>
      </c>
      <c r="H67" s="40">
        <v>11572.07</v>
      </c>
      <c r="I67" s="40">
        <v>1851.53</v>
      </c>
      <c r="J67" s="40">
        <f t="shared" ref="J67:J75" si="6">SUM(G67:I67)</f>
        <v>15558.6</v>
      </c>
      <c r="K67" s="40">
        <v>15558.6</v>
      </c>
      <c r="L67" s="40">
        <f t="shared" ref="L67:L75" si="7">+J67-K67</f>
        <v>0</v>
      </c>
      <c r="M67" s="38" t="s">
        <v>35</v>
      </c>
      <c r="N67" s="54"/>
      <c r="O67" s="36"/>
      <c r="P67" s="40">
        <v>0</v>
      </c>
      <c r="Q67" s="40">
        <v>2135</v>
      </c>
      <c r="R67" s="41"/>
      <c r="S67" s="40">
        <v>4500</v>
      </c>
      <c r="T67" s="40">
        <v>0</v>
      </c>
      <c r="U67" s="40">
        <v>5047.07</v>
      </c>
      <c r="V67" s="40">
        <v>0</v>
      </c>
      <c r="W67" s="40">
        <v>2025</v>
      </c>
      <c r="X67" s="40">
        <v>0</v>
      </c>
      <c r="Y67" s="40">
        <v>0</v>
      </c>
      <c r="Z67" s="40">
        <v>0</v>
      </c>
      <c r="AA67" s="40">
        <v>0</v>
      </c>
      <c r="AB67" s="36">
        <f t="shared" si="5"/>
        <v>0</v>
      </c>
      <c r="AC67"/>
      <c r="AD67" s="37"/>
      <c r="AF67" s="1"/>
      <c r="AG67" s="1"/>
    </row>
    <row r="68" spans="1:33" x14ac:dyDescent="0.3">
      <c r="A68" s="38"/>
      <c r="B68" s="38" t="s">
        <v>380</v>
      </c>
      <c r="C68" s="38" t="s">
        <v>385</v>
      </c>
      <c r="D68" s="39">
        <v>45715</v>
      </c>
      <c r="E68" s="38" t="s">
        <v>42</v>
      </c>
      <c r="F68" s="38" t="s">
        <v>49</v>
      </c>
      <c r="G68" s="40">
        <v>336</v>
      </c>
      <c r="H68" s="40">
        <v>16149.34</v>
      </c>
      <c r="I68" s="40">
        <v>2583.89</v>
      </c>
      <c r="J68" s="40">
        <f t="shared" si="6"/>
        <v>19069.23</v>
      </c>
      <c r="K68" s="40">
        <v>28419.599999999999</v>
      </c>
      <c r="L68" s="40">
        <f t="shared" si="7"/>
        <v>-9350.369999999999</v>
      </c>
      <c r="M68" s="38" t="s">
        <v>35</v>
      </c>
      <c r="N68" s="54"/>
      <c r="O68" s="36"/>
      <c r="P68" s="40">
        <v>0</v>
      </c>
      <c r="Q68" s="40">
        <v>336</v>
      </c>
      <c r="R68" s="41"/>
      <c r="S68" s="40">
        <v>6149.34</v>
      </c>
      <c r="T68" s="40">
        <v>0</v>
      </c>
      <c r="U68" s="40">
        <v>10000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36">
        <f t="shared" si="5"/>
        <v>0</v>
      </c>
      <c r="AC68"/>
      <c r="AD68" s="37"/>
      <c r="AF68" s="1"/>
      <c r="AG68" s="1"/>
    </row>
    <row r="69" spans="1:33" x14ac:dyDescent="0.3">
      <c r="A69" s="38"/>
      <c r="B69" s="38" t="s">
        <v>381</v>
      </c>
      <c r="C69" s="38" t="s">
        <v>386</v>
      </c>
      <c r="D69" s="39">
        <v>45715</v>
      </c>
      <c r="E69" s="38" t="s">
        <v>22</v>
      </c>
      <c r="F69" s="38" t="s">
        <v>45</v>
      </c>
      <c r="G69" s="40">
        <v>5869</v>
      </c>
      <c r="H69" s="40">
        <v>4092.8</v>
      </c>
      <c r="I69" s="40">
        <v>654.85</v>
      </c>
      <c r="J69" s="40">
        <f t="shared" si="6"/>
        <v>10616.65</v>
      </c>
      <c r="K69" s="40">
        <v>10616.65</v>
      </c>
      <c r="L69" s="40">
        <f t="shared" si="7"/>
        <v>0</v>
      </c>
      <c r="M69" s="38" t="s">
        <v>35</v>
      </c>
      <c r="N69" s="54"/>
      <c r="O69" s="36"/>
      <c r="P69" s="40">
        <v>0</v>
      </c>
      <c r="Q69" s="40">
        <v>5869</v>
      </c>
      <c r="R69" s="41"/>
      <c r="S69" s="40">
        <v>4092.8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36">
        <f t="shared" si="5"/>
        <v>0</v>
      </c>
      <c r="AC69"/>
      <c r="AD69" s="37"/>
      <c r="AF69" s="1"/>
      <c r="AG69" s="1"/>
    </row>
    <row r="70" spans="1:33" x14ac:dyDescent="0.3">
      <c r="A70" s="38"/>
      <c r="B70" s="38" t="s">
        <v>382</v>
      </c>
      <c r="C70" s="38" t="s">
        <v>387</v>
      </c>
      <c r="D70" s="39">
        <v>45715</v>
      </c>
      <c r="E70" s="38" t="s">
        <v>22</v>
      </c>
      <c r="F70" s="38" t="s">
        <v>45</v>
      </c>
      <c r="G70" s="40">
        <v>73646</v>
      </c>
      <c r="H70" s="40">
        <v>20248.64</v>
      </c>
      <c r="I70" s="40">
        <v>3239.79</v>
      </c>
      <c r="J70" s="40">
        <f t="shared" si="6"/>
        <v>97134.43</v>
      </c>
      <c r="K70" s="40">
        <v>97237.42</v>
      </c>
      <c r="L70" s="40">
        <f t="shared" si="7"/>
        <v>-102.99000000000524</v>
      </c>
      <c r="M70" s="38" t="s">
        <v>35</v>
      </c>
      <c r="N70" s="54"/>
      <c r="O70" s="36"/>
      <c r="P70" s="40">
        <v>0</v>
      </c>
      <c r="Q70" s="40">
        <v>73646</v>
      </c>
      <c r="R70" s="41"/>
      <c r="S70" s="40">
        <v>4074.66</v>
      </c>
      <c r="T70" s="40">
        <v>0</v>
      </c>
      <c r="U70" s="40">
        <v>0</v>
      </c>
      <c r="V70" s="40">
        <v>0</v>
      </c>
      <c r="W70" s="40">
        <v>3950</v>
      </c>
      <c r="X70" s="40">
        <v>12223.98</v>
      </c>
      <c r="Y70" s="40">
        <v>0</v>
      </c>
      <c r="Z70" s="40">
        <v>0</v>
      </c>
      <c r="AA70" s="40">
        <v>0</v>
      </c>
      <c r="AB70" s="36">
        <f t="shared" si="5"/>
        <v>0</v>
      </c>
      <c r="AC70"/>
      <c r="AD70" s="37"/>
      <c r="AF70" s="1"/>
      <c r="AG70" s="1"/>
    </row>
    <row r="71" spans="1:33" x14ac:dyDescent="0.3">
      <c r="A71" s="38"/>
      <c r="B71" s="38" t="s">
        <v>383</v>
      </c>
      <c r="C71" s="38" t="s">
        <v>388</v>
      </c>
      <c r="D71" s="39">
        <v>45715</v>
      </c>
      <c r="E71" s="38" t="s">
        <v>61</v>
      </c>
      <c r="F71" s="38" t="s">
        <v>156</v>
      </c>
      <c r="G71" s="40">
        <v>0</v>
      </c>
      <c r="H71" s="40">
        <v>13605.05</v>
      </c>
      <c r="I71" s="40">
        <v>2176.81</v>
      </c>
      <c r="J71" s="40">
        <f t="shared" si="6"/>
        <v>15781.859999999999</v>
      </c>
      <c r="K71" s="40">
        <v>15781.86</v>
      </c>
      <c r="L71" s="40">
        <f t="shared" si="7"/>
        <v>0</v>
      </c>
      <c r="M71" s="38" t="s">
        <v>35</v>
      </c>
      <c r="N71" s="54"/>
      <c r="O71" s="36"/>
      <c r="P71" s="40">
        <v>0</v>
      </c>
      <c r="Q71" s="40">
        <v>0</v>
      </c>
      <c r="R71" s="41"/>
      <c r="S71" s="40">
        <v>0</v>
      </c>
      <c r="T71" s="40">
        <v>0</v>
      </c>
      <c r="U71" s="40">
        <v>0</v>
      </c>
      <c r="V71" s="40">
        <v>0</v>
      </c>
      <c r="W71" s="40">
        <v>13605.05</v>
      </c>
      <c r="X71" s="40">
        <v>0</v>
      </c>
      <c r="Y71" s="40">
        <v>0</v>
      </c>
      <c r="Z71" s="40">
        <v>0</v>
      </c>
      <c r="AA71" s="40">
        <v>0</v>
      </c>
      <c r="AB71" s="36">
        <f t="shared" si="5"/>
        <v>0</v>
      </c>
      <c r="AC71"/>
      <c r="AD71" s="37"/>
      <c r="AF71" s="1"/>
      <c r="AG71" s="1"/>
    </row>
    <row r="72" spans="1:33" x14ac:dyDescent="0.3">
      <c r="A72" s="38"/>
      <c r="B72" s="38" t="s">
        <v>392</v>
      </c>
      <c r="C72" s="38" t="s">
        <v>394</v>
      </c>
      <c r="D72" s="39">
        <v>45716</v>
      </c>
      <c r="E72" s="38" t="s">
        <v>42</v>
      </c>
      <c r="F72" s="38" t="s">
        <v>49</v>
      </c>
      <c r="G72" s="40">
        <v>444372</v>
      </c>
      <c r="H72" s="40">
        <v>42762.85</v>
      </c>
      <c r="I72" s="40">
        <v>6842.06</v>
      </c>
      <c r="J72" s="40">
        <f t="shared" si="6"/>
        <v>493976.91</v>
      </c>
      <c r="K72" s="40">
        <v>492021.85</v>
      </c>
      <c r="L72" s="40">
        <f t="shared" si="7"/>
        <v>1955.0599999999977</v>
      </c>
      <c r="M72" s="38" t="s">
        <v>35</v>
      </c>
      <c r="N72" s="54"/>
      <c r="O72" s="36"/>
      <c r="P72" s="40">
        <v>0</v>
      </c>
      <c r="Q72" s="40">
        <v>444372</v>
      </c>
      <c r="R72" s="41"/>
      <c r="S72" s="40">
        <v>7762.85</v>
      </c>
      <c r="T72" s="40">
        <v>0</v>
      </c>
      <c r="U72" s="40">
        <v>35000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36">
        <f t="shared" si="5"/>
        <v>0</v>
      </c>
      <c r="AC72"/>
      <c r="AD72" s="37"/>
      <c r="AF72" s="1"/>
      <c r="AG72" s="1"/>
    </row>
    <row r="73" spans="1:33" x14ac:dyDescent="0.3">
      <c r="A73" s="38"/>
      <c r="B73" s="38" t="s">
        <v>393</v>
      </c>
      <c r="C73" s="38" t="s">
        <v>395</v>
      </c>
      <c r="D73" s="39">
        <v>45716</v>
      </c>
      <c r="E73" s="38" t="s">
        <v>198</v>
      </c>
      <c r="F73" t="s">
        <v>200</v>
      </c>
      <c r="G73" s="40">
        <v>0</v>
      </c>
      <c r="H73" s="40">
        <v>22000</v>
      </c>
      <c r="I73" s="40">
        <v>3520</v>
      </c>
      <c r="J73" s="40">
        <f t="shared" si="6"/>
        <v>25520</v>
      </c>
      <c r="K73" s="40">
        <v>25520</v>
      </c>
      <c r="L73" s="40">
        <f t="shared" si="7"/>
        <v>0</v>
      </c>
      <c r="M73" s="38" t="s">
        <v>35</v>
      </c>
      <c r="N73" s="54"/>
      <c r="O73" s="36"/>
      <c r="P73" s="40">
        <v>0</v>
      </c>
      <c r="Q73" s="40">
        <v>0</v>
      </c>
      <c r="R73" s="41"/>
      <c r="S73" s="40">
        <v>0</v>
      </c>
      <c r="T73" s="40">
        <v>0</v>
      </c>
      <c r="U73" s="40">
        <v>0</v>
      </c>
      <c r="V73" s="40">
        <v>0</v>
      </c>
      <c r="W73" s="40">
        <v>22000</v>
      </c>
      <c r="X73" s="40">
        <v>0</v>
      </c>
      <c r="Y73" s="40">
        <v>0</v>
      </c>
      <c r="Z73" s="40">
        <v>0</v>
      </c>
      <c r="AA73" s="40">
        <v>0</v>
      </c>
      <c r="AB73" s="36">
        <f t="shared" si="5"/>
        <v>0</v>
      </c>
      <c r="AC73"/>
      <c r="AD73" s="37"/>
      <c r="AF73" s="1"/>
      <c r="AG73" s="1"/>
    </row>
    <row r="74" spans="1:33" x14ac:dyDescent="0.3">
      <c r="A74" s="38"/>
      <c r="B74" s="38"/>
      <c r="C74" s="38"/>
      <c r="D74" s="39"/>
      <c r="E74" s="38"/>
      <c r="F74" s="38"/>
      <c r="G74" s="40"/>
      <c r="H74" s="40"/>
      <c r="I74" s="40"/>
      <c r="J74" s="40">
        <f t="shared" si="6"/>
        <v>0</v>
      </c>
      <c r="K74" s="40"/>
      <c r="L74" s="40">
        <f t="shared" si="7"/>
        <v>0</v>
      </c>
      <c r="M74" s="38"/>
      <c r="N74" s="54"/>
      <c r="O74" s="36"/>
      <c r="P74" s="40"/>
      <c r="Q74" s="40"/>
      <c r="R74" s="41"/>
      <c r="S74" s="40"/>
      <c r="T74" s="40"/>
      <c r="U74" s="40"/>
      <c r="V74" s="40"/>
      <c r="W74" s="40"/>
      <c r="X74" s="40"/>
      <c r="Y74" s="40"/>
      <c r="Z74" s="40"/>
      <c r="AA74" s="40"/>
      <c r="AB74" s="36">
        <f t="shared" si="5"/>
        <v>0</v>
      </c>
      <c r="AC74"/>
      <c r="AD74" s="37"/>
      <c r="AF74" s="1"/>
      <c r="AG74" s="1"/>
    </row>
    <row r="75" spans="1:33" x14ac:dyDescent="0.3">
      <c r="A75" s="38"/>
      <c r="B75" s="38"/>
      <c r="C75" s="38"/>
      <c r="D75" s="39"/>
      <c r="E75" s="38"/>
      <c r="F75" s="38"/>
      <c r="G75" s="40"/>
      <c r="H75" s="40"/>
      <c r="I75" s="40"/>
      <c r="J75" s="40">
        <f t="shared" si="6"/>
        <v>0</v>
      </c>
      <c r="K75" s="40"/>
      <c r="L75" s="40">
        <f t="shared" si="7"/>
        <v>0</v>
      </c>
      <c r="M75" s="38"/>
      <c r="N75" s="54"/>
      <c r="O75" s="36"/>
      <c r="P75" s="40"/>
      <c r="Q75" s="40"/>
      <c r="R75" s="41"/>
      <c r="S75" s="40"/>
      <c r="T75" s="40"/>
      <c r="U75" s="40"/>
      <c r="V75" s="40"/>
      <c r="W75" s="40"/>
      <c r="X75" s="40"/>
      <c r="Y75" s="40"/>
      <c r="Z75" s="40"/>
      <c r="AA75" s="40"/>
      <c r="AB75" s="36">
        <f t="shared" si="5"/>
        <v>0</v>
      </c>
      <c r="AC75"/>
      <c r="AD75" s="37"/>
      <c r="AF75" s="1"/>
      <c r="AG75" s="1"/>
    </row>
    <row r="76" spans="1:33" x14ac:dyDescent="0.3">
      <c r="A76" s="50"/>
      <c r="B76" s="38"/>
      <c r="C76" s="50"/>
      <c r="D76" s="39"/>
      <c r="E76" s="38"/>
      <c r="F76" s="38"/>
      <c r="G76" s="40"/>
      <c r="H76" s="40"/>
      <c r="I76" s="40"/>
      <c r="J76" s="40"/>
      <c r="K76" s="40"/>
      <c r="L76" s="40"/>
      <c r="M76" s="38" t="s">
        <v>35</v>
      </c>
      <c r="N76" s="54"/>
      <c r="O76" s="36"/>
      <c r="P76" s="40"/>
      <c r="Q76" s="40"/>
      <c r="R76" s="41"/>
      <c r="S76" s="40"/>
      <c r="T76" s="40"/>
      <c r="U76" s="40"/>
      <c r="V76" s="40"/>
      <c r="W76" s="40"/>
      <c r="X76" s="40"/>
      <c r="Y76" s="40"/>
      <c r="Z76" s="40"/>
      <c r="AA76" s="40"/>
      <c r="AB76" s="36">
        <f t="shared" si="5"/>
        <v>0</v>
      </c>
      <c r="AC76"/>
      <c r="AD76" s="37"/>
      <c r="AF76" s="1"/>
      <c r="AG76" s="1"/>
    </row>
    <row r="77" spans="1:33" ht="15" thickBot="1" x14ac:dyDescent="0.35">
      <c r="G77" s="16">
        <f t="shared" ref="G77:L77" si="8">+SUM(G2:G76)</f>
        <v>1381970</v>
      </c>
      <c r="H77" s="16">
        <f t="shared" si="8"/>
        <v>1973125.49</v>
      </c>
      <c r="I77" s="16">
        <f t="shared" si="8"/>
        <v>315486.86000000004</v>
      </c>
      <c r="J77" s="16">
        <f t="shared" si="8"/>
        <v>3670582.35</v>
      </c>
      <c r="K77" s="16">
        <f t="shared" si="8"/>
        <v>3930425.2399999998</v>
      </c>
      <c r="L77" s="16">
        <f t="shared" si="8"/>
        <v>-259842.88999999984</v>
      </c>
      <c r="P77" s="16">
        <f>+SUM(P2:P76)</f>
        <v>295</v>
      </c>
      <c r="Q77" s="16">
        <f>+SUM(Q2:Q76)</f>
        <v>1381675</v>
      </c>
      <c r="S77" s="16">
        <f t="shared" ref="S77:AB77" si="9">+SUM(S2:S76)</f>
        <v>421824.28999999992</v>
      </c>
      <c r="T77" s="16">
        <f t="shared" si="9"/>
        <v>13310.6</v>
      </c>
      <c r="U77" s="16">
        <f t="shared" si="9"/>
        <v>420886.31</v>
      </c>
      <c r="V77" s="16">
        <f t="shared" si="9"/>
        <v>3967.78</v>
      </c>
      <c r="W77" s="16">
        <f t="shared" si="9"/>
        <v>999662.55</v>
      </c>
      <c r="X77" s="16">
        <f t="shared" si="9"/>
        <v>38326.46</v>
      </c>
      <c r="Y77" s="16">
        <f t="shared" si="9"/>
        <v>71000</v>
      </c>
      <c r="Z77" s="16">
        <f t="shared" si="9"/>
        <v>2550</v>
      </c>
      <c r="AA77" s="16">
        <f t="shared" si="9"/>
        <v>1597.5</v>
      </c>
      <c r="AB77" s="47">
        <f t="shared" si="9"/>
        <v>0</v>
      </c>
      <c r="AC77"/>
      <c r="AD77" s="37"/>
      <c r="AF77" s="1"/>
      <c r="AG77" s="1"/>
    </row>
    <row r="78" spans="1:33" ht="15" thickTop="1" x14ac:dyDescent="0.3">
      <c r="AD78"/>
      <c r="AF78" s="1"/>
      <c r="AG78" s="1"/>
    </row>
    <row r="79" spans="1:33" x14ac:dyDescent="0.3">
      <c r="AF79" s="1"/>
      <c r="AG79" s="1"/>
    </row>
    <row r="80" spans="1:33" x14ac:dyDescent="0.3">
      <c r="M80" s="46"/>
      <c r="AF80" s="1"/>
      <c r="AG80" s="1"/>
    </row>
    <row r="81" spans="1:34" x14ac:dyDescent="0.3">
      <c r="D81"/>
      <c r="E81" s="49"/>
      <c r="F81" s="14"/>
      <c r="H81" s="21" t="s">
        <v>25</v>
      </c>
      <c r="I81" s="21" t="s">
        <v>26</v>
      </c>
      <c r="J81" s="21" t="s">
        <v>27</v>
      </c>
      <c r="K81" s="21" t="s">
        <v>28</v>
      </c>
      <c r="AE81"/>
    </row>
    <row r="82" spans="1:34" x14ac:dyDescent="0.3">
      <c r="B82" s="14" t="s">
        <v>30</v>
      </c>
      <c r="D82" s="15">
        <f>+H84+I84</f>
        <v>2164730.1634999998</v>
      </c>
      <c r="G82" s="14" t="s">
        <v>23</v>
      </c>
      <c r="H82" s="1">
        <f>+H77-I82</f>
        <v>1971792.49</v>
      </c>
      <c r="I82" s="1">
        <f>+H49</f>
        <v>1333</v>
      </c>
      <c r="J82" s="1">
        <f>+H82*0.16</f>
        <v>315486.79840000003</v>
      </c>
      <c r="K82" s="1">
        <f>+SUM(H82:J82)</f>
        <v>2288612.2884</v>
      </c>
      <c r="M82" s="46"/>
      <c r="AF82" s="36"/>
    </row>
    <row r="83" spans="1:34" x14ac:dyDescent="0.3">
      <c r="A83" s="22" t="s">
        <v>32</v>
      </c>
      <c r="B83" s="14" t="s">
        <v>31</v>
      </c>
      <c r="D83" s="15">
        <f>1973125.49+'FEB USD '!N19</f>
        <v>2164730.1634999998</v>
      </c>
      <c r="G83" s="14" t="s">
        <v>24</v>
      </c>
      <c r="H83" s="1">
        <f>+'FEB USD '!N22</f>
        <v>17126.046499999997</v>
      </c>
      <c r="I83" s="1">
        <f>+'FEB USD '!N23</f>
        <v>174478.62700000001</v>
      </c>
      <c r="J83" s="1">
        <f>+H83*0.16</f>
        <v>2740.1674399999997</v>
      </c>
      <c r="K83" s="1">
        <f>+SUM(H83:J83)</f>
        <v>194344.84093999999</v>
      </c>
    </row>
    <row r="84" spans="1:34" ht="15" thickBot="1" x14ac:dyDescent="0.35">
      <c r="A84" s="22" t="s">
        <v>33</v>
      </c>
      <c r="B84" s="14" t="s">
        <v>34</v>
      </c>
      <c r="D84" s="20">
        <f>+D82-D83</f>
        <v>0</v>
      </c>
      <c r="E84" s="35"/>
      <c r="H84" s="20">
        <f>+SUM(H82:H83)</f>
        <v>1988918.5364999999</v>
      </c>
      <c r="I84" s="20">
        <f t="shared" ref="I84:J84" si="10">+SUM(I82:I83)</f>
        <v>175811.62700000001</v>
      </c>
      <c r="J84" s="20">
        <f t="shared" si="10"/>
        <v>318226.96584000002</v>
      </c>
      <c r="K84" s="20">
        <f>+SUM(K82:K83)</f>
        <v>2482957.12934</v>
      </c>
    </row>
    <row r="85" spans="1:34" ht="15" thickTop="1" x14ac:dyDescent="0.3">
      <c r="D85"/>
    </row>
    <row r="86" spans="1:34" x14ac:dyDescent="0.3">
      <c r="D86" s="33"/>
      <c r="G86" s="14" t="s">
        <v>29</v>
      </c>
      <c r="H86" s="15">
        <f>+H84+I84</f>
        <v>2164730.1634999998</v>
      </c>
    </row>
    <row r="87" spans="1:34" x14ac:dyDescent="0.3">
      <c r="D87" s="33"/>
      <c r="G87" s="14"/>
      <c r="H87" s="15"/>
    </row>
    <row r="88" spans="1:34" x14ac:dyDescent="0.3">
      <c r="D88" s="33"/>
      <c r="G88" s="14"/>
      <c r="H88" s="15"/>
    </row>
    <row r="89" spans="1:34" x14ac:dyDescent="0.3">
      <c r="D89" s="33"/>
      <c r="G89" s="14"/>
      <c r="H89" s="15"/>
    </row>
    <row r="90" spans="1:34" x14ac:dyDescent="0.3">
      <c r="D90" s="33"/>
      <c r="G90" s="14"/>
      <c r="H90" s="15"/>
    </row>
    <row r="91" spans="1:34" s="1" customFormat="1" x14ac:dyDescent="0.3">
      <c r="A91"/>
      <c r="B91"/>
      <c r="C91"/>
      <c r="D91" s="33"/>
      <c r="E91"/>
      <c r="F91"/>
      <c r="G91" s="14"/>
      <c r="H91" s="15"/>
      <c r="M91"/>
      <c r="N91"/>
      <c r="O91"/>
      <c r="R91"/>
      <c r="AF91"/>
      <c r="AG91"/>
      <c r="AH91"/>
    </row>
    <row r="92" spans="1:34" s="1" customFormat="1" x14ac:dyDescent="0.3">
      <c r="A92"/>
      <c r="B92"/>
      <c r="C92"/>
      <c r="D92" s="33"/>
      <c r="E92"/>
      <c r="F92"/>
      <c r="G92" s="14"/>
      <c r="H92" s="15"/>
      <c r="M92"/>
      <c r="N92"/>
      <c r="O92"/>
      <c r="R92"/>
      <c r="AF92"/>
      <c r="AG92"/>
      <c r="AH92"/>
    </row>
    <row r="93" spans="1:34" s="1" customFormat="1" x14ac:dyDescent="0.3">
      <c r="A93"/>
      <c r="B93"/>
      <c r="C93"/>
      <c r="D93" s="33"/>
      <c r="E93"/>
      <c r="F93"/>
      <c r="G93" s="14"/>
      <c r="H93" s="15"/>
      <c r="M93"/>
      <c r="N93"/>
      <c r="O93"/>
      <c r="R93"/>
      <c r="AF93"/>
      <c r="AG93"/>
      <c r="AH93"/>
    </row>
    <row r="94" spans="1:34" s="1" customFormat="1" x14ac:dyDescent="0.3">
      <c r="A94"/>
      <c r="B94"/>
      <c r="C94"/>
      <c r="D94" s="33"/>
      <c r="E94"/>
      <c r="F94"/>
      <c r="G94" s="14"/>
      <c r="H94" s="15"/>
      <c r="M94"/>
      <c r="N94"/>
      <c r="O94"/>
      <c r="R94"/>
      <c r="AF94"/>
      <c r="AG94"/>
      <c r="AH94"/>
    </row>
  </sheetData>
  <autoFilter ref="A1:AF77" xr:uid="{6D9A6E66-117A-42D1-8872-A55637CA45F1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1937-24AD-4030-B595-7DCCD2DC509A}">
  <sheetPr>
    <tabColor rgb="FF0070C0"/>
  </sheetPr>
  <dimension ref="A1:AH27"/>
  <sheetViews>
    <sheetView zoomScale="90" zoomScaleNormal="90" workbookViewId="0">
      <pane xSplit="2" ySplit="2" topLeftCell="C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8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241</v>
      </c>
      <c r="W2" s="5" t="s">
        <v>3</v>
      </c>
      <c r="X2" s="5" t="s">
        <v>1</v>
      </c>
      <c r="Y2" s="5" t="s">
        <v>52</v>
      </c>
      <c r="Z2" s="5" t="s">
        <v>47</v>
      </c>
      <c r="AA2" s="8"/>
      <c r="AB2" s="5" t="s">
        <v>60</v>
      </c>
      <c r="AC2" s="5" t="s">
        <v>241</v>
      </c>
      <c r="AD2" s="5" t="s">
        <v>3</v>
      </c>
      <c r="AE2" s="5" t="s">
        <v>1</v>
      </c>
      <c r="AF2" s="5" t="s">
        <v>52</v>
      </c>
      <c r="AG2" s="5" t="s">
        <v>47</v>
      </c>
    </row>
    <row r="3" spans="1:34" x14ac:dyDescent="0.3">
      <c r="A3" s="51"/>
      <c r="B3" s="19" t="s">
        <v>233</v>
      </c>
      <c r="C3" s="2" t="s">
        <v>238</v>
      </c>
      <c r="D3" s="27">
        <v>45694</v>
      </c>
      <c r="E3" s="19" t="s">
        <v>42</v>
      </c>
      <c r="F3" s="2" t="s">
        <v>49</v>
      </c>
      <c r="G3" s="13">
        <v>0</v>
      </c>
      <c r="H3" s="13">
        <v>295</v>
      </c>
      <c r="I3" s="13">
        <v>47.2</v>
      </c>
      <c r="J3" s="13">
        <f>SUM(G3:I3)</f>
        <v>342.2</v>
      </c>
      <c r="K3" s="13">
        <v>342.2</v>
      </c>
      <c r="L3" s="13">
        <f>J3-K3</f>
        <v>0</v>
      </c>
      <c r="M3" s="18">
        <v>20.636299999999999</v>
      </c>
      <c r="N3" s="3">
        <f t="shared" ref="N3:N13" si="0">H3*M3</f>
        <v>6087.7084999999997</v>
      </c>
      <c r="O3" s="3">
        <f>I3*M3</f>
        <v>974.03336000000002</v>
      </c>
      <c r="P3" s="3">
        <f>J3*M3</f>
        <v>7061.7418599999992</v>
      </c>
      <c r="Q3" s="3">
        <f>M3*K3</f>
        <v>7061.7418599999992</v>
      </c>
      <c r="R3" s="3">
        <f>L3*M3</f>
        <v>0</v>
      </c>
      <c r="S3" s="48"/>
      <c r="T3" s="44"/>
      <c r="U3" s="3"/>
      <c r="V3" s="3">
        <v>295</v>
      </c>
      <c r="W3" s="3"/>
      <c r="X3" s="3"/>
      <c r="Y3" s="3"/>
      <c r="Z3" s="3"/>
      <c r="AB3" s="3">
        <f>U3*M3</f>
        <v>0</v>
      </c>
      <c r="AC3" s="3">
        <f>+V3*M3</f>
        <v>6087.7084999999997</v>
      </c>
      <c r="AD3" s="60">
        <f>+M3*W3</f>
        <v>0</v>
      </c>
      <c r="AE3" s="3">
        <f>+X3*M3</f>
        <v>0</v>
      </c>
      <c r="AF3" s="3">
        <f>+Y3*M3</f>
        <v>0</v>
      </c>
      <c r="AG3" s="3">
        <f>+Z3*M3</f>
        <v>0</v>
      </c>
      <c r="AH3" s="46"/>
    </row>
    <row r="4" spans="1:34" x14ac:dyDescent="0.3">
      <c r="A4" s="51"/>
      <c r="B4" s="19" t="s">
        <v>235</v>
      </c>
      <c r="C4" s="2" t="s">
        <v>239</v>
      </c>
      <c r="D4" s="27">
        <v>45694</v>
      </c>
      <c r="E4" s="19" t="s">
        <v>242</v>
      </c>
      <c r="F4" s="2" t="s">
        <v>240</v>
      </c>
      <c r="G4" s="13">
        <v>0</v>
      </c>
      <c r="H4" s="13">
        <v>75</v>
      </c>
      <c r="I4" s="13">
        <v>0</v>
      </c>
      <c r="J4" s="13">
        <f t="shared" ref="J4:J18" si="1">SUM(G4:I4)</f>
        <v>75</v>
      </c>
      <c r="K4" s="13">
        <v>0</v>
      </c>
      <c r="L4" s="13">
        <f>J4-K4</f>
        <v>75</v>
      </c>
      <c r="M4" s="18">
        <v>20.636299999999999</v>
      </c>
      <c r="N4" s="3">
        <f t="shared" si="0"/>
        <v>1547.7224999999999</v>
      </c>
      <c r="O4" s="3">
        <f>I4*M4</f>
        <v>0</v>
      </c>
      <c r="P4" s="3">
        <f>J4*M4</f>
        <v>1547.7224999999999</v>
      </c>
      <c r="Q4" s="3">
        <f>M4*K4</f>
        <v>0</v>
      </c>
      <c r="R4" s="3">
        <f>L4*M4</f>
        <v>1547.7224999999999</v>
      </c>
      <c r="S4" s="48"/>
      <c r="T4" s="44"/>
      <c r="U4" s="3"/>
      <c r="V4" s="3">
        <v>75</v>
      </c>
      <c r="W4" s="3"/>
      <c r="X4" s="3"/>
      <c r="Y4" s="3"/>
      <c r="Z4" s="3"/>
      <c r="AB4" s="3">
        <f>U4*M4</f>
        <v>0</v>
      </c>
      <c r="AC4" s="3">
        <f t="shared" ref="AC4:AC18" si="2">+V4*M4</f>
        <v>1547.7224999999999</v>
      </c>
      <c r="AD4" s="60">
        <f t="shared" ref="AD4:AD18" si="3">+M4*W4</f>
        <v>0</v>
      </c>
      <c r="AE4" s="3">
        <f>+X4*M4</f>
        <v>0</v>
      </c>
      <c r="AF4" s="3">
        <f t="shared" ref="AF4:AF18" si="4">+Y4*M4</f>
        <v>0</v>
      </c>
      <c r="AG4" s="3">
        <f>+Z4*M4</f>
        <v>0</v>
      </c>
      <c r="AH4" s="46"/>
    </row>
    <row r="5" spans="1:34" x14ac:dyDescent="0.3">
      <c r="A5" s="51"/>
      <c r="B5" s="19" t="s">
        <v>322</v>
      </c>
      <c r="C5" s="2" t="s">
        <v>239</v>
      </c>
      <c r="D5" s="27">
        <v>45701</v>
      </c>
      <c r="E5" s="19" t="s">
        <v>330</v>
      </c>
      <c r="F5" s="2" t="s">
        <v>327</v>
      </c>
      <c r="G5" s="13">
        <v>0</v>
      </c>
      <c r="H5" s="13">
        <v>245</v>
      </c>
      <c r="I5" s="13">
        <v>39.200000000000003</v>
      </c>
      <c r="J5" s="13">
        <f t="shared" si="1"/>
        <v>284.2</v>
      </c>
      <c r="K5" s="13">
        <v>284.2</v>
      </c>
      <c r="L5" s="13">
        <f t="shared" ref="L5:L18" si="5">J5-K5</f>
        <v>0</v>
      </c>
      <c r="M5" s="18">
        <v>20.491700000000002</v>
      </c>
      <c r="N5" s="3">
        <f t="shared" si="0"/>
        <v>5020.4665000000005</v>
      </c>
      <c r="O5" s="3">
        <f>I5*M5</f>
        <v>803.27464000000009</v>
      </c>
      <c r="P5" s="3">
        <f>J5*M5</f>
        <v>5823.7411400000001</v>
      </c>
      <c r="Q5" s="3">
        <f>M5*K5</f>
        <v>5823.7411400000001</v>
      </c>
      <c r="R5" s="3">
        <f>L5*M5</f>
        <v>0</v>
      </c>
      <c r="S5" s="48"/>
      <c r="T5" s="44"/>
      <c r="U5" s="3"/>
      <c r="V5" s="3"/>
      <c r="W5" s="3"/>
      <c r="X5" s="3"/>
      <c r="Y5" s="3">
        <v>245</v>
      </c>
      <c r="Z5" s="3"/>
      <c r="AB5" s="3">
        <f>U5*M5</f>
        <v>0</v>
      </c>
      <c r="AC5" s="3">
        <f t="shared" si="2"/>
        <v>0</v>
      </c>
      <c r="AD5" s="3">
        <f t="shared" si="3"/>
        <v>0</v>
      </c>
      <c r="AE5" s="3">
        <f>+X5*M5</f>
        <v>0</v>
      </c>
      <c r="AF5" s="3">
        <f t="shared" si="4"/>
        <v>5020.4665000000005</v>
      </c>
      <c r="AG5" s="3">
        <f>+Z5*M5</f>
        <v>0</v>
      </c>
      <c r="AH5" s="46"/>
    </row>
    <row r="6" spans="1:34" x14ac:dyDescent="0.3">
      <c r="A6" s="51"/>
      <c r="B6" s="19" t="s">
        <v>323</v>
      </c>
      <c r="C6" s="2" t="s">
        <v>239</v>
      </c>
      <c r="D6" s="27">
        <v>45701</v>
      </c>
      <c r="E6" s="19" t="s">
        <v>330</v>
      </c>
      <c r="F6" s="2" t="s">
        <v>327</v>
      </c>
      <c r="G6" s="13">
        <v>0</v>
      </c>
      <c r="H6" s="13">
        <v>145</v>
      </c>
      <c r="I6" s="13">
        <v>0</v>
      </c>
      <c r="J6" s="13">
        <f t="shared" si="1"/>
        <v>145</v>
      </c>
      <c r="K6" s="13">
        <v>145</v>
      </c>
      <c r="L6" s="13">
        <f t="shared" si="5"/>
        <v>0</v>
      </c>
      <c r="M6" s="18">
        <v>20.491700000000002</v>
      </c>
      <c r="N6" s="3">
        <f t="shared" si="0"/>
        <v>2971.2965000000004</v>
      </c>
      <c r="O6" s="3">
        <f t="shared" ref="O6:O18" si="6">I6*M6</f>
        <v>0</v>
      </c>
      <c r="P6" s="3">
        <f t="shared" ref="P6:P18" si="7">J6*M6</f>
        <v>2971.2965000000004</v>
      </c>
      <c r="Q6" s="3">
        <f t="shared" ref="Q6:Q18" si="8">M6*K6</f>
        <v>2971.2965000000004</v>
      </c>
      <c r="R6" s="3">
        <f t="shared" ref="R6:R18" si="9">L6*M6</f>
        <v>0</v>
      </c>
      <c r="S6" s="48"/>
      <c r="T6" s="44"/>
      <c r="U6" s="3"/>
      <c r="V6" s="3"/>
      <c r="W6" s="3"/>
      <c r="X6" s="3"/>
      <c r="Y6" s="3">
        <v>70</v>
      </c>
      <c r="Z6" s="3">
        <v>75</v>
      </c>
      <c r="AB6" s="3">
        <f>U6*M6</f>
        <v>0</v>
      </c>
      <c r="AC6" s="3">
        <f t="shared" si="2"/>
        <v>0</v>
      </c>
      <c r="AD6" s="3">
        <f t="shared" si="3"/>
        <v>0</v>
      </c>
      <c r="AE6" s="3">
        <f>+X6*M6</f>
        <v>0</v>
      </c>
      <c r="AF6" s="3">
        <f t="shared" si="4"/>
        <v>1434.4190000000001</v>
      </c>
      <c r="AG6" s="3">
        <f>+Z6*M6</f>
        <v>1536.8775000000001</v>
      </c>
      <c r="AH6" s="46"/>
    </row>
    <row r="7" spans="1:34" x14ac:dyDescent="0.3">
      <c r="A7" s="51"/>
      <c r="B7" s="19" t="s">
        <v>324</v>
      </c>
      <c r="C7" s="2" t="s">
        <v>321</v>
      </c>
      <c r="D7" s="27">
        <v>45701</v>
      </c>
      <c r="E7" s="19" t="s">
        <v>331</v>
      </c>
      <c r="F7" s="2" t="s">
        <v>328</v>
      </c>
      <c r="G7" s="13">
        <v>0</v>
      </c>
      <c r="H7" s="13">
        <v>235</v>
      </c>
      <c r="I7" s="13">
        <v>0</v>
      </c>
      <c r="J7" s="13">
        <f t="shared" si="1"/>
        <v>235</v>
      </c>
      <c r="K7" s="13">
        <v>235</v>
      </c>
      <c r="L7" s="13">
        <f t="shared" si="5"/>
        <v>0</v>
      </c>
      <c r="M7" s="18">
        <v>20.491700000000002</v>
      </c>
      <c r="N7" s="3">
        <f t="shared" si="0"/>
        <v>4815.5495000000001</v>
      </c>
      <c r="O7" s="3">
        <f t="shared" si="6"/>
        <v>0</v>
      </c>
      <c r="P7" s="3">
        <f t="shared" si="7"/>
        <v>4815.5495000000001</v>
      </c>
      <c r="Q7" s="3">
        <f t="shared" si="8"/>
        <v>4815.5495000000001</v>
      </c>
      <c r="R7" s="3">
        <f t="shared" si="9"/>
        <v>0</v>
      </c>
      <c r="S7" s="48"/>
      <c r="T7" s="44"/>
      <c r="U7" s="3"/>
      <c r="V7" s="3"/>
      <c r="W7" s="3">
        <v>235</v>
      </c>
      <c r="X7" s="3"/>
      <c r="Y7" s="3"/>
      <c r="Z7" s="3"/>
      <c r="AB7" s="3">
        <f>U7*M7</f>
        <v>0</v>
      </c>
      <c r="AC7" s="3">
        <f t="shared" si="2"/>
        <v>0</v>
      </c>
      <c r="AD7" s="3">
        <f t="shared" si="3"/>
        <v>4815.5495000000001</v>
      </c>
      <c r="AE7" s="3">
        <f>+X7*M7</f>
        <v>0</v>
      </c>
      <c r="AF7" s="3">
        <f t="shared" si="4"/>
        <v>0</v>
      </c>
      <c r="AG7" s="3">
        <f>+Z7*M7</f>
        <v>0</v>
      </c>
      <c r="AH7" s="46"/>
    </row>
    <row r="8" spans="1:34" x14ac:dyDescent="0.3">
      <c r="A8" s="51"/>
      <c r="B8" s="19" t="s">
        <v>325</v>
      </c>
      <c r="C8" s="2" t="s">
        <v>321</v>
      </c>
      <c r="D8" s="27">
        <v>45707</v>
      </c>
      <c r="E8" s="19" t="s">
        <v>332</v>
      </c>
      <c r="F8" s="2" t="s">
        <v>329</v>
      </c>
      <c r="G8" s="13">
        <v>0</v>
      </c>
      <c r="H8" s="13">
        <v>105</v>
      </c>
      <c r="I8" s="13">
        <v>0</v>
      </c>
      <c r="J8" s="13">
        <f t="shared" si="1"/>
        <v>105</v>
      </c>
      <c r="K8" s="13">
        <v>105</v>
      </c>
      <c r="L8" s="13">
        <f t="shared" si="5"/>
        <v>0</v>
      </c>
      <c r="M8" s="18">
        <v>20.261700000000001</v>
      </c>
      <c r="N8" s="3">
        <f t="shared" si="0"/>
        <v>2127.4785000000002</v>
      </c>
      <c r="O8" s="3">
        <f t="shared" si="6"/>
        <v>0</v>
      </c>
      <c r="P8" s="3">
        <f t="shared" si="7"/>
        <v>2127.4785000000002</v>
      </c>
      <c r="Q8" s="3">
        <f t="shared" si="8"/>
        <v>2127.4785000000002</v>
      </c>
      <c r="R8" s="3">
        <f t="shared" si="9"/>
        <v>0</v>
      </c>
      <c r="S8" s="48"/>
      <c r="T8" s="44"/>
      <c r="U8" s="3"/>
      <c r="V8" s="3"/>
      <c r="W8" s="3"/>
      <c r="X8" s="3"/>
      <c r="Y8" s="3">
        <v>105</v>
      </c>
      <c r="Z8" s="3"/>
      <c r="AB8" s="3">
        <f t="shared" ref="AB8:AB18" si="10">U8*M8</f>
        <v>0</v>
      </c>
      <c r="AC8" s="3">
        <f t="shared" si="2"/>
        <v>0</v>
      </c>
      <c r="AD8" s="3">
        <f t="shared" si="3"/>
        <v>0</v>
      </c>
      <c r="AE8" s="3">
        <f t="shared" ref="AE8:AE18" si="11">+X8*M8</f>
        <v>0</v>
      </c>
      <c r="AF8" s="3">
        <f t="shared" si="4"/>
        <v>2127.4785000000002</v>
      </c>
      <c r="AG8" s="3">
        <f t="shared" ref="AG8:AG18" si="12">+Z8*M8</f>
        <v>0</v>
      </c>
      <c r="AH8" s="46"/>
    </row>
    <row r="9" spans="1:34" x14ac:dyDescent="0.3">
      <c r="A9" s="51"/>
      <c r="B9" s="19" t="s">
        <v>326</v>
      </c>
      <c r="C9" s="2" t="s">
        <v>321</v>
      </c>
      <c r="D9" s="27">
        <v>45707</v>
      </c>
      <c r="E9" s="19" t="s">
        <v>332</v>
      </c>
      <c r="F9" s="2" t="s">
        <v>329</v>
      </c>
      <c r="G9" s="13">
        <v>0</v>
      </c>
      <c r="H9" s="13">
        <v>50</v>
      </c>
      <c r="I9" s="13">
        <v>8</v>
      </c>
      <c r="J9" s="13">
        <f t="shared" si="1"/>
        <v>58</v>
      </c>
      <c r="K9" s="13">
        <v>58</v>
      </c>
      <c r="L9" s="13">
        <f t="shared" si="5"/>
        <v>0</v>
      </c>
      <c r="M9" s="18">
        <v>20.261700000000001</v>
      </c>
      <c r="N9" s="3">
        <f t="shared" si="0"/>
        <v>1013.085</v>
      </c>
      <c r="O9" s="3">
        <f t="shared" si="6"/>
        <v>162.09360000000001</v>
      </c>
      <c r="P9" s="3">
        <f t="shared" si="7"/>
        <v>1175.1786</v>
      </c>
      <c r="Q9" s="3">
        <f t="shared" si="8"/>
        <v>1175.1786</v>
      </c>
      <c r="R9" s="3">
        <f t="shared" si="9"/>
        <v>0</v>
      </c>
      <c r="S9" s="48"/>
      <c r="T9" s="44"/>
      <c r="U9" s="3"/>
      <c r="V9" s="3"/>
      <c r="W9" s="3"/>
      <c r="X9" s="3"/>
      <c r="Y9" s="3">
        <v>50</v>
      </c>
      <c r="Z9" s="3"/>
      <c r="AB9" s="3">
        <f t="shared" si="10"/>
        <v>0</v>
      </c>
      <c r="AC9" s="3">
        <f t="shared" si="2"/>
        <v>0</v>
      </c>
      <c r="AD9" s="3">
        <f t="shared" si="3"/>
        <v>0</v>
      </c>
      <c r="AE9" s="3">
        <f t="shared" si="11"/>
        <v>0</v>
      </c>
      <c r="AF9" s="3">
        <f t="shared" si="4"/>
        <v>1013.085</v>
      </c>
      <c r="AG9" s="3">
        <f t="shared" si="12"/>
        <v>0</v>
      </c>
      <c r="AH9" s="46"/>
    </row>
    <row r="10" spans="1:34" x14ac:dyDescent="0.3">
      <c r="A10" s="51"/>
      <c r="B10" s="19" t="s">
        <v>376</v>
      </c>
      <c r="C10" s="2" t="s">
        <v>214</v>
      </c>
      <c r="D10" s="27">
        <v>45712</v>
      </c>
      <c r="E10" s="19" t="s">
        <v>224</v>
      </c>
      <c r="F10" s="2" t="s">
        <v>221</v>
      </c>
      <c r="G10" s="13">
        <v>0</v>
      </c>
      <c r="H10" s="13">
        <v>1725</v>
      </c>
      <c r="I10" s="13">
        <v>0</v>
      </c>
      <c r="J10" s="13">
        <f t="shared" si="1"/>
        <v>1725</v>
      </c>
      <c r="K10" s="13">
        <v>0</v>
      </c>
      <c r="L10" s="13">
        <f t="shared" si="5"/>
        <v>1725</v>
      </c>
      <c r="M10" s="18">
        <v>20.344799999999999</v>
      </c>
      <c r="N10" s="3">
        <f t="shared" si="0"/>
        <v>35094.78</v>
      </c>
      <c r="O10" s="3">
        <f t="shared" si="6"/>
        <v>0</v>
      </c>
      <c r="P10" s="3">
        <f t="shared" si="7"/>
        <v>35094.78</v>
      </c>
      <c r="Q10" s="3">
        <f t="shared" si="8"/>
        <v>0</v>
      </c>
      <c r="R10" s="3">
        <f t="shared" si="9"/>
        <v>35094.78</v>
      </c>
      <c r="S10" s="48"/>
      <c r="T10" s="44"/>
      <c r="U10" s="3">
        <v>1725</v>
      </c>
      <c r="V10" s="3"/>
      <c r="W10" s="3"/>
      <c r="X10" s="3"/>
      <c r="Y10" s="3"/>
      <c r="Z10" s="3"/>
      <c r="AB10" s="3">
        <f t="shared" si="10"/>
        <v>35094.78</v>
      </c>
      <c r="AC10" s="3">
        <f t="shared" si="2"/>
        <v>0</v>
      </c>
      <c r="AD10" s="3">
        <f t="shared" si="3"/>
        <v>0</v>
      </c>
      <c r="AE10" s="3">
        <f t="shared" si="11"/>
        <v>0</v>
      </c>
      <c r="AF10" s="3">
        <f t="shared" si="4"/>
        <v>0</v>
      </c>
      <c r="AG10" s="3">
        <f t="shared" si="12"/>
        <v>0</v>
      </c>
      <c r="AH10" s="46"/>
    </row>
    <row r="11" spans="1:34" x14ac:dyDescent="0.3">
      <c r="A11" s="51"/>
      <c r="B11" s="19" t="s">
        <v>377</v>
      </c>
      <c r="C11" s="2" t="s">
        <v>378</v>
      </c>
      <c r="D11" s="27">
        <v>45714</v>
      </c>
      <c r="E11" s="19" t="s">
        <v>61</v>
      </c>
      <c r="F11" s="2" t="s">
        <v>156</v>
      </c>
      <c r="G11" s="13">
        <v>0</v>
      </c>
      <c r="H11" s="13">
        <v>6125</v>
      </c>
      <c r="I11" s="13">
        <v>0</v>
      </c>
      <c r="J11" s="13">
        <f t="shared" si="1"/>
        <v>6125</v>
      </c>
      <c r="K11" s="13">
        <v>0</v>
      </c>
      <c r="L11" s="13">
        <f t="shared" si="5"/>
        <v>6125</v>
      </c>
      <c r="M11" s="18">
        <v>20.468299999999999</v>
      </c>
      <c r="N11" s="3">
        <f t="shared" si="0"/>
        <v>125368.33749999999</v>
      </c>
      <c r="O11" s="3">
        <f t="shared" si="6"/>
        <v>0</v>
      </c>
      <c r="P11" s="3">
        <f t="shared" si="7"/>
        <v>125368.33749999999</v>
      </c>
      <c r="Q11" s="3">
        <f t="shared" si="8"/>
        <v>0</v>
      </c>
      <c r="R11" s="3">
        <f t="shared" si="9"/>
        <v>125368.33749999999</v>
      </c>
      <c r="S11" s="48"/>
      <c r="T11" s="44"/>
      <c r="U11" s="3">
        <v>6125</v>
      </c>
      <c r="V11" s="3"/>
      <c r="W11" s="3"/>
      <c r="X11" s="3"/>
      <c r="Y11" s="3"/>
      <c r="Z11" s="3"/>
      <c r="AB11" s="3">
        <f t="shared" si="10"/>
        <v>125368.33749999999</v>
      </c>
      <c r="AC11" s="3">
        <f t="shared" si="2"/>
        <v>0</v>
      </c>
      <c r="AD11" s="3">
        <f t="shared" si="3"/>
        <v>0</v>
      </c>
      <c r="AE11" s="3">
        <f t="shared" si="11"/>
        <v>0</v>
      </c>
      <c r="AF11" s="3">
        <f t="shared" si="4"/>
        <v>0</v>
      </c>
      <c r="AG11" s="3">
        <f t="shared" si="12"/>
        <v>0</v>
      </c>
      <c r="AH11" s="46"/>
    </row>
    <row r="12" spans="1:34" x14ac:dyDescent="0.3">
      <c r="A12" s="51"/>
      <c r="B12" s="19" t="s">
        <v>389</v>
      </c>
      <c r="C12" s="2" t="s">
        <v>391</v>
      </c>
      <c r="D12" s="27">
        <v>45715</v>
      </c>
      <c r="E12" s="19" t="s">
        <v>330</v>
      </c>
      <c r="F12" s="2" t="s">
        <v>327</v>
      </c>
      <c r="G12" s="13">
        <v>0</v>
      </c>
      <c r="H12" s="13">
        <v>245</v>
      </c>
      <c r="I12" s="13">
        <v>39.200000000000003</v>
      </c>
      <c r="J12" s="13">
        <f t="shared" si="1"/>
        <v>284.2</v>
      </c>
      <c r="K12" s="13">
        <v>284.2</v>
      </c>
      <c r="L12" s="13">
        <f t="shared" si="5"/>
        <v>0</v>
      </c>
      <c r="M12" s="18">
        <v>20.427700000000002</v>
      </c>
      <c r="N12" s="3">
        <f t="shared" si="0"/>
        <v>5004.7865000000002</v>
      </c>
      <c r="O12" s="3">
        <f t="shared" si="6"/>
        <v>800.76584000000014</v>
      </c>
      <c r="P12" s="3">
        <f t="shared" si="7"/>
        <v>5805.5523400000002</v>
      </c>
      <c r="Q12" s="3">
        <f t="shared" si="8"/>
        <v>5805.5523400000002</v>
      </c>
      <c r="R12" s="3">
        <f t="shared" si="9"/>
        <v>0</v>
      </c>
      <c r="S12" s="48"/>
      <c r="T12" s="44"/>
      <c r="U12" s="3"/>
      <c r="V12" s="3"/>
      <c r="W12" s="3"/>
      <c r="X12" s="3"/>
      <c r="Y12" s="3">
        <v>245</v>
      </c>
      <c r="Z12" s="3"/>
      <c r="AB12" s="3">
        <f t="shared" si="10"/>
        <v>0</v>
      </c>
      <c r="AC12" s="3">
        <f t="shared" si="2"/>
        <v>0</v>
      </c>
      <c r="AD12" s="3">
        <f t="shared" si="3"/>
        <v>0</v>
      </c>
      <c r="AE12" s="3">
        <f t="shared" si="11"/>
        <v>0</v>
      </c>
      <c r="AF12" s="3">
        <f t="shared" si="4"/>
        <v>5004.7865000000002</v>
      </c>
      <c r="AG12" s="3">
        <f t="shared" si="12"/>
        <v>0</v>
      </c>
      <c r="AH12" s="46"/>
    </row>
    <row r="13" spans="1:34" x14ac:dyDescent="0.3">
      <c r="A13" s="51"/>
      <c r="B13" s="19" t="s">
        <v>390</v>
      </c>
      <c r="C13" s="2" t="s">
        <v>391</v>
      </c>
      <c r="D13" s="27">
        <v>45715</v>
      </c>
      <c r="E13" s="19" t="s">
        <v>330</v>
      </c>
      <c r="F13" s="2" t="s">
        <v>327</v>
      </c>
      <c r="G13" s="13">
        <v>0</v>
      </c>
      <c r="H13" s="13">
        <v>125</v>
      </c>
      <c r="I13" s="13">
        <v>0</v>
      </c>
      <c r="J13" s="13">
        <f t="shared" si="1"/>
        <v>125</v>
      </c>
      <c r="K13" s="13">
        <v>125</v>
      </c>
      <c r="L13" s="13">
        <f t="shared" si="5"/>
        <v>0</v>
      </c>
      <c r="M13" s="18">
        <v>20.427700000000002</v>
      </c>
      <c r="N13" s="3">
        <f t="shared" si="0"/>
        <v>2553.4625000000001</v>
      </c>
      <c r="O13" s="3">
        <f t="shared" si="6"/>
        <v>0</v>
      </c>
      <c r="P13" s="3">
        <f t="shared" si="7"/>
        <v>2553.4625000000001</v>
      </c>
      <c r="Q13" s="3">
        <f t="shared" si="8"/>
        <v>2553.4625000000001</v>
      </c>
      <c r="R13" s="3">
        <f t="shared" si="9"/>
        <v>0</v>
      </c>
      <c r="S13" s="48"/>
      <c r="T13" s="44"/>
      <c r="U13" s="3"/>
      <c r="V13" s="3">
        <v>125</v>
      </c>
      <c r="W13" s="3"/>
      <c r="X13" s="3"/>
      <c r="Y13" s="3"/>
      <c r="Z13" s="3"/>
      <c r="AB13" s="3">
        <f t="shared" si="10"/>
        <v>0</v>
      </c>
      <c r="AC13" s="3">
        <f t="shared" si="2"/>
        <v>2553.4625000000001</v>
      </c>
      <c r="AD13" s="3">
        <f t="shared" si="3"/>
        <v>0</v>
      </c>
      <c r="AE13" s="3">
        <f t="shared" si="11"/>
        <v>0</v>
      </c>
      <c r="AF13" s="3">
        <f t="shared" si="4"/>
        <v>0</v>
      </c>
      <c r="AG13" s="3">
        <f t="shared" si="12"/>
        <v>0</v>
      </c>
      <c r="AH13" s="46"/>
    </row>
    <row r="14" spans="1:34" x14ac:dyDescent="0.3">
      <c r="A14" s="51"/>
      <c r="B14" s="19"/>
      <c r="C14" s="2"/>
      <c r="D14" s="27"/>
      <c r="E14" s="19"/>
      <c r="F14" s="2"/>
      <c r="G14" s="13"/>
      <c r="H14" s="13"/>
      <c r="I14" s="13"/>
      <c r="J14" s="13">
        <f t="shared" si="1"/>
        <v>0</v>
      </c>
      <c r="K14" s="13"/>
      <c r="L14" s="13">
        <f t="shared" si="5"/>
        <v>0</v>
      </c>
      <c r="M14" s="18"/>
      <c r="N14" s="3">
        <f t="shared" ref="N14:N18" si="13">H14*M14</f>
        <v>0</v>
      </c>
      <c r="O14" s="3">
        <f t="shared" si="6"/>
        <v>0</v>
      </c>
      <c r="P14" s="3">
        <f t="shared" si="7"/>
        <v>0</v>
      </c>
      <c r="Q14" s="3">
        <f t="shared" si="8"/>
        <v>0</v>
      </c>
      <c r="R14" s="3">
        <f t="shared" si="9"/>
        <v>0</v>
      </c>
      <c r="S14" s="48"/>
      <c r="T14" s="44"/>
      <c r="U14" s="3"/>
      <c r="V14" s="3"/>
      <c r="W14" s="3"/>
      <c r="X14" s="3"/>
      <c r="Y14" s="3"/>
      <c r="Z14" s="3"/>
      <c r="AB14" s="3">
        <f t="shared" si="10"/>
        <v>0</v>
      </c>
      <c r="AC14" s="3">
        <f t="shared" si="2"/>
        <v>0</v>
      </c>
      <c r="AD14" s="3">
        <f t="shared" si="3"/>
        <v>0</v>
      </c>
      <c r="AE14" s="3">
        <f t="shared" si="11"/>
        <v>0</v>
      </c>
      <c r="AF14" s="3">
        <f t="shared" si="4"/>
        <v>0</v>
      </c>
      <c r="AG14" s="3">
        <f t="shared" si="12"/>
        <v>0</v>
      </c>
      <c r="AH14" s="46"/>
    </row>
    <row r="15" spans="1:34" x14ac:dyDescent="0.3">
      <c r="A15" s="51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5"/>
        <v>0</v>
      </c>
      <c r="M15" s="18"/>
      <c r="N15" s="3">
        <f t="shared" si="13"/>
        <v>0</v>
      </c>
      <c r="O15" s="3">
        <f t="shared" si="6"/>
        <v>0</v>
      </c>
      <c r="P15" s="3">
        <f t="shared" si="7"/>
        <v>0</v>
      </c>
      <c r="Q15" s="3">
        <f t="shared" si="8"/>
        <v>0</v>
      </c>
      <c r="R15" s="3">
        <f t="shared" si="9"/>
        <v>0</v>
      </c>
      <c r="S15" s="48"/>
      <c r="T15" s="44"/>
      <c r="U15" s="3"/>
      <c r="V15" s="3"/>
      <c r="W15" s="3"/>
      <c r="X15" s="3"/>
      <c r="Y15" s="3"/>
      <c r="Z15" s="3"/>
      <c r="AB15" s="3">
        <f t="shared" si="10"/>
        <v>0</v>
      </c>
      <c r="AC15" s="3">
        <f t="shared" si="2"/>
        <v>0</v>
      </c>
      <c r="AD15" s="3">
        <f t="shared" si="3"/>
        <v>0</v>
      </c>
      <c r="AE15" s="3">
        <f t="shared" si="11"/>
        <v>0</v>
      </c>
      <c r="AF15" s="3">
        <f t="shared" si="4"/>
        <v>0</v>
      </c>
      <c r="AG15" s="3">
        <f t="shared" si="12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5"/>
        <v>0</v>
      </c>
      <c r="M16" s="18"/>
      <c r="N16" s="3">
        <f t="shared" si="13"/>
        <v>0</v>
      </c>
      <c r="O16" s="3">
        <f t="shared" si="6"/>
        <v>0</v>
      </c>
      <c r="P16" s="3">
        <f t="shared" si="7"/>
        <v>0</v>
      </c>
      <c r="Q16" s="3">
        <f t="shared" si="8"/>
        <v>0</v>
      </c>
      <c r="R16" s="3">
        <f t="shared" si="9"/>
        <v>0</v>
      </c>
      <c r="S16" s="48"/>
      <c r="T16" s="44"/>
      <c r="U16" s="3"/>
      <c r="V16" s="3"/>
      <c r="W16" s="3"/>
      <c r="X16" s="3"/>
      <c r="Y16" s="3"/>
      <c r="Z16" s="3"/>
      <c r="AB16" s="3">
        <f t="shared" si="10"/>
        <v>0</v>
      </c>
      <c r="AC16" s="3">
        <f t="shared" si="2"/>
        <v>0</v>
      </c>
      <c r="AD16" s="3">
        <f t="shared" si="3"/>
        <v>0</v>
      </c>
      <c r="AE16" s="3">
        <f t="shared" si="11"/>
        <v>0</v>
      </c>
      <c r="AF16" s="3">
        <f t="shared" si="4"/>
        <v>0</v>
      </c>
      <c r="AG16" s="3">
        <f t="shared" si="12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5"/>
        <v>0</v>
      </c>
      <c r="M17" s="18"/>
      <c r="N17" s="3">
        <f t="shared" si="13"/>
        <v>0</v>
      </c>
      <c r="O17" s="3">
        <f t="shared" si="6"/>
        <v>0</v>
      </c>
      <c r="P17" s="3">
        <f t="shared" si="7"/>
        <v>0</v>
      </c>
      <c r="Q17" s="3">
        <f t="shared" si="8"/>
        <v>0</v>
      </c>
      <c r="R17" s="3">
        <f t="shared" si="9"/>
        <v>0</v>
      </c>
      <c r="S17" s="48"/>
      <c r="T17" s="44"/>
      <c r="U17" s="3"/>
      <c r="V17" s="3"/>
      <c r="W17" s="3"/>
      <c r="X17" s="3"/>
      <c r="Y17" s="3"/>
      <c r="Z17" s="3"/>
      <c r="AB17" s="3">
        <f t="shared" si="10"/>
        <v>0</v>
      </c>
      <c r="AC17" s="3">
        <f t="shared" si="2"/>
        <v>0</v>
      </c>
      <c r="AD17" s="3">
        <f t="shared" si="3"/>
        <v>0</v>
      </c>
      <c r="AE17" s="3">
        <f t="shared" si="11"/>
        <v>0</v>
      </c>
      <c r="AF17" s="3">
        <f t="shared" si="4"/>
        <v>0</v>
      </c>
      <c r="AG17" s="3">
        <f t="shared" si="12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5"/>
        <v>0</v>
      </c>
      <c r="M18" s="18"/>
      <c r="N18" s="3">
        <f t="shared" si="13"/>
        <v>0</v>
      </c>
      <c r="O18" s="3">
        <f t="shared" si="6"/>
        <v>0</v>
      </c>
      <c r="P18" s="3">
        <f t="shared" si="7"/>
        <v>0</v>
      </c>
      <c r="Q18" s="3">
        <f t="shared" si="8"/>
        <v>0</v>
      </c>
      <c r="R18" s="3">
        <f t="shared" si="9"/>
        <v>0</v>
      </c>
      <c r="S18" s="48"/>
      <c r="T18" s="44"/>
      <c r="U18" s="3"/>
      <c r="V18" s="3"/>
      <c r="W18" s="3"/>
      <c r="X18" s="3"/>
      <c r="Y18" s="3"/>
      <c r="Z18" s="3"/>
      <c r="AB18" s="3">
        <f t="shared" si="10"/>
        <v>0</v>
      </c>
      <c r="AC18" s="3">
        <f t="shared" si="2"/>
        <v>0</v>
      </c>
      <c r="AD18" s="3">
        <f t="shared" si="3"/>
        <v>0</v>
      </c>
      <c r="AE18" s="3">
        <f t="shared" si="11"/>
        <v>0</v>
      </c>
      <c r="AF18" s="3">
        <f t="shared" si="4"/>
        <v>0</v>
      </c>
      <c r="AG18" s="3">
        <f t="shared" si="12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14">+SUM(G3:G18)</f>
        <v>0</v>
      </c>
      <c r="H19" s="59">
        <f t="shared" si="14"/>
        <v>9370</v>
      </c>
      <c r="I19" s="17">
        <f t="shared" si="14"/>
        <v>133.60000000000002</v>
      </c>
      <c r="J19" s="17">
        <f t="shared" si="14"/>
        <v>9503.6</v>
      </c>
      <c r="K19" s="17">
        <f t="shared" si="14"/>
        <v>1578.6000000000001</v>
      </c>
      <c r="L19" s="17">
        <f t="shared" si="14"/>
        <v>7925</v>
      </c>
      <c r="M19" s="14"/>
      <c r="N19" s="55">
        <f>+SUM(N3:N18)</f>
        <v>191604.67349999998</v>
      </c>
      <c r="O19" s="16">
        <f>+SUM(O3:O18)</f>
        <v>2740.1674400000002</v>
      </c>
      <c r="P19" s="16">
        <f>+SUM(P3:P18)</f>
        <v>194344.84093999999</v>
      </c>
      <c r="Q19" s="16">
        <f>+SUM(Q3:Q18)</f>
        <v>32334.000940000005</v>
      </c>
      <c r="R19" s="16">
        <f>+SUM(R3:R18)</f>
        <v>162010.84</v>
      </c>
      <c r="S19" s="15"/>
      <c r="T19" s="15"/>
      <c r="U19" s="17">
        <f t="shared" ref="U19:Z19" si="15">+SUM(U3:U18)</f>
        <v>7850</v>
      </c>
      <c r="V19" s="17">
        <f t="shared" si="15"/>
        <v>495</v>
      </c>
      <c r="W19" s="17">
        <f t="shared" si="15"/>
        <v>235</v>
      </c>
      <c r="X19" s="17">
        <f t="shared" si="15"/>
        <v>0</v>
      </c>
      <c r="Y19" s="17">
        <f t="shared" si="15"/>
        <v>715</v>
      </c>
      <c r="Z19" s="17">
        <f t="shared" si="15"/>
        <v>75</v>
      </c>
      <c r="AA19" s="14"/>
      <c r="AB19" s="16">
        <f t="shared" ref="AB19:AG19" si="16">+SUM(AB3:AB18)</f>
        <v>160463.11749999999</v>
      </c>
      <c r="AC19" s="16">
        <f t="shared" si="16"/>
        <v>10188.8935</v>
      </c>
      <c r="AD19" s="16">
        <f t="shared" si="16"/>
        <v>4815.5495000000001</v>
      </c>
      <c r="AE19" s="16">
        <f t="shared" si="16"/>
        <v>0</v>
      </c>
      <c r="AF19" s="16">
        <f t="shared" si="16"/>
        <v>14600.235500000001</v>
      </c>
      <c r="AG19" s="16">
        <f t="shared" si="16"/>
        <v>1536.8775000000001</v>
      </c>
      <c r="AH19" s="14"/>
    </row>
    <row r="20" spans="1:34" ht="15" thickTop="1" x14ac:dyDescent="0.3">
      <c r="Z20" s="34">
        <f>+SUM(T19:Z19)</f>
        <v>9370</v>
      </c>
      <c r="AG20" s="1">
        <f>+SUM(AB19:AG19)</f>
        <v>191604.6735</v>
      </c>
    </row>
    <row r="21" spans="1:34" x14ac:dyDescent="0.3">
      <c r="H21" s="23"/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I22" s="32"/>
      <c r="N22" s="46">
        <f>+N3+N5+N9+N12</f>
        <v>17126.046499999997</v>
      </c>
      <c r="O22" s="81">
        <v>0.16</v>
      </c>
    </row>
    <row r="23" spans="1:34" x14ac:dyDescent="0.3">
      <c r="N23" s="23">
        <f>+N4+N6+N7+N8+N10+N11+N13</f>
        <v>174478.62700000001</v>
      </c>
      <c r="O23" s="81">
        <v>0</v>
      </c>
    </row>
    <row r="24" spans="1:34" x14ac:dyDescent="0.3">
      <c r="N24" s="23"/>
    </row>
    <row r="25" spans="1:34" x14ac:dyDescent="0.3">
      <c r="N25" s="23"/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CD8B-A740-4440-A03D-70591C6691D9}">
  <sheetPr>
    <tabColor rgb="FF0070C0"/>
  </sheetPr>
  <dimension ref="A1:AN1048576"/>
  <sheetViews>
    <sheetView showGridLines="0" zoomScale="90" zoomScaleNormal="90" zoomScaleSheetLayoutView="50" workbookViewId="0">
      <pane xSplit="3" ySplit="1" topLeftCell="D80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1.109375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bestFit="1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33" width="15.6640625" style="1" customWidth="1"/>
    <col min="34" max="34" width="38.109375" style="1" bestFit="1" customWidth="1"/>
    <col min="35" max="35" width="35.6640625" style="1" customWidth="1"/>
    <col min="36" max="36" width="15.6640625" style="1" customWidth="1"/>
    <col min="37" max="37" width="12.33203125" bestFit="1" customWidth="1"/>
    <col min="38" max="38" width="13.88671875" bestFit="1" customWidth="1"/>
    <col min="39" max="39" width="12.5546875" bestFit="1" customWidth="1"/>
  </cols>
  <sheetData>
    <row r="1" spans="1:39" ht="43.2" x14ac:dyDescent="0.3">
      <c r="A1" s="4" t="s">
        <v>6</v>
      </c>
      <c r="B1" s="4" t="s">
        <v>7</v>
      </c>
      <c r="C1" s="4" t="s">
        <v>8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46</v>
      </c>
      <c r="Y1" s="5" t="s">
        <v>478</v>
      </c>
      <c r="Z1" s="5" t="s">
        <v>514</v>
      </c>
      <c r="AA1" s="5" t="s">
        <v>48</v>
      </c>
      <c r="AB1" s="5" t="s">
        <v>545</v>
      </c>
      <c r="AC1" s="5" t="s">
        <v>546</v>
      </c>
      <c r="AD1" s="5" t="s">
        <v>585</v>
      </c>
      <c r="AE1" s="5" t="s">
        <v>586</v>
      </c>
      <c r="AF1" s="5" t="s">
        <v>52</v>
      </c>
      <c r="AG1"/>
      <c r="AH1"/>
      <c r="AI1" s="7"/>
      <c r="AJ1" s="5" t="s">
        <v>35</v>
      </c>
      <c r="AK1" s="5" t="s">
        <v>36</v>
      </c>
      <c r="AL1" s="5" t="s">
        <v>17</v>
      </c>
      <c r="AM1" s="5" t="s">
        <v>59</v>
      </c>
    </row>
    <row r="2" spans="1:39" x14ac:dyDescent="0.3">
      <c r="A2" s="38">
        <v>1000</v>
      </c>
      <c r="B2" s="38" t="s">
        <v>400</v>
      </c>
      <c r="C2" s="38" t="s">
        <v>397</v>
      </c>
      <c r="D2" s="39">
        <v>45720</v>
      </c>
      <c r="E2" s="38" t="s">
        <v>42</v>
      </c>
      <c r="F2" s="38" t="s">
        <v>49</v>
      </c>
      <c r="G2" s="40">
        <v>781</v>
      </c>
      <c r="H2" s="40">
        <v>27923.01</v>
      </c>
      <c r="I2" s="40">
        <v>4467.68</v>
      </c>
      <c r="J2" s="40">
        <f>SUM(G2:I2)</f>
        <v>33171.69</v>
      </c>
      <c r="K2" s="40">
        <v>33455.25</v>
      </c>
      <c r="L2" s="40">
        <f>+J2-K2</f>
        <v>-283.55999999999767</v>
      </c>
      <c r="M2" s="38" t="s">
        <v>35</v>
      </c>
      <c r="N2" s="54"/>
      <c r="O2" s="36"/>
      <c r="P2" s="40">
        <v>0</v>
      </c>
      <c r="Q2" s="40">
        <v>781</v>
      </c>
      <c r="R2" s="41"/>
      <c r="S2" s="40">
        <v>6128.31</v>
      </c>
      <c r="T2" s="40">
        <v>5197.2</v>
      </c>
      <c r="U2" s="40">
        <v>15000</v>
      </c>
      <c r="V2" s="40">
        <v>0</v>
      </c>
      <c r="W2" s="40">
        <v>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1597.5</v>
      </c>
      <c r="AG2" s="36">
        <f t="shared" ref="AG2:AG65" si="0">+SUM(S2:AF2)-H2</f>
        <v>0</v>
      </c>
      <c r="AH2"/>
      <c r="AI2" s="58" t="s">
        <v>1</v>
      </c>
      <c r="AJ2" s="1">
        <f>+S100</f>
        <v>396873.24000000005</v>
      </c>
      <c r="AK2" s="1"/>
      <c r="AL2" s="1">
        <f>SUM(AJ2:AK2)</f>
        <v>396873.24000000005</v>
      </c>
      <c r="AM2" s="56">
        <f>+AL2/AL17</f>
        <v>0.13022684885352009</v>
      </c>
    </row>
    <row r="3" spans="1:39" x14ac:dyDescent="0.3">
      <c r="A3" s="38">
        <v>2000</v>
      </c>
      <c r="B3" s="38" t="s">
        <v>401</v>
      </c>
      <c r="C3" s="38" t="s">
        <v>398</v>
      </c>
      <c r="D3" s="39">
        <v>45721</v>
      </c>
      <c r="E3" s="38" t="s">
        <v>22</v>
      </c>
      <c r="F3" s="38" t="s">
        <v>403</v>
      </c>
      <c r="G3" s="40">
        <v>336</v>
      </c>
      <c r="H3" s="40">
        <v>14040.49</v>
      </c>
      <c r="I3" s="40">
        <v>2246.48</v>
      </c>
      <c r="J3" s="40">
        <f t="shared" ref="J3:J66" si="1">SUM(G3:I3)</f>
        <v>16622.97</v>
      </c>
      <c r="K3" s="40">
        <v>16622.97</v>
      </c>
      <c r="L3" s="40">
        <f t="shared" ref="L3:L66" si="2">+J3-K3</f>
        <v>0</v>
      </c>
      <c r="M3" s="38" t="s">
        <v>35</v>
      </c>
      <c r="N3" s="54"/>
      <c r="O3" s="36"/>
      <c r="P3" s="40">
        <v>0</v>
      </c>
      <c r="Q3" s="40">
        <v>336</v>
      </c>
      <c r="R3" s="40"/>
      <c r="S3" s="40">
        <v>6140.49</v>
      </c>
      <c r="T3" s="40">
        <v>0</v>
      </c>
      <c r="U3" s="40">
        <v>0</v>
      </c>
      <c r="V3" s="40">
        <v>0</v>
      </c>
      <c r="W3" s="40">
        <v>7900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36">
        <f t="shared" si="0"/>
        <v>0</v>
      </c>
      <c r="AH3"/>
      <c r="AI3" s="58" t="s">
        <v>50</v>
      </c>
      <c r="AJ3" s="1">
        <f>+T100</f>
        <v>17053.96</v>
      </c>
      <c r="AK3" s="1">
        <f>+'MAR USD '!AC19</f>
        <v>5045.5991999999997</v>
      </c>
      <c r="AL3" s="1">
        <f t="shared" ref="AL3:AL15" si="3">SUM(AJ3:AK3)</f>
        <v>22099.5592</v>
      </c>
      <c r="AM3" s="56">
        <f>+AL3/AL17</f>
        <v>7.2515747236266649E-3</v>
      </c>
    </row>
    <row r="4" spans="1:39" x14ac:dyDescent="0.3">
      <c r="A4" s="38">
        <v>2000</v>
      </c>
      <c r="B4" s="38" t="s">
        <v>402</v>
      </c>
      <c r="C4" s="38" t="s">
        <v>399</v>
      </c>
      <c r="D4" s="39">
        <v>45721</v>
      </c>
      <c r="E4" s="38" t="s">
        <v>22</v>
      </c>
      <c r="F4" s="38" t="s">
        <v>403</v>
      </c>
      <c r="G4" s="40">
        <v>336</v>
      </c>
      <c r="H4" s="40">
        <v>14040.49</v>
      </c>
      <c r="I4" s="40">
        <v>2246.48</v>
      </c>
      <c r="J4" s="40">
        <f t="shared" si="1"/>
        <v>16622.97</v>
      </c>
      <c r="K4" s="40">
        <v>16622.97</v>
      </c>
      <c r="L4" s="40">
        <f t="shared" si="2"/>
        <v>0</v>
      </c>
      <c r="M4" s="38" t="s">
        <v>35</v>
      </c>
      <c r="N4" s="54"/>
      <c r="O4" s="36"/>
      <c r="P4" s="40">
        <v>0</v>
      </c>
      <c r="Q4" s="40">
        <v>336</v>
      </c>
      <c r="R4" s="40"/>
      <c r="S4" s="40">
        <v>6140.49</v>
      </c>
      <c r="T4" s="40">
        <v>0</v>
      </c>
      <c r="U4" s="40">
        <v>0</v>
      </c>
      <c r="V4" s="40">
        <v>0</v>
      </c>
      <c r="W4" s="40">
        <v>7900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36">
        <f t="shared" si="0"/>
        <v>0</v>
      </c>
      <c r="AH4"/>
      <c r="AI4" s="58" t="s">
        <v>54</v>
      </c>
      <c r="AJ4" s="1">
        <f>+U100</f>
        <v>558468.45000000007</v>
      </c>
      <c r="AK4" s="1">
        <f>+'MAR USD '!AD19</f>
        <v>14280.210000000001</v>
      </c>
      <c r="AL4" s="1">
        <f t="shared" si="3"/>
        <v>572748.66</v>
      </c>
      <c r="AM4" s="56">
        <f>+AL4/AL17</f>
        <v>0.18793721939245933</v>
      </c>
    </row>
    <row r="5" spans="1:39" x14ac:dyDescent="0.3">
      <c r="A5" s="38">
        <v>1000</v>
      </c>
      <c r="B5" s="38" t="s">
        <v>408</v>
      </c>
      <c r="C5" s="38" t="s">
        <v>412</v>
      </c>
      <c r="D5" s="39">
        <v>45722</v>
      </c>
      <c r="E5" s="38" t="s">
        <v>40</v>
      </c>
      <c r="F5" s="38" t="s">
        <v>41</v>
      </c>
      <c r="G5" s="40">
        <v>0</v>
      </c>
      <c r="H5" s="40">
        <v>73861.990000000005</v>
      </c>
      <c r="I5" s="40">
        <v>11817.92</v>
      </c>
      <c r="J5" s="40">
        <f t="shared" si="1"/>
        <v>85679.91</v>
      </c>
      <c r="K5" s="40">
        <v>0</v>
      </c>
      <c r="L5" s="40">
        <f t="shared" si="2"/>
        <v>85679.91</v>
      </c>
      <c r="M5" s="38" t="s">
        <v>35</v>
      </c>
      <c r="N5" s="54"/>
      <c r="O5" s="36"/>
      <c r="P5" s="40">
        <v>0</v>
      </c>
      <c r="Q5" s="40">
        <v>0</v>
      </c>
      <c r="R5" s="41"/>
      <c r="S5" s="40">
        <v>6111.99</v>
      </c>
      <c r="T5" s="40">
        <v>0</v>
      </c>
      <c r="U5" s="40">
        <v>25750</v>
      </c>
      <c r="V5" s="40">
        <v>0</v>
      </c>
      <c r="W5" s="40">
        <v>42000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36">
        <f t="shared" si="0"/>
        <v>0</v>
      </c>
      <c r="AH5"/>
      <c r="AI5" s="58" t="s">
        <v>43</v>
      </c>
      <c r="AJ5" s="1">
        <f>+V100</f>
        <v>16647.13</v>
      </c>
      <c r="AK5" s="1">
        <f>+'MAR USD '!AE19</f>
        <v>157626.59000400003</v>
      </c>
      <c r="AL5" s="1">
        <f t="shared" si="3"/>
        <v>174273.72000400003</v>
      </c>
      <c r="AM5" s="56">
        <f>+AL5/AL17</f>
        <v>5.7184801358997124E-2</v>
      </c>
    </row>
    <row r="6" spans="1:39" x14ac:dyDescent="0.3">
      <c r="A6" s="38">
        <v>2000</v>
      </c>
      <c r="B6" s="38" t="s">
        <v>409</v>
      </c>
      <c r="C6" s="38" t="s">
        <v>413</v>
      </c>
      <c r="D6" s="39">
        <v>45722</v>
      </c>
      <c r="E6" s="38" t="s">
        <v>22</v>
      </c>
      <c r="F6" s="38" t="s">
        <v>403</v>
      </c>
      <c r="G6" s="40">
        <v>30731</v>
      </c>
      <c r="H6" s="40">
        <v>14163.85</v>
      </c>
      <c r="I6" s="40">
        <v>2266.2199999999998</v>
      </c>
      <c r="J6" s="40">
        <f t="shared" si="1"/>
        <v>47161.07</v>
      </c>
      <c r="K6" s="40">
        <v>47094.07</v>
      </c>
      <c r="L6" s="40">
        <f t="shared" si="2"/>
        <v>67</v>
      </c>
      <c r="M6" s="38" t="s">
        <v>35</v>
      </c>
      <c r="N6" s="54"/>
      <c r="O6" s="36"/>
      <c r="P6" s="40">
        <v>0</v>
      </c>
      <c r="Q6" s="40">
        <v>30731</v>
      </c>
      <c r="R6" s="41"/>
      <c r="S6" s="40">
        <v>4085.54</v>
      </c>
      <c r="T6" s="40">
        <v>0</v>
      </c>
      <c r="U6" s="40">
        <v>0</v>
      </c>
      <c r="V6" s="40">
        <v>0</v>
      </c>
      <c r="W6" s="40">
        <v>3950</v>
      </c>
      <c r="X6" s="40">
        <v>6128.31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36">
        <f t="shared" si="0"/>
        <v>0</v>
      </c>
      <c r="AH6"/>
      <c r="AI6" s="58" t="s">
        <v>0</v>
      </c>
      <c r="AJ6" s="1">
        <f>+W100</f>
        <v>1298164</v>
      </c>
      <c r="AK6" s="1">
        <f>+'MAR USD '!AB19</f>
        <v>402610.74164999998</v>
      </c>
      <c r="AL6" s="1">
        <f t="shared" si="3"/>
        <v>1700774.74165</v>
      </c>
      <c r="AM6" s="56">
        <f>+AL6/AL17</f>
        <v>0.55807878408415545</v>
      </c>
    </row>
    <row r="7" spans="1:39" x14ac:dyDescent="0.3">
      <c r="A7" s="38">
        <v>2000</v>
      </c>
      <c r="B7" s="38" t="s">
        <v>410</v>
      </c>
      <c r="C7" s="50" t="s">
        <v>414</v>
      </c>
      <c r="D7" s="39">
        <v>45722</v>
      </c>
      <c r="E7" s="38" t="s">
        <v>20</v>
      </c>
      <c r="F7" s="38" t="s">
        <v>21</v>
      </c>
      <c r="G7" s="40">
        <v>40553</v>
      </c>
      <c r="H7" s="40">
        <v>7700.77</v>
      </c>
      <c r="I7" s="40">
        <v>1232.1300000000001</v>
      </c>
      <c r="J7" s="40">
        <f t="shared" si="1"/>
        <v>49485.9</v>
      </c>
      <c r="K7" s="40">
        <v>49485.9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v>40553</v>
      </c>
      <c r="R7" s="41"/>
      <c r="S7" s="40">
        <f>6165.35+1535.42</f>
        <v>7700.77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36">
        <f t="shared" si="0"/>
        <v>0</v>
      </c>
      <c r="AH7"/>
      <c r="AI7" s="58" t="s">
        <v>46</v>
      </c>
      <c r="AJ7" s="1">
        <f>+X100</f>
        <v>38443.89</v>
      </c>
      <c r="AK7" s="1"/>
      <c r="AL7" s="1">
        <f t="shared" si="3"/>
        <v>38443.89</v>
      </c>
      <c r="AM7" s="80">
        <f>+AL7/AL17</f>
        <v>1.261467427829438E-2</v>
      </c>
    </row>
    <row r="8" spans="1:39" x14ac:dyDescent="0.3">
      <c r="A8" s="38">
        <v>1000</v>
      </c>
      <c r="B8" s="38" t="s">
        <v>411</v>
      </c>
      <c r="C8" s="38" t="s">
        <v>415</v>
      </c>
      <c r="D8" s="39">
        <v>45722</v>
      </c>
      <c r="E8" s="38" t="s">
        <v>418</v>
      </c>
      <c r="F8" s="38" t="s">
        <v>407</v>
      </c>
      <c r="G8" s="40">
        <v>14746</v>
      </c>
      <c r="H8" s="40">
        <v>34700</v>
      </c>
      <c r="I8" s="40">
        <v>5552</v>
      </c>
      <c r="J8" s="40">
        <f t="shared" si="1"/>
        <v>54998</v>
      </c>
      <c r="K8" s="40">
        <v>54998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14746</v>
      </c>
      <c r="R8" s="41"/>
      <c r="S8" s="40">
        <v>6500</v>
      </c>
      <c r="T8" s="40">
        <v>0</v>
      </c>
      <c r="U8" s="40">
        <v>24000</v>
      </c>
      <c r="V8" s="40">
        <v>0</v>
      </c>
      <c r="W8" s="40">
        <v>4200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36">
        <f t="shared" si="0"/>
        <v>0</v>
      </c>
      <c r="AH8"/>
      <c r="AI8" s="58" t="s">
        <v>478</v>
      </c>
      <c r="AJ8" s="1">
        <f>+Y100</f>
        <v>12000</v>
      </c>
      <c r="AK8" s="1"/>
      <c r="AL8" s="1">
        <f t="shared" si="3"/>
        <v>12000</v>
      </c>
      <c r="AM8" s="56">
        <f>+AL8/AL17</f>
        <v>3.9375851751613207E-3</v>
      </c>
    </row>
    <row r="9" spans="1:39" x14ac:dyDescent="0.3">
      <c r="A9" s="38">
        <v>1000</v>
      </c>
      <c r="B9" s="38" t="s">
        <v>419</v>
      </c>
      <c r="C9" s="38" t="s">
        <v>421</v>
      </c>
      <c r="D9" s="39">
        <v>45726</v>
      </c>
      <c r="E9" s="38" t="s">
        <v>40</v>
      </c>
      <c r="F9" t="s">
        <v>41</v>
      </c>
      <c r="G9" s="40">
        <v>0</v>
      </c>
      <c r="H9" s="40">
        <v>11340.08</v>
      </c>
      <c r="I9" s="40">
        <v>1814.42</v>
      </c>
      <c r="J9" s="40">
        <f t="shared" si="1"/>
        <v>13154.5</v>
      </c>
      <c r="K9" s="40">
        <v>0</v>
      </c>
      <c r="L9" s="40">
        <f t="shared" si="2"/>
        <v>13154.5</v>
      </c>
      <c r="M9" s="38" t="s">
        <v>35</v>
      </c>
      <c r="N9" s="54"/>
      <c r="O9" s="36"/>
      <c r="P9" s="40">
        <v>0</v>
      </c>
      <c r="Q9" s="40">
        <v>0</v>
      </c>
      <c r="R9" s="41"/>
      <c r="S9" s="40">
        <v>4092.8</v>
      </c>
      <c r="T9" s="40">
        <v>0</v>
      </c>
      <c r="U9" s="40">
        <v>3569.8</v>
      </c>
      <c r="V9" s="40">
        <v>1177.48</v>
      </c>
      <c r="W9" s="40">
        <v>2500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36">
        <f t="shared" si="0"/>
        <v>0</v>
      </c>
      <c r="AH9"/>
      <c r="AI9" s="58" t="s">
        <v>514</v>
      </c>
      <c r="AJ9" s="1">
        <f>+Z100</f>
        <v>7200</v>
      </c>
      <c r="AK9" s="1"/>
      <c r="AL9" s="1">
        <f t="shared" si="3"/>
        <v>7200</v>
      </c>
      <c r="AM9" s="56">
        <f>+AL9/AL17</f>
        <v>2.3625511050967924E-3</v>
      </c>
    </row>
    <row r="10" spans="1:39" x14ac:dyDescent="0.3">
      <c r="A10" s="38">
        <v>1000</v>
      </c>
      <c r="B10" s="38" t="s">
        <v>420</v>
      </c>
      <c r="C10" s="38" t="s">
        <v>422</v>
      </c>
      <c r="D10" s="39">
        <v>45728</v>
      </c>
      <c r="E10" s="38" t="s">
        <v>40</v>
      </c>
      <c r="F10" s="38" t="s">
        <v>41</v>
      </c>
      <c r="G10" s="40">
        <v>0</v>
      </c>
      <c r="H10" s="40">
        <v>3540</v>
      </c>
      <c r="I10" s="40">
        <v>566.4</v>
      </c>
      <c r="J10" s="40">
        <f t="shared" si="1"/>
        <v>4106.3999999999996</v>
      </c>
      <c r="K10" s="40">
        <v>0</v>
      </c>
      <c r="L10" s="40">
        <f t="shared" si="2"/>
        <v>4106.3999999999996</v>
      </c>
      <c r="M10" s="38" t="s">
        <v>35</v>
      </c>
      <c r="N10" s="54"/>
      <c r="O10" s="36"/>
      <c r="P10" s="40">
        <v>0</v>
      </c>
      <c r="Q10" s="40">
        <v>0</v>
      </c>
      <c r="R10" s="41"/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3540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36">
        <f t="shared" si="0"/>
        <v>0</v>
      </c>
      <c r="AH10"/>
      <c r="AI10" s="58" t="s">
        <v>48</v>
      </c>
      <c r="AJ10" s="1">
        <f>+AA100</f>
        <v>10620</v>
      </c>
      <c r="AK10" s="1"/>
      <c r="AL10" s="1">
        <f t="shared" si="3"/>
        <v>10620</v>
      </c>
      <c r="AM10" s="56">
        <f>+AL10/AL17</f>
        <v>3.4847628800177689E-3</v>
      </c>
    </row>
    <row r="11" spans="1:39" x14ac:dyDescent="0.3">
      <c r="A11" s="38">
        <v>2000</v>
      </c>
      <c r="B11" s="38" t="s">
        <v>432</v>
      </c>
      <c r="C11" s="2" t="s">
        <v>423</v>
      </c>
      <c r="D11" s="39">
        <v>45729</v>
      </c>
      <c r="E11" s="38" t="s">
        <v>22</v>
      </c>
      <c r="F11" s="38" t="s">
        <v>403</v>
      </c>
      <c r="G11" s="40">
        <v>6808</v>
      </c>
      <c r="H11" s="40">
        <v>4101.6000000000004</v>
      </c>
      <c r="I11" s="40">
        <v>656.26</v>
      </c>
      <c r="J11" s="40">
        <f t="shared" si="1"/>
        <v>11565.86</v>
      </c>
      <c r="K11" s="40">
        <v>11565.86</v>
      </c>
      <c r="L11" s="40">
        <f t="shared" si="2"/>
        <v>0</v>
      </c>
      <c r="M11" s="38" t="s">
        <v>35</v>
      </c>
      <c r="N11" s="54"/>
      <c r="O11" s="36"/>
      <c r="P11" s="40">
        <v>0</v>
      </c>
      <c r="Q11" s="40">
        <v>6808</v>
      </c>
      <c r="R11" s="41"/>
      <c r="S11" s="40">
        <v>4101.6000000000004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36">
        <f t="shared" si="0"/>
        <v>0</v>
      </c>
      <c r="AH11"/>
      <c r="AI11" s="58" t="s">
        <v>545</v>
      </c>
      <c r="AJ11" s="1">
        <f>+AB100</f>
        <v>8440</v>
      </c>
      <c r="AK11" s="1"/>
      <c r="AL11" s="1">
        <f t="shared" si="3"/>
        <v>8440</v>
      </c>
      <c r="AM11" s="56">
        <f>+AL11/AL17</f>
        <v>2.769434906530129E-3</v>
      </c>
    </row>
    <row r="12" spans="1:39" ht="14.4" customHeight="1" x14ac:dyDescent="0.3">
      <c r="A12" s="38">
        <v>2000</v>
      </c>
      <c r="B12" s="38" t="s">
        <v>433</v>
      </c>
      <c r="C12" s="2" t="s">
        <v>424</v>
      </c>
      <c r="D12" s="39">
        <v>45729</v>
      </c>
      <c r="E12" s="38" t="s">
        <v>22</v>
      </c>
      <c r="F12" s="38" t="s">
        <v>403</v>
      </c>
      <c r="G12" s="40">
        <v>336</v>
      </c>
      <c r="H12" s="40">
        <v>14155.54</v>
      </c>
      <c r="I12" s="40">
        <v>2264.89</v>
      </c>
      <c r="J12" s="40">
        <f t="shared" si="1"/>
        <v>16756.43</v>
      </c>
      <c r="K12" s="40">
        <v>16756.43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336</v>
      </c>
      <c r="R12" s="41"/>
      <c r="S12" s="40">
        <v>6255.54</v>
      </c>
      <c r="T12" s="40">
        <v>0</v>
      </c>
      <c r="U12" s="40">
        <v>0</v>
      </c>
      <c r="V12" s="40">
        <v>0</v>
      </c>
      <c r="W12" s="40">
        <v>7900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36">
        <f t="shared" si="0"/>
        <v>0</v>
      </c>
      <c r="AH12"/>
      <c r="AI12" s="58" t="s">
        <v>546</v>
      </c>
      <c r="AJ12" s="1">
        <f>+AC100</f>
        <v>6500</v>
      </c>
      <c r="AK12" s="1"/>
      <c r="AL12" s="1">
        <f t="shared" si="3"/>
        <v>6500</v>
      </c>
      <c r="AM12" s="56">
        <f>+AL12/AL17</f>
        <v>2.1328586365457155E-3</v>
      </c>
    </row>
    <row r="13" spans="1:39" x14ac:dyDescent="0.3">
      <c r="A13" s="38">
        <v>2000</v>
      </c>
      <c r="B13" s="38" t="s">
        <v>434</v>
      </c>
      <c r="C13" s="2" t="s">
        <v>425</v>
      </c>
      <c r="D13" s="39">
        <v>45729</v>
      </c>
      <c r="E13" s="38" t="s">
        <v>22</v>
      </c>
      <c r="F13" s="38" t="s">
        <v>403</v>
      </c>
      <c r="G13" s="40">
        <v>781</v>
      </c>
      <c r="H13" s="40">
        <v>8120.36</v>
      </c>
      <c r="I13" s="40">
        <v>1299.26</v>
      </c>
      <c r="J13" s="40">
        <f t="shared" si="1"/>
        <v>10200.620000000001</v>
      </c>
      <c r="K13" s="40">
        <v>10200.620000000001</v>
      </c>
      <c r="L13" s="40">
        <f t="shared" si="2"/>
        <v>0</v>
      </c>
      <c r="M13" s="38" t="s">
        <v>35</v>
      </c>
      <c r="N13" s="54"/>
      <c r="O13" s="36"/>
      <c r="P13" s="40">
        <v>0</v>
      </c>
      <c r="Q13" s="40">
        <v>781</v>
      </c>
      <c r="R13" s="41"/>
      <c r="S13" s="40">
        <v>4170.3599999999997</v>
      </c>
      <c r="T13" s="40">
        <v>0</v>
      </c>
      <c r="U13" s="40">
        <v>0</v>
      </c>
      <c r="V13" s="40">
        <v>0</v>
      </c>
      <c r="W13" s="40">
        <v>3950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36">
        <f t="shared" si="0"/>
        <v>0</v>
      </c>
      <c r="AH13"/>
      <c r="AI13" s="58" t="s">
        <v>585</v>
      </c>
      <c r="AJ13" s="1">
        <f>+AD100</f>
        <v>1000</v>
      </c>
      <c r="AK13" s="1"/>
      <c r="AL13" s="1">
        <f t="shared" si="3"/>
        <v>1000</v>
      </c>
      <c r="AM13" s="56">
        <f>+AL13/AL17</f>
        <v>3.2813209793011006E-4</v>
      </c>
    </row>
    <row r="14" spans="1:39" x14ac:dyDescent="0.3">
      <c r="A14" s="38">
        <v>2000</v>
      </c>
      <c r="B14" s="38" t="s">
        <v>435</v>
      </c>
      <c r="C14" s="2" t="s">
        <v>426</v>
      </c>
      <c r="D14" s="39">
        <v>45729</v>
      </c>
      <c r="E14" s="38" t="s">
        <v>22</v>
      </c>
      <c r="F14" s="38" t="s">
        <v>403</v>
      </c>
      <c r="G14" s="40">
        <v>781</v>
      </c>
      <c r="H14" s="40">
        <v>8120.36</v>
      </c>
      <c r="I14" s="40">
        <v>1299.26</v>
      </c>
      <c r="J14" s="40">
        <f t="shared" si="1"/>
        <v>10200.620000000001</v>
      </c>
      <c r="K14" s="40">
        <v>10200.620000000001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781</v>
      </c>
      <c r="R14" s="41"/>
      <c r="S14" s="40">
        <v>4170.3599999999997</v>
      </c>
      <c r="T14" s="40">
        <v>0</v>
      </c>
      <c r="U14" s="40">
        <v>0</v>
      </c>
      <c r="V14" s="40">
        <v>0</v>
      </c>
      <c r="W14" s="40">
        <v>3950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36">
        <f t="shared" si="0"/>
        <v>0</v>
      </c>
      <c r="AH14"/>
      <c r="AI14" s="58" t="s">
        <v>586</v>
      </c>
      <c r="AJ14" s="1">
        <f>+AE100</f>
        <v>3195</v>
      </c>
      <c r="AK14" s="1"/>
      <c r="AL14" s="1">
        <f t="shared" si="3"/>
        <v>3195</v>
      </c>
      <c r="AM14" s="56">
        <f>+AL14/AL17</f>
        <v>1.0483820528867016E-3</v>
      </c>
    </row>
    <row r="15" spans="1:39" x14ac:dyDescent="0.3">
      <c r="A15" s="38">
        <v>2000</v>
      </c>
      <c r="B15" s="38" t="s">
        <v>436</v>
      </c>
      <c r="C15" s="2" t="s">
        <v>427</v>
      </c>
      <c r="D15" s="39">
        <v>45729</v>
      </c>
      <c r="E15" s="38" t="s">
        <v>22</v>
      </c>
      <c r="F15" s="38" t="s">
        <v>403</v>
      </c>
      <c r="G15" s="40">
        <v>781</v>
      </c>
      <c r="H15" s="40">
        <v>8120.36</v>
      </c>
      <c r="I15" s="40">
        <v>1299.26</v>
      </c>
      <c r="J15" s="40">
        <f t="shared" si="1"/>
        <v>10200.620000000001</v>
      </c>
      <c r="K15" s="40">
        <v>10200.620000000001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781</v>
      </c>
      <c r="R15" s="41"/>
      <c r="S15" s="40">
        <v>4170.3599999999997</v>
      </c>
      <c r="T15" s="40">
        <v>0</v>
      </c>
      <c r="U15" s="40">
        <v>0</v>
      </c>
      <c r="V15" s="40">
        <v>0</v>
      </c>
      <c r="W15" s="40">
        <v>3950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36">
        <f t="shared" si="0"/>
        <v>0</v>
      </c>
      <c r="AH15"/>
      <c r="AI15" s="58" t="s">
        <v>52</v>
      </c>
      <c r="AJ15" s="1">
        <f>+AF100</f>
        <v>43554.1</v>
      </c>
      <c r="AK15" s="1">
        <f>+'MAR USD '!AF19</f>
        <v>49830.212744999997</v>
      </c>
      <c r="AL15" s="1">
        <f t="shared" si="3"/>
        <v>93384.312745000003</v>
      </c>
      <c r="AM15" s="56">
        <f>+AL15/AL17</f>
        <v>3.0642390454778366E-2</v>
      </c>
    </row>
    <row r="16" spans="1:39" x14ac:dyDescent="0.3">
      <c r="A16" s="38">
        <v>2000</v>
      </c>
      <c r="B16" s="38" t="s">
        <v>437</v>
      </c>
      <c r="C16" s="2" t="s">
        <v>428</v>
      </c>
      <c r="D16" s="39">
        <v>45729</v>
      </c>
      <c r="E16" s="38" t="s">
        <v>22</v>
      </c>
      <c r="F16" s="38" t="s">
        <v>403</v>
      </c>
      <c r="G16" s="40">
        <v>336</v>
      </c>
      <c r="H16" s="40">
        <v>14155.54</v>
      </c>
      <c r="I16" s="40">
        <v>2264.89</v>
      </c>
      <c r="J16" s="40">
        <f t="shared" si="1"/>
        <v>16756.43</v>
      </c>
      <c r="K16" s="40">
        <v>16756.43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336</v>
      </c>
      <c r="R16" s="41"/>
      <c r="S16" s="40">
        <v>6255.54</v>
      </c>
      <c r="T16" s="40">
        <v>0</v>
      </c>
      <c r="U16" s="40">
        <v>0</v>
      </c>
      <c r="V16" s="40">
        <v>0</v>
      </c>
      <c r="W16" s="40">
        <v>7900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36">
        <f t="shared" si="0"/>
        <v>0</v>
      </c>
      <c r="AH16"/>
      <c r="AI16" s="58"/>
      <c r="AK16" s="1"/>
      <c r="AL16" s="1"/>
      <c r="AM16" s="56"/>
    </row>
    <row r="17" spans="1:39" x14ac:dyDescent="0.3">
      <c r="A17" s="38">
        <v>1000</v>
      </c>
      <c r="B17" s="38" t="s">
        <v>438</v>
      </c>
      <c r="C17" s="2" t="s">
        <v>429</v>
      </c>
      <c r="D17" s="39">
        <v>45730</v>
      </c>
      <c r="E17" s="38" t="s">
        <v>40</v>
      </c>
      <c r="F17" s="38" t="s">
        <v>41</v>
      </c>
      <c r="G17" s="40">
        <v>0</v>
      </c>
      <c r="H17" s="40">
        <v>9517.7999999999993</v>
      </c>
      <c r="I17" s="40">
        <v>1522.85</v>
      </c>
      <c r="J17" s="40">
        <f t="shared" si="1"/>
        <v>11040.65</v>
      </c>
      <c r="K17" s="83">
        <v>0</v>
      </c>
      <c r="L17" s="40">
        <f t="shared" si="2"/>
        <v>11040.65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4055.54</v>
      </c>
      <c r="T17" s="40">
        <v>1500</v>
      </c>
      <c r="U17" s="40">
        <v>1462.26</v>
      </c>
      <c r="V17" s="40">
        <v>0</v>
      </c>
      <c r="W17" s="40">
        <v>2500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36">
        <f t="shared" si="0"/>
        <v>0</v>
      </c>
      <c r="AH17"/>
      <c r="AI17" s="37"/>
      <c r="AJ17" s="45">
        <f>+SUM(AJ2:AJ16)</f>
        <v>2418159.7700000005</v>
      </c>
      <c r="AK17" s="45">
        <f>+SUM(AK2:AK16)</f>
        <v>629393.35359900002</v>
      </c>
      <c r="AL17" s="45">
        <f>+SUM(AL2:AL16)</f>
        <v>3047553.1235990003</v>
      </c>
      <c r="AM17" s="57">
        <f>+SUM(AM2:AM16)</f>
        <v>1</v>
      </c>
    </row>
    <row r="18" spans="1:39" x14ac:dyDescent="0.3">
      <c r="A18" s="38">
        <v>2000</v>
      </c>
      <c r="B18" s="38" t="s">
        <v>439</v>
      </c>
      <c r="C18" s="2" t="s">
        <v>430</v>
      </c>
      <c r="D18" s="39">
        <v>45730</v>
      </c>
      <c r="E18" s="38" t="s">
        <v>53</v>
      </c>
      <c r="F18" t="s">
        <v>199</v>
      </c>
      <c r="G18" s="40">
        <v>336</v>
      </c>
      <c r="H18" s="40">
        <v>15356</v>
      </c>
      <c r="I18" s="40">
        <v>2456.96</v>
      </c>
      <c r="J18" s="40">
        <f t="shared" si="1"/>
        <v>18148.96</v>
      </c>
      <c r="K18" s="40">
        <v>18593.96</v>
      </c>
      <c r="L18" s="40">
        <f t="shared" si="2"/>
        <v>-445</v>
      </c>
      <c r="M18" s="38" t="s">
        <v>35</v>
      </c>
      <c r="N18" s="54"/>
      <c r="O18" s="36"/>
      <c r="P18" s="40">
        <v>0</v>
      </c>
      <c r="Q18" s="40">
        <v>336</v>
      </c>
      <c r="R18" s="41"/>
      <c r="S18" s="40">
        <f>7678+7678</f>
        <v>15356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36">
        <f t="shared" si="0"/>
        <v>0</v>
      </c>
      <c r="AH18"/>
      <c r="AJ18" s="36"/>
      <c r="AK18" s="36"/>
      <c r="AL18" s="1"/>
    </row>
    <row r="19" spans="1:39" x14ac:dyDescent="0.3">
      <c r="A19" s="38">
        <v>1000</v>
      </c>
      <c r="B19" s="38" t="s">
        <v>440</v>
      </c>
      <c r="C19" s="2" t="s">
        <v>431</v>
      </c>
      <c r="D19" s="39">
        <v>45730</v>
      </c>
      <c r="E19" s="38" t="s">
        <v>42</v>
      </c>
      <c r="F19" s="38" t="s">
        <v>49</v>
      </c>
      <c r="G19" s="40">
        <v>1019</v>
      </c>
      <c r="H19" s="40">
        <v>16078.51</v>
      </c>
      <c r="I19" s="40">
        <v>2572.56</v>
      </c>
      <c r="J19" s="40">
        <f t="shared" si="1"/>
        <v>19670.070000000003</v>
      </c>
      <c r="K19" s="40">
        <v>19670.07</v>
      </c>
      <c r="L19" s="40">
        <f t="shared" si="2"/>
        <v>0</v>
      </c>
      <c r="M19" s="38" t="s">
        <v>35</v>
      </c>
      <c r="N19" s="54"/>
      <c r="O19" s="36"/>
      <c r="P19" s="40">
        <v>0</v>
      </c>
      <c r="Q19" s="40">
        <v>1019</v>
      </c>
      <c r="R19" s="41"/>
      <c r="S19" s="40">
        <v>6078.51</v>
      </c>
      <c r="T19" s="40">
        <v>0</v>
      </c>
      <c r="U19" s="40">
        <v>10000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36">
        <f t="shared" si="0"/>
        <v>0</v>
      </c>
      <c r="AH19"/>
      <c r="AI19" s="37"/>
      <c r="AK19" s="1"/>
      <c r="AL19" s="1"/>
    </row>
    <row r="20" spans="1:39" x14ac:dyDescent="0.3">
      <c r="A20" s="38">
        <v>2000</v>
      </c>
      <c r="B20" s="38" t="s">
        <v>443</v>
      </c>
      <c r="C20" s="50" t="s">
        <v>461</v>
      </c>
      <c r="D20" s="39">
        <v>45735</v>
      </c>
      <c r="E20" s="38" t="s">
        <v>198</v>
      </c>
      <c r="F20" s="38" t="s">
        <v>200</v>
      </c>
      <c r="G20" s="40">
        <v>0</v>
      </c>
      <c r="H20" s="40">
        <v>22000</v>
      </c>
      <c r="I20" s="40">
        <v>3520</v>
      </c>
      <c r="J20" s="40">
        <f t="shared" si="1"/>
        <v>25520</v>
      </c>
      <c r="K20" s="40">
        <v>25520</v>
      </c>
      <c r="L20" s="40">
        <f t="shared" si="2"/>
        <v>0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0</v>
      </c>
      <c r="T20" s="40">
        <v>0</v>
      </c>
      <c r="U20" s="40">
        <v>0</v>
      </c>
      <c r="V20" s="40">
        <v>0</v>
      </c>
      <c r="W20" s="40">
        <v>22000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36">
        <f t="shared" si="0"/>
        <v>0</v>
      </c>
      <c r="AH20"/>
      <c r="AI20" s="37"/>
      <c r="AK20" s="1"/>
      <c r="AL20" s="1"/>
    </row>
    <row r="21" spans="1:39" x14ac:dyDescent="0.3">
      <c r="A21" s="38">
        <v>2000</v>
      </c>
      <c r="B21" s="38" t="s">
        <v>444</v>
      </c>
      <c r="C21" s="50" t="s">
        <v>462</v>
      </c>
      <c r="D21" s="39">
        <v>45735</v>
      </c>
      <c r="E21" s="38" t="s">
        <v>198</v>
      </c>
      <c r="F21" s="38" t="s">
        <v>200</v>
      </c>
      <c r="G21" s="40">
        <v>0</v>
      </c>
      <c r="H21" s="40">
        <v>22000</v>
      </c>
      <c r="I21" s="40">
        <v>3520</v>
      </c>
      <c r="J21" s="40">
        <f t="shared" si="1"/>
        <v>25520</v>
      </c>
      <c r="K21" s="40">
        <v>25520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0</v>
      </c>
      <c r="R21" s="41"/>
      <c r="S21" s="40">
        <v>0</v>
      </c>
      <c r="T21" s="40">
        <v>0</v>
      </c>
      <c r="U21" s="40">
        <v>0</v>
      </c>
      <c r="V21" s="40">
        <v>0</v>
      </c>
      <c r="W21" s="40">
        <v>22000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36">
        <f t="shared" si="0"/>
        <v>0</v>
      </c>
      <c r="AH21"/>
      <c r="AI21" s="37"/>
      <c r="AJ21" s="52"/>
      <c r="AK21" s="1"/>
      <c r="AL21" s="1"/>
    </row>
    <row r="22" spans="1:39" x14ac:dyDescent="0.3">
      <c r="A22" s="38">
        <v>2000</v>
      </c>
      <c r="B22" s="38" t="s">
        <v>445</v>
      </c>
      <c r="C22" s="50" t="s">
        <v>463</v>
      </c>
      <c r="D22" s="39">
        <v>45735</v>
      </c>
      <c r="E22" s="38" t="s">
        <v>198</v>
      </c>
      <c r="F22" s="38" t="s">
        <v>200</v>
      </c>
      <c r="G22" s="40">
        <v>0</v>
      </c>
      <c r="H22" s="40">
        <v>22000</v>
      </c>
      <c r="I22" s="40">
        <v>3520</v>
      </c>
      <c r="J22" s="40">
        <f>SUM(G22:I22)</f>
        <v>25520</v>
      </c>
      <c r="K22" s="40">
        <v>25520</v>
      </c>
      <c r="L22" s="40">
        <f t="shared" si="2"/>
        <v>0</v>
      </c>
      <c r="M22" s="38" t="s">
        <v>35</v>
      </c>
      <c r="N22" s="54"/>
      <c r="O22" s="36"/>
      <c r="P22" s="40">
        <v>0</v>
      </c>
      <c r="Q22" s="40">
        <v>0</v>
      </c>
      <c r="R22" s="41"/>
      <c r="S22" s="40">
        <v>0</v>
      </c>
      <c r="T22" s="40">
        <v>0</v>
      </c>
      <c r="U22" s="40">
        <v>0</v>
      </c>
      <c r="V22" s="40">
        <v>0</v>
      </c>
      <c r="W22" s="40">
        <v>22000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36">
        <f t="shared" si="0"/>
        <v>0</v>
      </c>
      <c r="AH22"/>
      <c r="AI22" s="37"/>
      <c r="AJ22" s="52"/>
      <c r="AK22" s="1"/>
      <c r="AL22" s="1"/>
    </row>
    <row r="23" spans="1:39" x14ac:dyDescent="0.3">
      <c r="A23" s="38">
        <v>2000</v>
      </c>
      <c r="B23" s="38" t="s">
        <v>446</v>
      </c>
      <c r="C23" s="38" t="s">
        <v>464</v>
      </c>
      <c r="D23" s="39">
        <v>45735</v>
      </c>
      <c r="E23" s="38" t="s">
        <v>198</v>
      </c>
      <c r="F23" s="38" t="s">
        <v>200</v>
      </c>
      <c r="G23" s="40">
        <v>0</v>
      </c>
      <c r="H23" s="40">
        <v>22000</v>
      </c>
      <c r="I23" s="40">
        <v>3520</v>
      </c>
      <c r="J23" s="40">
        <f t="shared" si="1"/>
        <v>25520</v>
      </c>
      <c r="K23" s="40">
        <v>25520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0</v>
      </c>
      <c r="R23" s="41"/>
      <c r="S23" s="40">
        <v>0</v>
      </c>
      <c r="T23" s="40">
        <v>0</v>
      </c>
      <c r="U23" s="40">
        <v>0</v>
      </c>
      <c r="V23" s="40">
        <v>0</v>
      </c>
      <c r="W23" s="40">
        <v>22000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36">
        <f t="shared" si="0"/>
        <v>0</v>
      </c>
      <c r="AH23"/>
      <c r="AI23" s="37"/>
      <c r="AK23" s="1"/>
      <c r="AL23" s="1"/>
    </row>
    <row r="24" spans="1:39" x14ac:dyDescent="0.3">
      <c r="A24" s="38">
        <v>1000</v>
      </c>
      <c r="B24" s="38" t="s">
        <v>447</v>
      </c>
      <c r="C24" s="38" t="s">
        <v>465</v>
      </c>
      <c r="D24" s="39">
        <v>45735</v>
      </c>
      <c r="E24" s="38" t="s">
        <v>319</v>
      </c>
      <c r="F24" s="38" t="s">
        <v>318</v>
      </c>
      <c r="G24" s="40">
        <v>5563</v>
      </c>
      <c r="H24" s="40">
        <v>19998</v>
      </c>
      <c r="I24" s="40">
        <v>3199.68</v>
      </c>
      <c r="J24" s="40">
        <f t="shared" si="1"/>
        <v>28760.68</v>
      </c>
      <c r="K24" s="40">
        <v>28670.68</v>
      </c>
      <c r="L24" s="40">
        <f t="shared" si="2"/>
        <v>90</v>
      </c>
      <c r="M24" s="38" t="s">
        <v>35</v>
      </c>
      <c r="N24" s="54"/>
      <c r="O24" s="36"/>
      <c r="P24" s="40">
        <v>0</v>
      </c>
      <c r="Q24" s="40">
        <v>5563</v>
      </c>
      <c r="R24" s="41"/>
      <c r="S24" s="40">
        <v>4450</v>
      </c>
      <c r="T24" s="40">
        <v>0</v>
      </c>
      <c r="U24" s="40">
        <v>6500</v>
      </c>
      <c r="V24" s="40">
        <v>0</v>
      </c>
      <c r="W24" s="40">
        <v>9048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36">
        <f t="shared" si="0"/>
        <v>0</v>
      </c>
      <c r="AH24"/>
      <c r="AI24" s="37"/>
      <c r="AJ24" s="53"/>
      <c r="AK24" s="1"/>
      <c r="AL24" s="1"/>
    </row>
    <row r="25" spans="1:39" x14ac:dyDescent="0.3">
      <c r="A25" s="38">
        <v>2000</v>
      </c>
      <c r="B25" s="38" t="s">
        <v>448</v>
      </c>
      <c r="C25" s="38" t="s">
        <v>466</v>
      </c>
      <c r="D25" s="39">
        <v>45735</v>
      </c>
      <c r="E25" s="38" t="s">
        <v>22</v>
      </c>
      <c r="F25" s="38" t="s">
        <v>403</v>
      </c>
      <c r="G25" s="40">
        <v>3550</v>
      </c>
      <c r="H25" s="40">
        <v>8005.74</v>
      </c>
      <c r="I25" s="40">
        <v>1280.92</v>
      </c>
      <c r="J25" s="40">
        <f t="shared" si="1"/>
        <v>12836.66</v>
      </c>
      <c r="K25" s="40">
        <v>12836.66</v>
      </c>
      <c r="L25" s="40">
        <f t="shared" si="2"/>
        <v>0</v>
      </c>
      <c r="M25" s="38" t="s">
        <v>35</v>
      </c>
      <c r="N25" s="54"/>
      <c r="O25" s="36"/>
      <c r="P25" s="40">
        <v>0</v>
      </c>
      <c r="Q25" s="40">
        <v>3550</v>
      </c>
      <c r="R25" s="41"/>
      <c r="S25" s="40">
        <v>4055.74</v>
      </c>
      <c r="T25" s="40">
        <v>0</v>
      </c>
      <c r="U25" s="40">
        <v>0</v>
      </c>
      <c r="V25" s="40">
        <v>0</v>
      </c>
      <c r="W25" s="40">
        <v>3950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36">
        <f t="shared" si="0"/>
        <v>0</v>
      </c>
      <c r="AH25"/>
      <c r="AI25" s="37"/>
      <c r="AK25" s="1"/>
      <c r="AL25" s="1"/>
    </row>
    <row r="26" spans="1:39" x14ac:dyDescent="0.3">
      <c r="A26" s="38">
        <v>2000</v>
      </c>
      <c r="B26" s="38" t="s">
        <v>449</v>
      </c>
      <c r="C26" s="38" t="s">
        <v>467</v>
      </c>
      <c r="D26" s="39">
        <v>45735</v>
      </c>
      <c r="E26" s="38" t="s">
        <v>22</v>
      </c>
      <c r="F26" s="38" t="s">
        <v>403</v>
      </c>
      <c r="G26" s="40">
        <v>781</v>
      </c>
      <c r="H26" s="40">
        <v>8036.66</v>
      </c>
      <c r="I26" s="40">
        <v>1285.8699999999999</v>
      </c>
      <c r="J26" s="40">
        <f t="shared" si="1"/>
        <v>10103.529999999999</v>
      </c>
      <c r="K26" s="40">
        <v>10068.66</v>
      </c>
      <c r="L26" s="40">
        <f t="shared" si="2"/>
        <v>34.869999999998981</v>
      </c>
      <c r="M26" s="38" t="s">
        <v>35</v>
      </c>
      <c r="N26" s="54"/>
      <c r="O26" s="36"/>
      <c r="P26" s="40">
        <v>0</v>
      </c>
      <c r="Q26" s="40">
        <v>781</v>
      </c>
      <c r="R26" s="41"/>
      <c r="S26" s="40">
        <v>4086.66</v>
      </c>
      <c r="T26" s="40">
        <v>0</v>
      </c>
      <c r="U26" s="40">
        <v>0</v>
      </c>
      <c r="V26" s="40">
        <v>0</v>
      </c>
      <c r="W26" s="40">
        <v>3950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36">
        <f t="shared" si="0"/>
        <v>0</v>
      </c>
      <c r="AH26"/>
      <c r="AI26" s="37"/>
      <c r="AK26" s="1"/>
      <c r="AL26" s="1"/>
    </row>
    <row r="27" spans="1:39" x14ac:dyDescent="0.3">
      <c r="A27" s="38">
        <v>2000</v>
      </c>
      <c r="B27" s="38" t="s">
        <v>450</v>
      </c>
      <c r="C27" s="38" t="s">
        <v>468</v>
      </c>
      <c r="D27" s="39">
        <v>45735</v>
      </c>
      <c r="E27" s="38" t="s">
        <v>22</v>
      </c>
      <c r="F27" s="38" t="s">
        <v>403</v>
      </c>
      <c r="G27" s="40">
        <v>781</v>
      </c>
      <c r="H27" s="40">
        <v>8008.44</v>
      </c>
      <c r="I27" s="40">
        <v>1281.3499999999999</v>
      </c>
      <c r="J27" s="40">
        <f t="shared" si="1"/>
        <v>10070.789999999999</v>
      </c>
      <c r="K27" s="40">
        <v>10070.790000000001</v>
      </c>
      <c r="L27" s="40">
        <f t="shared" si="2"/>
        <v>0</v>
      </c>
      <c r="M27" s="38" t="s">
        <v>35</v>
      </c>
      <c r="N27" s="54"/>
      <c r="O27" s="36"/>
      <c r="P27" s="40">
        <v>0</v>
      </c>
      <c r="Q27" s="40">
        <v>781</v>
      </c>
      <c r="R27" s="41"/>
      <c r="S27" s="40">
        <v>4058.44</v>
      </c>
      <c r="T27" s="40">
        <v>0</v>
      </c>
      <c r="U27" s="40">
        <v>0</v>
      </c>
      <c r="V27" s="40">
        <v>0</v>
      </c>
      <c r="W27" s="40">
        <v>3950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36">
        <f t="shared" si="0"/>
        <v>0</v>
      </c>
      <c r="AH27"/>
      <c r="AI27" s="37"/>
      <c r="AK27" s="1"/>
      <c r="AL27" s="1"/>
    </row>
    <row r="28" spans="1:39" x14ac:dyDescent="0.3">
      <c r="A28" s="38">
        <v>2000</v>
      </c>
      <c r="B28" s="38" t="s">
        <v>451</v>
      </c>
      <c r="C28" s="38" t="s">
        <v>469</v>
      </c>
      <c r="D28" s="39">
        <v>45735</v>
      </c>
      <c r="E28" s="38" t="s">
        <v>22</v>
      </c>
      <c r="F28" s="38" t="s">
        <v>403</v>
      </c>
      <c r="G28" s="40">
        <v>781</v>
      </c>
      <c r="H28" s="40">
        <v>8008.44</v>
      </c>
      <c r="I28" s="40">
        <v>1281.3499999999999</v>
      </c>
      <c r="J28" s="40">
        <f t="shared" si="1"/>
        <v>10070.789999999999</v>
      </c>
      <c r="K28" s="40">
        <v>10070.790000000001</v>
      </c>
      <c r="L28" s="40">
        <f t="shared" si="2"/>
        <v>0</v>
      </c>
      <c r="M28" s="38" t="s">
        <v>35</v>
      </c>
      <c r="N28" s="54"/>
      <c r="O28" s="36"/>
      <c r="P28" s="40">
        <v>0</v>
      </c>
      <c r="Q28" s="40">
        <v>781</v>
      </c>
      <c r="R28" s="41"/>
      <c r="S28" s="40">
        <v>4058.44</v>
      </c>
      <c r="T28" s="40">
        <v>0</v>
      </c>
      <c r="U28" s="40">
        <v>0</v>
      </c>
      <c r="V28" s="40">
        <v>0</v>
      </c>
      <c r="W28" s="40">
        <v>3950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36">
        <f t="shared" si="0"/>
        <v>0</v>
      </c>
      <c r="AH28"/>
      <c r="AI28" s="37"/>
      <c r="AK28" s="1"/>
      <c r="AL28" s="1"/>
    </row>
    <row r="29" spans="1:39" x14ac:dyDescent="0.3">
      <c r="A29" s="38">
        <v>2000</v>
      </c>
      <c r="B29" s="38" t="s">
        <v>452</v>
      </c>
      <c r="C29" s="38" t="s">
        <v>470</v>
      </c>
      <c r="D29" s="39">
        <v>45735</v>
      </c>
      <c r="E29" s="38" t="s">
        <v>22</v>
      </c>
      <c r="F29" s="38" t="s">
        <v>403</v>
      </c>
      <c r="G29" s="40">
        <v>2920</v>
      </c>
      <c r="H29" s="40">
        <v>8008.44</v>
      </c>
      <c r="I29" s="40">
        <v>1281.3499999999999</v>
      </c>
      <c r="J29" s="40">
        <f t="shared" si="1"/>
        <v>12209.789999999999</v>
      </c>
      <c r="K29" s="40">
        <v>12209.79</v>
      </c>
      <c r="L29" s="40">
        <f t="shared" si="2"/>
        <v>0</v>
      </c>
      <c r="M29" s="38" t="s">
        <v>35</v>
      </c>
      <c r="N29" s="54"/>
      <c r="O29" s="36"/>
      <c r="P29" s="40">
        <v>0</v>
      </c>
      <c r="Q29" s="40">
        <v>2920</v>
      </c>
      <c r="R29" s="41"/>
      <c r="S29" s="40">
        <v>4058.44</v>
      </c>
      <c r="T29" s="40">
        <v>0</v>
      </c>
      <c r="U29" s="40">
        <v>0</v>
      </c>
      <c r="V29" s="40">
        <v>0</v>
      </c>
      <c r="W29" s="40">
        <v>3950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36">
        <f t="shared" si="0"/>
        <v>0</v>
      </c>
      <c r="AH29"/>
      <c r="AI29" s="37"/>
      <c r="AK29" s="1"/>
      <c r="AL29" s="1"/>
    </row>
    <row r="30" spans="1:39" x14ac:dyDescent="0.3">
      <c r="A30" s="38">
        <v>2000</v>
      </c>
      <c r="B30" s="38" t="s">
        <v>453</v>
      </c>
      <c r="C30" s="38" t="s">
        <v>471</v>
      </c>
      <c r="D30" s="39">
        <v>45735</v>
      </c>
      <c r="E30" s="38" t="s">
        <v>22</v>
      </c>
      <c r="F30" s="38" t="s">
        <v>403</v>
      </c>
      <c r="G30" s="40">
        <v>781</v>
      </c>
      <c r="H30" s="40">
        <v>8017.76</v>
      </c>
      <c r="I30" s="40">
        <v>1282.8399999999999</v>
      </c>
      <c r="J30" s="40">
        <f t="shared" si="1"/>
        <v>10081.6</v>
      </c>
      <c r="K30" s="40">
        <v>10081.6</v>
      </c>
      <c r="L30" s="40">
        <f t="shared" si="2"/>
        <v>0</v>
      </c>
      <c r="M30" s="38" t="s">
        <v>35</v>
      </c>
      <c r="N30" s="54"/>
      <c r="O30" s="36"/>
      <c r="P30" s="40">
        <v>0</v>
      </c>
      <c r="Q30" s="40">
        <v>781</v>
      </c>
      <c r="R30" s="41"/>
      <c r="S30" s="40">
        <v>4067.76</v>
      </c>
      <c r="T30" s="40">
        <v>0</v>
      </c>
      <c r="U30" s="40">
        <v>0</v>
      </c>
      <c r="V30" s="40">
        <v>0</v>
      </c>
      <c r="W30" s="40">
        <v>3950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36">
        <f t="shared" si="0"/>
        <v>0</v>
      </c>
      <c r="AH30"/>
      <c r="AI30" s="37"/>
      <c r="AK30" s="1"/>
      <c r="AL30" s="1"/>
    </row>
    <row r="31" spans="1:39" x14ac:dyDescent="0.3">
      <c r="A31" s="38">
        <v>2000</v>
      </c>
      <c r="B31" s="38" t="s">
        <v>454</v>
      </c>
      <c r="C31" s="38" t="s">
        <v>472</v>
      </c>
      <c r="D31" s="39">
        <v>45735</v>
      </c>
      <c r="E31" s="38" t="s">
        <v>22</v>
      </c>
      <c r="F31" s="38" t="s">
        <v>403</v>
      </c>
      <c r="G31" s="40">
        <v>3149</v>
      </c>
      <c r="H31" s="40">
        <v>8017.76</v>
      </c>
      <c r="I31" s="40">
        <v>1282.8399999999999</v>
      </c>
      <c r="J31" s="40">
        <f t="shared" si="1"/>
        <v>12449.6</v>
      </c>
      <c r="K31" s="40">
        <v>12449.6</v>
      </c>
      <c r="L31" s="40">
        <f t="shared" si="2"/>
        <v>0</v>
      </c>
      <c r="M31" s="38" t="s">
        <v>35</v>
      </c>
      <c r="N31" s="54"/>
      <c r="O31" s="36"/>
      <c r="P31" s="40">
        <v>0</v>
      </c>
      <c r="Q31" s="40">
        <v>3149</v>
      </c>
      <c r="R31" s="41"/>
      <c r="S31" s="40">
        <v>4067.76</v>
      </c>
      <c r="T31" s="40">
        <v>0</v>
      </c>
      <c r="U31" s="40">
        <v>0</v>
      </c>
      <c r="V31" s="40">
        <v>0</v>
      </c>
      <c r="W31" s="40">
        <v>3950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36">
        <f t="shared" si="0"/>
        <v>0</v>
      </c>
      <c r="AH31"/>
      <c r="AI31" s="37"/>
      <c r="AK31" s="1"/>
      <c r="AL31" s="1"/>
    </row>
    <row r="32" spans="1:39" x14ac:dyDescent="0.3">
      <c r="A32" s="38">
        <v>1000</v>
      </c>
      <c r="B32" s="38" t="s">
        <v>455</v>
      </c>
      <c r="C32" s="38" t="s">
        <v>473</v>
      </c>
      <c r="D32" s="39">
        <v>45736</v>
      </c>
      <c r="E32" s="38" t="s">
        <v>53</v>
      </c>
      <c r="F32" t="s">
        <v>199</v>
      </c>
      <c r="G32" s="40">
        <v>13625</v>
      </c>
      <c r="H32" s="40">
        <v>30790.959999999999</v>
      </c>
      <c r="I32" s="40">
        <v>4926.55</v>
      </c>
      <c r="J32" s="40">
        <f t="shared" si="1"/>
        <v>49342.51</v>
      </c>
      <c r="K32" s="40">
        <v>63168.6</v>
      </c>
      <c r="L32" s="40">
        <f t="shared" si="2"/>
        <v>-13826.089999999997</v>
      </c>
      <c r="M32" s="38" t="s">
        <v>35</v>
      </c>
      <c r="N32" s="54"/>
      <c r="O32" s="36"/>
      <c r="P32" s="40">
        <v>0</v>
      </c>
      <c r="Q32" s="40">
        <v>13625</v>
      </c>
      <c r="R32" s="41"/>
      <c r="S32" s="40">
        <f>1500+7379.21</f>
        <v>8879.2099999999991</v>
      </c>
      <c r="T32" s="40">
        <v>1150</v>
      </c>
      <c r="U32" s="40">
        <v>17761.75</v>
      </c>
      <c r="V32" s="40">
        <v>0</v>
      </c>
      <c r="W32" s="40">
        <v>0</v>
      </c>
      <c r="X32" s="40">
        <v>0</v>
      </c>
      <c r="Y32" s="40">
        <v>3000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36">
        <f t="shared" si="0"/>
        <v>0</v>
      </c>
      <c r="AH32"/>
      <c r="AI32" s="37"/>
      <c r="AK32" s="1"/>
      <c r="AL32" s="1"/>
    </row>
    <row r="33" spans="1:38" x14ac:dyDescent="0.3">
      <c r="A33" s="38">
        <v>2000</v>
      </c>
      <c r="B33" s="38" t="s">
        <v>456</v>
      </c>
      <c r="C33" s="38" t="s">
        <v>474</v>
      </c>
      <c r="D33" s="39">
        <v>45736</v>
      </c>
      <c r="E33" s="38" t="s">
        <v>22</v>
      </c>
      <c r="F33" s="38" t="s">
        <v>403</v>
      </c>
      <c r="G33" s="40">
        <v>36840</v>
      </c>
      <c r="H33" s="40">
        <v>20221.04</v>
      </c>
      <c r="I33" s="40">
        <v>3235.36</v>
      </c>
      <c r="J33" s="40">
        <f t="shared" si="1"/>
        <v>60296.4</v>
      </c>
      <c r="K33" s="40">
        <v>60296.41</v>
      </c>
      <c r="L33" s="40">
        <f t="shared" si="2"/>
        <v>-1.0000000002037268E-2</v>
      </c>
      <c r="M33" s="38" t="s">
        <v>35</v>
      </c>
      <c r="N33" s="54"/>
      <c r="O33" s="36"/>
      <c r="P33" s="40">
        <v>0</v>
      </c>
      <c r="Q33" s="40">
        <v>36840</v>
      </c>
      <c r="R33" s="41"/>
      <c r="S33" s="40">
        <v>4067.76</v>
      </c>
      <c r="T33" s="40">
        <v>0</v>
      </c>
      <c r="U33" s="40">
        <v>0</v>
      </c>
      <c r="V33" s="40">
        <v>0</v>
      </c>
      <c r="W33" s="40">
        <v>3950</v>
      </c>
      <c r="X33" s="40">
        <v>12203.28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36">
        <f t="shared" si="0"/>
        <v>0</v>
      </c>
      <c r="AH33"/>
      <c r="AI33" s="37"/>
      <c r="AK33" s="1"/>
      <c r="AL33" s="1"/>
    </row>
    <row r="34" spans="1:38" x14ac:dyDescent="0.3">
      <c r="A34" s="38">
        <v>2000</v>
      </c>
      <c r="B34" s="38" t="s">
        <v>457</v>
      </c>
      <c r="C34" s="38" t="s">
        <v>475</v>
      </c>
      <c r="D34" s="39">
        <v>45736</v>
      </c>
      <c r="E34" s="38" t="s">
        <v>22</v>
      </c>
      <c r="F34" s="38" t="s">
        <v>403</v>
      </c>
      <c r="G34" s="40">
        <v>336</v>
      </c>
      <c r="H34" s="40">
        <v>14001.64</v>
      </c>
      <c r="I34" s="40">
        <v>2240.2600000000002</v>
      </c>
      <c r="J34" s="40">
        <f t="shared" si="1"/>
        <v>16577.900000000001</v>
      </c>
      <c r="K34" s="40">
        <v>16577.900000000001</v>
      </c>
      <c r="L34" s="40">
        <f t="shared" si="2"/>
        <v>0</v>
      </c>
      <c r="M34" s="38" t="s">
        <v>35</v>
      </c>
      <c r="N34" s="54"/>
      <c r="O34" s="36"/>
      <c r="P34" s="40">
        <v>0</v>
      </c>
      <c r="Q34" s="40">
        <v>336</v>
      </c>
      <c r="R34" s="41"/>
      <c r="S34" s="40">
        <v>6101.64</v>
      </c>
      <c r="T34" s="40">
        <v>0</v>
      </c>
      <c r="U34" s="40">
        <v>0</v>
      </c>
      <c r="V34" s="40">
        <v>0</v>
      </c>
      <c r="W34" s="40">
        <v>7900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36">
        <f t="shared" si="0"/>
        <v>0</v>
      </c>
      <c r="AH34"/>
      <c r="AI34" s="37"/>
      <c r="AK34" s="1"/>
      <c r="AL34" s="1"/>
    </row>
    <row r="35" spans="1:38" x14ac:dyDescent="0.3">
      <c r="A35" s="38">
        <v>1000</v>
      </c>
      <c r="B35" s="38" t="s">
        <v>458</v>
      </c>
      <c r="C35" s="38" t="s">
        <v>397</v>
      </c>
      <c r="D35" s="39">
        <v>45736</v>
      </c>
      <c r="E35" s="38" t="s">
        <v>42</v>
      </c>
      <c r="F35" s="38" t="s">
        <v>49</v>
      </c>
      <c r="G35" s="40">
        <v>0</v>
      </c>
      <c r="H35" s="40">
        <v>11000</v>
      </c>
      <c r="I35" s="40">
        <v>1760</v>
      </c>
      <c r="J35" s="40">
        <f t="shared" si="1"/>
        <v>12760</v>
      </c>
      <c r="K35" s="40">
        <v>12760</v>
      </c>
      <c r="L35" s="40">
        <f t="shared" si="2"/>
        <v>0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0</v>
      </c>
      <c r="T35" s="40">
        <v>0</v>
      </c>
      <c r="U35" s="40">
        <v>0</v>
      </c>
      <c r="V35" s="40">
        <v>0</v>
      </c>
      <c r="W35" s="40">
        <v>11000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36">
        <f t="shared" si="0"/>
        <v>0</v>
      </c>
      <c r="AH35"/>
      <c r="AI35" s="37"/>
      <c r="AK35" s="1"/>
      <c r="AL35" s="1"/>
    </row>
    <row r="36" spans="1:38" x14ac:dyDescent="0.3">
      <c r="A36" s="38">
        <v>1000</v>
      </c>
      <c r="B36" s="38" t="s">
        <v>459</v>
      </c>
      <c r="C36" s="38" t="s">
        <v>476</v>
      </c>
      <c r="D36" s="39">
        <v>45736</v>
      </c>
      <c r="E36" s="38" t="s">
        <v>61</v>
      </c>
      <c r="F36" t="s">
        <v>156</v>
      </c>
      <c r="G36" s="40">
        <v>0</v>
      </c>
      <c r="H36" s="40">
        <v>15556</v>
      </c>
      <c r="I36" s="40">
        <v>2488.96</v>
      </c>
      <c r="J36" s="40">
        <f t="shared" si="1"/>
        <v>18044.96</v>
      </c>
      <c r="K36" s="40">
        <v>18044.96</v>
      </c>
      <c r="L36" s="40">
        <f t="shared" si="2"/>
        <v>0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0</v>
      </c>
      <c r="T36" s="40">
        <v>0</v>
      </c>
      <c r="U36" s="40">
        <v>0</v>
      </c>
      <c r="V36" s="40">
        <v>0</v>
      </c>
      <c r="W36" s="40">
        <v>15556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36">
        <f t="shared" si="0"/>
        <v>0</v>
      </c>
      <c r="AH36"/>
      <c r="AI36" s="37"/>
      <c r="AK36" s="1"/>
      <c r="AL36" s="1"/>
    </row>
    <row r="37" spans="1:38" x14ac:dyDescent="0.3">
      <c r="A37" s="38">
        <v>1000</v>
      </c>
      <c r="B37" s="38" t="s">
        <v>460</v>
      </c>
      <c r="C37" s="38" t="s">
        <v>477</v>
      </c>
      <c r="D37" s="39">
        <v>45736</v>
      </c>
      <c r="E37" s="38" t="s">
        <v>53</v>
      </c>
      <c r="F37" t="s">
        <v>199</v>
      </c>
      <c r="G37" s="40">
        <v>915</v>
      </c>
      <c r="H37" s="40">
        <v>13943.68</v>
      </c>
      <c r="I37" s="40">
        <v>2230.9899999999998</v>
      </c>
      <c r="J37" s="40">
        <f t="shared" si="1"/>
        <v>17089.669999999998</v>
      </c>
      <c r="K37" s="40">
        <v>16763.77</v>
      </c>
      <c r="L37" s="40">
        <f t="shared" si="2"/>
        <v>325.89999999999782</v>
      </c>
      <c r="M37" s="38" t="s">
        <v>35</v>
      </c>
      <c r="N37" s="54"/>
      <c r="O37" s="36"/>
      <c r="P37" s="40">
        <v>0</v>
      </c>
      <c r="Q37" s="40">
        <v>915</v>
      </c>
      <c r="R37" s="41"/>
      <c r="S37" s="40">
        <v>7369.99</v>
      </c>
      <c r="T37" s="40">
        <v>608.91999999999996</v>
      </c>
      <c r="U37" s="40">
        <v>2049.77</v>
      </c>
      <c r="V37" s="40">
        <v>0</v>
      </c>
      <c r="W37" s="40">
        <v>3915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36">
        <f t="shared" si="0"/>
        <v>0</v>
      </c>
      <c r="AH37"/>
      <c r="AI37" s="37"/>
      <c r="AK37" s="1"/>
      <c r="AL37" s="1"/>
    </row>
    <row r="38" spans="1:38" x14ac:dyDescent="0.3">
      <c r="A38" s="38">
        <v>2000</v>
      </c>
      <c r="B38" s="38" t="s">
        <v>482</v>
      </c>
      <c r="C38" s="38" t="s">
        <v>498</v>
      </c>
      <c r="D38" s="39">
        <v>45737</v>
      </c>
      <c r="E38" s="38" t="s">
        <v>40</v>
      </c>
      <c r="F38" s="38" t="s">
        <v>41</v>
      </c>
      <c r="G38" s="40">
        <v>0</v>
      </c>
      <c r="H38" s="40">
        <v>3041.66</v>
      </c>
      <c r="I38" s="40">
        <v>486.67</v>
      </c>
      <c r="J38" s="40">
        <f t="shared" si="1"/>
        <v>3528.33</v>
      </c>
      <c r="K38" s="40">
        <v>0</v>
      </c>
      <c r="L38" s="40">
        <f t="shared" si="2"/>
        <v>3528.33</v>
      </c>
      <c r="M38" s="38" t="s">
        <v>35</v>
      </c>
      <c r="N38" s="54"/>
      <c r="O38" s="36"/>
      <c r="P38" s="40">
        <v>0</v>
      </c>
      <c r="Q38" s="40">
        <v>0</v>
      </c>
      <c r="R38" s="41"/>
      <c r="S38" s="40">
        <v>3041.66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36">
        <f t="shared" si="0"/>
        <v>0</v>
      </c>
      <c r="AH38"/>
      <c r="AI38" s="37"/>
      <c r="AK38" s="1"/>
      <c r="AL38" s="1"/>
    </row>
    <row r="39" spans="1:38" x14ac:dyDescent="0.3">
      <c r="A39" s="38">
        <v>2000</v>
      </c>
      <c r="B39" s="38" t="s">
        <v>483</v>
      </c>
      <c r="C39" s="50" t="s">
        <v>499</v>
      </c>
      <c r="D39" s="39">
        <v>45737</v>
      </c>
      <c r="E39" s="38" t="s">
        <v>22</v>
      </c>
      <c r="F39" s="38" t="s">
        <v>403</v>
      </c>
      <c r="G39" s="40">
        <v>336</v>
      </c>
      <c r="H39" s="40">
        <v>14001.64</v>
      </c>
      <c r="I39" s="40">
        <v>2240.2600000000002</v>
      </c>
      <c r="J39" s="40">
        <f t="shared" si="1"/>
        <v>16577.900000000001</v>
      </c>
      <c r="K39" s="40">
        <v>16577.900000000001</v>
      </c>
      <c r="L39" s="40">
        <f t="shared" si="2"/>
        <v>0</v>
      </c>
      <c r="M39" s="38" t="s">
        <v>35</v>
      </c>
      <c r="N39" s="54"/>
      <c r="O39" s="36"/>
      <c r="P39" s="40">
        <v>0</v>
      </c>
      <c r="Q39" s="40">
        <v>336</v>
      </c>
      <c r="R39" s="41"/>
      <c r="S39" s="40">
        <v>6101.64</v>
      </c>
      <c r="T39" s="40">
        <v>0</v>
      </c>
      <c r="U39" s="40">
        <v>0</v>
      </c>
      <c r="V39" s="40">
        <v>0</v>
      </c>
      <c r="W39" s="40">
        <v>7900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36">
        <f t="shared" si="0"/>
        <v>0</v>
      </c>
      <c r="AH39"/>
      <c r="AI39" s="37"/>
      <c r="AK39" s="1"/>
      <c r="AL39" s="1"/>
    </row>
    <row r="40" spans="1:38" x14ac:dyDescent="0.3">
      <c r="A40" s="38">
        <v>2000</v>
      </c>
      <c r="B40" s="38" t="s">
        <v>484</v>
      </c>
      <c r="C40" s="50" t="s">
        <v>500</v>
      </c>
      <c r="D40" s="39">
        <v>45737</v>
      </c>
      <c r="E40" s="38" t="s">
        <v>61</v>
      </c>
      <c r="F40" t="s">
        <v>156</v>
      </c>
      <c r="G40" s="40">
        <v>0</v>
      </c>
      <c r="H40" s="40">
        <v>15525</v>
      </c>
      <c r="I40" s="40">
        <v>2484</v>
      </c>
      <c r="J40" s="40">
        <f t="shared" si="1"/>
        <v>18009</v>
      </c>
      <c r="K40" s="40">
        <v>18009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0</v>
      </c>
      <c r="R40" s="41"/>
      <c r="S40" s="40">
        <v>0</v>
      </c>
      <c r="T40" s="40">
        <v>0</v>
      </c>
      <c r="U40" s="40">
        <v>0</v>
      </c>
      <c r="V40" s="40">
        <v>0</v>
      </c>
      <c r="W40" s="40">
        <v>15525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36">
        <f t="shared" si="0"/>
        <v>0</v>
      </c>
      <c r="AH40"/>
      <c r="AI40" s="37"/>
      <c r="AK40" s="1"/>
      <c r="AL40" s="1"/>
    </row>
    <row r="41" spans="1:38" x14ac:dyDescent="0.3">
      <c r="A41" s="38">
        <v>1000</v>
      </c>
      <c r="B41" s="38" t="s">
        <v>485</v>
      </c>
      <c r="C41" s="50" t="s">
        <v>501</v>
      </c>
      <c r="D41" s="39">
        <v>45737</v>
      </c>
      <c r="E41" s="38" t="s">
        <v>53</v>
      </c>
      <c r="F41" t="s">
        <v>199</v>
      </c>
      <c r="G41" s="40">
        <v>1379</v>
      </c>
      <c r="H41" s="40">
        <v>13193.61</v>
      </c>
      <c r="I41" s="40">
        <v>2110.98</v>
      </c>
      <c r="J41" s="40">
        <f t="shared" si="1"/>
        <v>16683.59</v>
      </c>
      <c r="K41" s="40">
        <v>20443.439999999999</v>
      </c>
      <c r="L41" s="40">
        <f t="shared" si="2"/>
        <v>-3759.8499999999985</v>
      </c>
      <c r="M41" s="38" t="s">
        <v>35</v>
      </c>
      <c r="N41" s="54"/>
      <c r="O41" s="36"/>
      <c r="P41" s="40">
        <v>0</v>
      </c>
      <c r="Q41" s="40">
        <v>1379</v>
      </c>
      <c r="R41" s="41"/>
      <c r="S41" s="40">
        <v>7305.19</v>
      </c>
      <c r="T41" s="40">
        <v>608.91999999999996</v>
      </c>
      <c r="U41" s="40">
        <v>1364.5</v>
      </c>
      <c r="V41" s="40">
        <v>0</v>
      </c>
      <c r="W41" s="40">
        <v>3915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36">
        <f t="shared" si="0"/>
        <v>0</v>
      </c>
      <c r="AH41"/>
      <c r="AI41" s="37"/>
      <c r="AK41" s="1"/>
      <c r="AL41" s="1"/>
    </row>
    <row r="42" spans="1:38" x14ac:dyDescent="0.3">
      <c r="A42" s="38">
        <v>2000</v>
      </c>
      <c r="B42" s="38" t="s">
        <v>486</v>
      </c>
      <c r="C42" s="38" t="s">
        <v>502</v>
      </c>
      <c r="D42" s="39">
        <v>45737</v>
      </c>
      <c r="E42" s="38" t="s">
        <v>198</v>
      </c>
      <c r="F42" s="38" t="s">
        <v>200</v>
      </c>
      <c r="G42" s="40">
        <v>0</v>
      </c>
      <c r="H42" s="40">
        <v>22000</v>
      </c>
      <c r="I42" s="40">
        <v>3520</v>
      </c>
      <c r="J42" s="40">
        <f t="shared" si="1"/>
        <v>25520</v>
      </c>
      <c r="K42" s="40">
        <v>25520</v>
      </c>
      <c r="L42" s="40">
        <f t="shared" si="2"/>
        <v>0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0</v>
      </c>
      <c r="T42" s="40">
        <v>0</v>
      </c>
      <c r="U42" s="40">
        <v>0</v>
      </c>
      <c r="V42" s="40">
        <v>0</v>
      </c>
      <c r="W42" s="40">
        <v>22000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36">
        <f t="shared" si="0"/>
        <v>0</v>
      </c>
      <c r="AH42"/>
      <c r="AI42" s="37"/>
      <c r="AK42" s="1"/>
      <c r="AL42" s="1"/>
    </row>
    <row r="43" spans="1:38" x14ac:dyDescent="0.3">
      <c r="A43" s="38">
        <v>2000</v>
      </c>
      <c r="B43" s="38" t="s">
        <v>487</v>
      </c>
      <c r="C43" s="50" t="s">
        <v>503</v>
      </c>
      <c r="D43" s="39">
        <v>45737</v>
      </c>
      <c r="E43" s="38" t="s">
        <v>198</v>
      </c>
      <c r="F43" s="38" t="s">
        <v>200</v>
      </c>
      <c r="G43" s="40">
        <v>0</v>
      </c>
      <c r="H43" s="40">
        <v>22000</v>
      </c>
      <c r="I43" s="40">
        <v>3520</v>
      </c>
      <c r="J43" s="40">
        <f t="shared" si="1"/>
        <v>25520</v>
      </c>
      <c r="K43" s="40">
        <v>25520</v>
      </c>
      <c r="L43" s="40">
        <f t="shared" si="2"/>
        <v>0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0</v>
      </c>
      <c r="T43" s="40">
        <v>0</v>
      </c>
      <c r="U43" s="40">
        <v>0</v>
      </c>
      <c r="V43" s="40">
        <v>0</v>
      </c>
      <c r="W43" s="40">
        <v>22000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36">
        <f t="shared" si="0"/>
        <v>0</v>
      </c>
      <c r="AH43"/>
      <c r="AI43" s="37"/>
      <c r="AK43" s="1"/>
      <c r="AL43" s="1"/>
    </row>
    <row r="44" spans="1:38" x14ac:dyDescent="0.3">
      <c r="A44" s="38">
        <v>2000</v>
      </c>
      <c r="B44" s="38" t="s">
        <v>488</v>
      </c>
      <c r="C44" s="38" t="s">
        <v>504</v>
      </c>
      <c r="D44" s="39">
        <v>45737</v>
      </c>
      <c r="E44" s="38" t="s">
        <v>198</v>
      </c>
      <c r="F44" s="38" t="s">
        <v>200</v>
      </c>
      <c r="G44" s="40">
        <v>0</v>
      </c>
      <c r="H44" s="40">
        <v>22000</v>
      </c>
      <c r="I44" s="40">
        <v>3520</v>
      </c>
      <c r="J44" s="40">
        <f t="shared" si="1"/>
        <v>25520</v>
      </c>
      <c r="K44" s="40">
        <v>25520</v>
      </c>
      <c r="L44" s="40">
        <f t="shared" si="2"/>
        <v>0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0</v>
      </c>
      <c r="T44" s="40">
        <v>0</v>
      </c>
      <c r="U44" s="40">
        <v>0</v>
      </c>
      <c r="V44" s="40">
        <v>0</v>
      </c>
      <c r="W44" s="40">
        <v>22000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36">
        <f t="shared" si="0"/>
        <v>0</v>
      </c>
      <c r="AH44"/>
      <c r="AI44" s="37"/>
      <c r="AK44" s="1"/>
      <c r="AL44" s="1"/>
    </row>
    <row r="45" spans="1:38" x14ac:dyDescent="0.3">
      <c r="A45" s="38">
        <v>2000</v>
      </c>
      <c r="B45" s="38" t="s">
        <v>489</v>
      </c>
      <c r="C45" s="38" t="s">
        <v>505</v>
      </c>
      <c r="D45" s="39">
        <v>45737</v>
      </c>
      <c r="E45" s="38" t="s">
        <v>198</v>
      </c>
      <c r="F45" s="38" t="s">
        <v>200</v>
      </c>
      <c r="G45" s="40">
        <v>0</v>
      </c>
      <c r="H45" s="40">
        <v>22000</v>
      </c>
      <c r="I45" s="40">
        <v>3520</v>
      </c>
      <c r="J45" s="40">
        <f t="shared" si="1"/>
        <v>25520</v>
      </c>
      <c r="K45" s="40">
        <v>25520</v>
      </c>
      <c r="L45" s="40">
        <f t="shared" si="2"/>
        <v>0</v>
      </c>
      <c r="M45" s="38" t="s">
        <v>35</v>
      </c>
      <c r="N45" s="54"/>
      <c r="O45" s="36"/>
      <c r="P45" s="40">
        <v>0</v>
      </c>
      <c r="Q45" s="40">
        <v>0</v>
      </c>
      <c r="R45" s="41"/>
      <c r="S45" s="40">
        <v>0</v>
      </c>
      <c r="T45" s="40">
        <v>0</v>
      </c>
      <c r="U45" s="40">
        <v>0</v>
      </c>
      <c r="V45" s="40">
        <v>0</v>
      </c>
      <c r="W45" s="40">
        <v>22000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36">
        <f t="shared" si="0"/>
        <v>0</v>
      </c>
      <c r="AH45"/>
      <c r="AI45" s="37"/>
      <c r="AK45" s="1"/>
      <c r="AL45" s="1"/>
    </row>
    <row r="46" spans="1:38" x14ac:dyDescent="0.3">
      <c r="A46" s="38">
        <v>2000</v>
      </c>
      <c r="B46" s="38" t="s">
        <v>490</v>
      </c>
      <c r="C46" s="38" t="s">
        <v>506</v>
      </c>
      <c r="D46" s="39">
        <v>45737</v>
      </c>
      <c r="E46" s="38" t="s">
        <v>198</v>
      </c>
      <c r="F46" s="38" t="s">
        <v>200</v>
      </c>
      <c r="G46" s="40">
        <v>0</v>
      </c>
      <c r="H46" s="40">
        <v>22000</v>
      </c>
      <c r="I46" s="40">
        <v>3520</v>
      </c>
      <c r="J46" s="40">
        <f t="shared" si="1"/>
        <v>25520</v>
      </c>
      <c r="K46" s="40">
        <v>25520</v>
      </c>
      <c r="L46" s="40">
        <f t="shared" si="2"/>
        <v>0</v>
      </c>
      <c r="M46" s="38" t="s">
        <v>35</v>
      </c>
      <c r="N46" s="54"/>
      <c r="O46" s="36"/>
      <c r="P46" s="40">
        <v>0</v>
      </c>
      <c r="Q46" s="40">
        <v>0</v>
      </c>
      <c r="R46" s="41"/>
      <c r="S46" s="40">
        <v>0</v>
      </c>
      <c r="T46" s="40">
        <v>0</v>
      </c>
      <c r="U46" s="40">
        <v>0</v>
      </c>
      <c r="V46" s="40">
        <v>0</v>
      </c>
      <c r="W46" s="40">
        <v>22000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36">
        <f t="shared" si="0"/>
        <v>0</v>
      </c>
      <c r="AH46"/>
      <c r="AI46" s="37"/>
      <c r="AK46" s="1"/>
      <c r="AL46" s="1"/>
    </row>
    <row r="47" spans="1:38" x14ac:dyDescent="0.3">
      <c r="A47" s="38">
        <v>2000</v>
      </c>
      <c r="B47" s="38" t="s">
        <v>491</v>
      </c>
      <c r="C47" s="38" t="s">
        <v>507</v>
      </c>
      <c r="D47" s="39">
        <v>45737</v>
      </c>
      <c r="E47" s="38" t="s">
        <v>198</v>
      </c>
      <c r="F47" s="38" t="s">
        <v>200</v>
      </c>
      <c r="G47" s="40">
        <v>0</v>
      </c>
      <c r="H47" s="40">
        <v>22000</v>
      </c>
      <c r="I47" s="40">
        <v>3520</v>
      </c>
      <c r="J47" s="40">
        <f t="shared" si="1"/>
        <v>25520</v>
      </c>
      <c r="K47" s="40">
        <v>25520</v>
      </c>
      <c r="L47" s="40">
        <f t="shared" si="2"/>
        <v>0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0</v>
      </c>
      <c r="T47" s="40">
        <v>0</v>
      </c>
      <c r="U47" s="40">
        <v>0</v>
      </c>
      <c r="V47" s="40">
        <v>0</v>
      </c>
      <c r="W47" s="40">
        <v>22000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36">
        <f t="shared" si="0"/>
        <v>0</v>
      </c>
      <c r="AH47"/>
      <c r="AI47" s="37"/>
      <c r="AK47" s="1"/>
      <c r="AL47" s="1"/>
    </row>
    <row r="48" spans="1:38" x14ac:dyDescent="0.3">
      <c r="A48" s="38">
        <v>2000</v>
      </c>
      <c r="B48" s="38" t="s">
        <v>492</v>
      </c>
      <c r="C48" s="50" t="s">
        <v>508</v>
      </c>
      <c r="D48" s="39">
        <v>45737</v>
      </c>
      <c r="E48" s="38" t="s">
        <v>198</v>
      </c>
      <c r="F48" s="38" t="s">
        <v>200</v>
      </c>
      <c r="G48" s="40">
        <v>0</v>
      </c>
      <c r="H48" s="40">
        <v>22000</v>
      </c>
      <c r="I48" s="40">
        <v>3520</v>
      </c>
      <c r="J48" s="40">
        <f t="shared" si="1"/>
        <v>25520</v>
      </c>
      <c r="K48" s="40">
        <v>25520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0</v>
      </c>
      <c r="R48" s="41"/>
      <c r="S48" s="40">
        <v>0</v>
      </c>
      <c r="T48" s="40">
        <v>0</v>
      </c>
      <c r="U48" s="40">
        <v>0</v>
      </c>
      <c r="V48" s="40">
        <v>0</v>
      </c>
      <c r="W48" s="40">
        <v>22000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36">
        <f t="shared" si="0"/>
        <v>0</v>
      </c>
      <c r="AH48"/>
      <c r="AI48" s="37"/>
      <c r="AK48" s="1"/>
      <c r="AL48" s="1"/>
    </row>
    <row r="49" spans="1:38" x14ac:dyDescent="0.3">
      <c r="A49" s="38">
        <v>1000</v>
      </c>
      <c r="B49" s="38" t="s">
        <v>493</v>
      </c>
      <c r="C49" s="38" t="s">
        <v>509</v>
      </c>
      <c r="D49" s="39">
        <v>45737</v>
      </c>
      <c r="E49" s="38" t="s">
        <v>40</v>
      </c>
      <c r="F49" s="38" t="s">
        <v>41</v>
      </c>
      <c r="G49" s="40">
        <v>0</v>
      </c>
      <c r="H49" s="40">
        <v>73837.66</v>
      </c>
      <c r="I49" s="40">
        <v>11814.03</v>
      </c>
      <c r="J49" s="40">
        <f t="shared" si="1"/>
        <v>85651.69</v>
      </c>
      <c r="K49" s="40">
        <v>0</v>
      </c>
      <c r="L49" s="40">
        <f t="shared" si="2"/>
        <v>85651.69</v>
      </c>
      <c r="M49" s="38" t="s">
        <v>35</v>
      </c>
      <c r="N49" s="54"/>
      <c r="O49" s="36"/>
      <c r="P49" s="40">
        <v>0</v>
      </c>
      <c r="Q49" s="40">
        <v>0</v>
      </c>
      <c r="R49" s="41"/>
      <c r="S49" s="40">
        <v>6087.66</v>
      </c>
      <c r="T49" s="40">
        <v>0</v>
      </c>
      <c r="U49" s="40">
        <v>25750</v>
      </c>
      <c r="V49" s="40">
        <v>0</v>
      </c>
      <c r="W49" s="40">
        <v>42000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36">
        <f t="shared" si="0"/>
        <v>0</v>
      </c>
      <c r="AH49"/>
      <c r="AI49" s="37"/>
      <c r="AK49" s="1"/>
      <c r="AL49" s="1"/>
    </row>
    <row r="50" spans="1:38" x14ac:dyDescent="0.3">
      <c r="A50" s="38">
        <v>2000</v>
      </c>
      <c r="B50" s="38" t="s">
        <v>494</v>
      </c>
      <c r="C50" s="38" t="s">
        <v>510</v>
      </c>
      <c r="D50" s="39">
        <v>45740</v>
      </c>
      <c r="E50" s="38" t="s">
        <v>40</v>
      </c>
      <c r="F50" s="38" t="s">
        <v>41</v>
      </c>
      <c r="G50" s="40">
        <v>0</v>
      </c>
      <c r="H50" s="40">
        <v>22496.9</v>
      </c>
      <c r="I50" s="40">
        <v>3599.5</v>
      </c>
      <c r="J50" s="40">
        <f t="shared" si="1"/>
        <v>26096.400000000001</v>
      </c>
      <c r="K50" s="40">
        <v>0</v>
      </c>
      <c r="L50" s="40">
        <f t="shared" si="2"/>
        <v>26096.400000000001</v>
      </c>
      <c r="M50" s="38" t="s">
        <v>35</v>
      </c>
      <c r="N50" s="54"/>
      <c r="O50" s="36"/>
      <c r="P50" s="40">
        <v>0</v>
      </c>
      <c r="Q50" s="40">
        <v>0</v>
      </c>
      <c r="R50" s="41"/>
      <c r="S50" s="40">
        <v>3996.9</v>
      </c>
      <c r="T50" s="40">
        <v>0</v>
      </c>
      <c r="U50" s="40">
        <v>0</v>
      </c>
      <c r="V50" s="40">
        <v>0</v>
      </c>
      <c r="W50" s="40">
        <v>18500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36">
        <f t="shared" si="0"/>
        <v>0</v>
      </c>
      <c r="AH50"/>
      <c r="AI50" s="37"/>
      <c r="AK50" s="1"/>
      <c r="AL50" s="1"/>
    </row>
    <row r="51" spans="1:38" x14ac:dyDescent="0.3">
      <c r="A51" s="38">
        <v>2000</v>
      </c>
      <c r="B51" s="38" t="s">
        <v>495</v>
      </c>
      <c r="C51" s="50" t="s">
        <v>511</v>
      </c>
      <c r="D51" s="39">
        <v>45740</v>
      </c>
      <c r="E51" s="38" t="s">
        <v>40</v>
      </c>
      <c r="F51" s="38" t="s">
        <v>41</v>
      </c>
      <c r="G51" s="40">
        <v>0</v>
      </c>
      <c r="H51" s="40">
        <v>22473.86</v>
      </c>
      <c r="I51" s="40">
        <v>3595.82</v>
      </c>
      <c r="J51" s="40">
        <f t="shared" si="1"/>
        <v>26069.68</v>
      </c>
      <c r="K51" s="40">
        <v>0</v>
      </c>
      <c r="L51" s="40">
        <f t="shared" si="2"/>
        <v>26069.68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3973.86</v>
      </c>
      <c r="T51" s="40">
        <v>0</v>
      </c>
      <c r="U51" s="40">
        <v>0</v>
      </c>
      <c r="V51" s="40">
        <v>0</v>
      </c>
      <c r="W51" s="40">
        <v>18500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36">
        <f t="shared" si="0"/>
        <v>0</v>
      </c>
      <c r="AH51"/>
      <c r="AI51" s="37"/>
      <c r="AK51" s="1"/>
      <c r="AL51" s="1"/>
    </row>
    <row r="52" spans="1:38" x14ac:dyDescent="0.3">
      <c r="A52" s="38">
        <v>1000</v>
      </c>
      <c r="B52" s="38" t="s">
        <v>496</v>
      </c>
      <c r="C52" s="50" t="s">
        <v>512</v>
      </c>
      <c r="D52" s="39">
        <v>45740</v>
      </c>
      <c r="E52" s="38" t="s">
        <v>22</v>
      </c>
      <c r="F52" s="38" t="s">
        <v>403</v>
      </c>
      <c r="G52" s="40">
        <v>0</v>
      </c>
      <c r="H52" s="40">
        <v>49156.6</v>
      </c>
      <c r="I52" s="40">
        <v>0</v>
      </c>
      <c r="J52" s="40">
        <f t="shared" si="1"/>
        <v>49156.6</v>
      </c>
      <c r="K52" s="40">
        <v>49156.6</v>
      </c>
      <c r="L52" s="40">
        <f t="shared" si="2"/>
        <v>0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7200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41956.6</v>
      </c>
      <c r="AG52" s="36">
        <f t="shared" si="0"/>
        <v>0</v>
      </c>
      <c r="AH52"/>
      <c r="AI52" s="37"/>
      <c r="AK52" s="1"/>
      <c r="AL52" s="1"/>
    </row>
    <row r="53" spans="1:38" x14ac:dyDescent="0.3">
      <c r="A53" s="38">
        <v>1000</v>
      </c>
      <c r="B53" s="38" t="s">
        <v>497</v>
      </c>
      <c r="C53" s="38" t="s">
        <v>512</v>
      </c>
      <c r="D53" s="39">
        <v>45740</v>
      </c>
      <c r="E53" s="38" t="s">
        <v>22</v>
      </c>
      <c r="F53" s="38" t="s">
        <v>403</v>
      </c>
      <c r="G53" s="40">
        <v>107788</v>
      </c>
      <c r="H53" s="40">
        <v>80600.87</v>
      </c>
      <c r="I53" s="40">
        <v>12896.14</v>
      </c>
      <c r="J53" s="40">
        <f t="shared" si="1"/>
        <v>201285.01</v>
      </c>
      <c r="K53" s="40">
        <v>201285.01</v>
      </c>
      <c r="L53" s="40">
        <f t="shared" si="2"/>
        <v>0</v>
      </c>
      <c r="M53" s="38" t="s">
        <v>35</v>
      </c>
      <c r="N53" s="54"/>
      <c r="O53" s="36"/>
      <c r="P53" s="40">
        <v>0</v>
      </c>
      <c r="Q53" s="40">
        <v>107788</v>
      </c>
      <c r="R53" s="41"/>
      <c r="S53" s="40">
        <f>6103.44+1500</f>
        <v>7603.44</v>
      </c>
      <c r="T53" s="40">
        <v>1380</v>
      </c>
      <c r="U53" s="40">
        <v>14369.23</v>
      </c>
      <c r="V53" s="40">
        <v>2948.2</v>
      </c>
      <c r="W53" s="40">
        <v>51300</v>
      </c>
      <c r="X53" s="40">
        <v>0</v>
      </c>
      <c r="Y53" s="40">
        <v>3000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36">
        <f t="shared" si="0"/>
        <v>0</v>
      </c>
      <c r="AH53"/>
      <c r="AI53" s="37"/>
      <c r="AK53" s="1"/>
      <c r="AL53" s="1"/>
    </row>
    <row r="54" spans="1:38" x14ac:dyDescent="0.3">
      <c r="A54" s="38">
        <v>1000</v>
      </c>
      <c r="B54" s="2" t="s">
        <v>515</v>
      </c>
      <c r="C54" s="50" t="s">
        <v>528</v>
      </c>
      <c r="D54" s="39">
        <v>45741</v>
      </c>
      <c r="E54" s="38" t="s">
        <v>57</v>
      </c>
      <c r="F54" s="38" t="s">
        <v>56</v>
      </c>
      <c r="G54" s="40">
        <v>5269</v>
      </c>
      <c r="H54" s="40">
        <v>25217.02</v>
      </c>
      <c r="I54" s="40">
        <v>4034.72</v>
      </c>
      <c r="J54" s="40">
        <f t="shared" si="1"/>
        <v>34520.74</v>
      </c>
      <c r="K54" s="40">
        <v>0</v>
      </c>
      <c r="L54" s="40">
        <f t="shared" si="2"/>
        <v>34520.74</v>
      </c>
      <c r="M54" s="38" t="s">
        <v>35</v>
      </c>
      <c r="N54" s="54"/>
      <c r="O54" s="36"/>
      <c r="P54" s="40">
        <v>0</v>
      </c>
      <c r="Q54" s="40">
        <v>5269</v>
      </c>
      <c r="R54" s="41"/>
      <c r="S54" s="40">
        <v>6990.28</v>
      </c>
      <c r="T54" s="40">
        <v>0</v>
      </c>
      <c r="U54" s="40">
        <f>4861.38+335.36</f>
        <v>5196.74</v>
      </c>
      <c r="V54" s="40">
        <v>0</v>
      </c>
      <c r="W54" s="40">
        <v>10530</v>
      </c>
      <c r="X54" s="40">
        <v>0</v>
      </c>
      <c r="Y54" s="40">
        <v>0</v>
      </c>
      <c r="Z54" s="40">
        <v>0</v>
      </c>
      <c r="AA54" s="40">
        <v>0</v>
      </c>
      <c r="AB54" s="40">
        <v>2500</v>
      </c>
      <c r="AC54" s="40">
        <v>0</v>
      </c>
      <c r="AD54" s="40">
        <v>0</v>
      </c>
      <c r="AE54" s="40">
        <v>0</v>
      </c>
      <c r="AF54" s="40">
        <v>0</v>
      </c>
      <c r="AG54" s="36">
        <f t="shared" si="0"/>
        <v>0</v>
      </c>
      <c r="AH54"/>
      <c r="AI54" s="37"/>
      <c r="AK54" s="1"/>
      <c r="AL54" s="1"/>
    </row>
    <row r="55" spans="1:38" x14ac:dyDescent="0.3">
      <c r="A55" s="38">
        <v>2000</v>
      </c>
      <c r="B55" s="2" t="s">
        <v>516</v>
      </c>
      <c r="C55" s="38" t="s">
        <v>529</v>
      </c>
      <c r="D55" s="39">
        <v>45741</v>
      </c>
      <c r="E55" s="38" t="s">
        <v>22</v>
      </c>
      <c r="F55" s="38" t="s">
        <v>403</v>
      </c>
      <c r="G55" s="40">
        <v>781</v>
      </c>
      <c r="H55" s="40">
        <v>7961.06</v>
      </c>
      <c r="I55" s="40">
        <v>1273.77</v>
      </c>
      <c r="J55" s="40">
        <f t="shared" si="1"/>
        <v>10015.830000000002</v>
      </c>
      <c r="K55" s="40">
        <v>10015.83</v>
      </c>
      <c r="L55" s="40">
        <f t="shared" si="2"/>
        <v>0</v>
      </c>
      <c r="M55" s="38" t="s">
        <v>35</v>
      </c>
      <c r="N55" s="54"/>
      <c r="O55" s="36"/>
      <c r="P55" s="40">
        <v>0</v>
      </c>
      <c r="Q55" s="40">
        <v>781</v>
      </c>
      <c r="R55" s="41"/>
      <c r="S55" s="40">
        <v>4011.06</v>
      </c>
      <c r="T55" s="40">
        <v>0</v>
      </c>
      <c r="U55" s="40">
        <v>0</v>
      </c>
      <c r="V55" s="40">
        <v>0</v>
      </c>
      <c r="W55" s="40">
        <v>3950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36">
        <f t="shared" si="0"/>
        <v>0</v>
      </c>
      <c r="AH55"/>
      <c r="AI55" s="37"/>
      <c r="AK55" s="1"/>
      <c r="AL55" s="1"/>
    </row>
    <row r="56" spans="1:38" x14ac:dyDescent="0.3">
      <c r="A56" s="38">
        <v>2000</v>
      </c>
      <c r="B56" s="2" t="s">
        <v>517</v>
      </c>
      <c r="C56" s="38" t="s">
        <v>530</v>
      </c>
      <c r="D56" s="39">
        <v>45741</v>
      </c>
      <c r="E56" s="38" t="s">
        <v>22</v>
      </c>
      <c r="F56" s="38" t="s">
        <v>403</v>
      </c>
      <c r="G56" s="40">
        <v>781</v>
      </c>
      <c r="H56" s="40">
        <v>7961.06</v>
      </c>
      <c r="I56" s="40">
        <v>1273.77</v>
      </c>
      <c r="J56" s="40">
        <f t="shared" si="1"/>
        <v>10015.830000000002</v>
      </c>
      <c r="K56" s="40">
        <v>10015.83</v>
      </c>
      <c r="L56" s="40">
        <f t="shared" si="2"/>
        <v>0</v>
      </c>
      <c r="M56" s="38" t="s">
        <v>35</v>
      </c>
      <c r="N56" s="54"/>
      <c r="O56" s="36"/>
      <c r="P56" s="40">
        <v>0</v>
      </c>
      <c r="Q56" s="40">
        <v>781</v>
      </c>
      <c r="R56" s="41"/>
      <c r="S56" s="40">
        <v>4011.06</v>
      </c>
      <c r="T56" s="40">
        <v>0</v>
      </c>
      <c r="U56" s="40">
        <v>0</v>
      </c>
      <c r="V56" s="40">
        <v>0</v>
      </c>
      <c r="W56" s="40">
        <v>3950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36">
        <f t="shared" si="0"/>
        <v>0</v>
      </c>
      <c r="AH56"/>
      <c r="AI56" s="37"/>
      <c r="AK56" s="1"/>
      <c r="AL56" s="1"/>
    </row>
    <row r="57" spans="1:38" x14ac:dyDescent="0.3">
      <c r="A57" s="38">
        <v>2000</v>
      </c>
      <c r="B57" s="2" t="s">
        <v>518</v>
      </c>
      <c r="C57" s="50" t="s">
        <v>531</v>
      </c>
      <c r="D57" s="39">
        <v>45741</v>
      </c>
      <c r="E57" s="38" t="s">
        <v>22</v>
      </c>
      <c r="F57" s="38" t="s">
        <v>403</v>
      </c>
      <c r="G57" s="40">
        <v>781</v>
      </c>
      <c r="H57" s="40">
        <v>7961.06</v>
      </c>
      <c r="I57" s="40">
        <v>1273.77</v>
      </c>
      <c r="J57" s="40">
        <f t="shared" si="1"/>
        <v>10015.830000000002</v>
      </c>
      <c r="K57" s="40">
        <v>10015.83</v>
      </c>
      <c r="L57" s="40">
        <f t="shared" si="2"/>
        <v>0</v>
      </c>
      <c r="M57" s="38" t="s">
        <v>35</v>
      </c>
      <c r="N57" s="54"/>
      <c r="O57" s="36"/>
      <c r="P57" s="40">
        <v>0</v>
      </c>
      <c r="Q57" s="40">
        <v>781</v>
      </c>
      <c r="R57" s="41"/>
      <c r="S57" s="40">
        <v>4011.06</v>
      </c>
      <c r="T57" s="40">
        <v>0</v>
      </c>
      <c r="U57" s="40">
        <v>0</v>
      </c>
      <c r="V57" s="40">
        <v>0</v>
      </c>
      <c r="W57" s="40">
        <v>3950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36">
        <f t="shared" si="0"/>
        <v>0</v>
      </c>
      <c r="AH57"/>
      <c r="AI57" s="37"/>
      <c r="AK57" s="1"/>
      <c r="AL57" s="1"/>
    </row>
    <row r="58" spans="1:38" x14ac:dyDescent="0.3">
      <c r="A58" s="38">
        <v>2000</v>
      </c>
      <c r="B58" s="2" t="s">
        <v>519</v>
      </c>
      <c r="C58" s="50" t="s">
        <v>532</v>
      </c>
      <c r="D58" s="39">
        <v>45741</v>
      </c>
      <c r="E58" s="38" t="s">
        <v>22</v>
      </c>
      <c r="F58" s="38" t="s">
        <v>403</v>
      </c>
      <c r="G58" s="40">
        <v>336</v>
      </c>
      <c r="H58" s="40">
        <v>6947.67</v>
      </c>
      <c r="I58" s="40">
        <v>1111.6300000000001</v>
      </c>
      <c r="J58" s="40">
        <f t="shared" si="1"/>
        <v>8395.2999999999993</v>
      </c>
      <c r="K58" s="40">
        <v>8395.2999999999993</v>
      </c>
      <c r="L58" s="40">
        <f t="shared" si="2"/>
        <v>0</v>
      </c>
      <c r="M58" s="38" t="s">
        <v>35</v>
      </c>
      <c r="N58" s="54"/>
      <c r="O58" s="36"/>
      <c r="P58" s="40">
        <v>0</v>
      </c>
      <c r="Q58" s="40">
        <v>336</v>
      </c>
      <c r="R58" s="41"/>
      <c r="S58" s="40">
        <v>2997.67</v>
      </c>
      <c r="T58" s="40">
        <v>0</v>
      </c>
      <c r="U58" s="40">
        <v>0</v>
      </c>
      <c r="V58" s="40">
        <v>0</v>
      </c>
      <c r="W58" s="40">
        <v>3950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36">
        <f t="shared" si="0"/>
        <v>0</v>
      </c>
      <c r="AH58"/>
      <c r="AI58" s="37"/>
      <c r="AK58" s="1"/>
      <c r="AL58" s="1"/>
    </row>
    <row r="59" spans="1:38" x14ac:dyDescent="0.3">
      <c r="A59" s="38">
        <v>2000</v>
      </c>
      <c r="B59" s="2" t="s">
        <v>520</v>
      </c>
      <c r="C59" s="38" t="s">
        <v>533</v>
      </c>
      <c r="D59" s="39">
        <v>45741</v>
      </c>
      <c r="E59" s="38" t="s">
        <v>22</v>
      </c>
      <c r="F59" s="38" t="s">
        <v>403</v>
      </c>
      <c r="G59" s="40">
        <v>336</v>
      </c>
      <c r="H59" s="40">
        <v>6947.67</v>
      </c>
      <c r="I59" s="40">
        <v>1111.6300000000001</v>
      </c>
      <c r="J59" s="40">
        <f t="shared" si="1"/>
        <v>8395.2999999999993</v>
      </c>
      <c r="K59" s="40">
        <v>8395.2999999999993</v>
      </c>
      <c r="L59" s="40">
        <f t="shared" si="2"/>
        <v>0</v>
      </c>
      <c r="M59" s="38" t="s">
        <v>35</v>
      </c>
      <c r="N59" s="54"/>
      <c r="O59" s="36"/>
      <c r="P59" s="40">
        <v>0</v>
      </c>
      <c r="Q59" s="40">
        <v>336</v>
      </c>
      <c r="R59" s="41"/>
      <c r="S59" s="40">
        <v>2997.67</v>
      </c>
      <c r="T59" s="40">
        <v>0</v>
      </c>
      <c r="U59" s="40">
        <v>0</v>
      </c>
      <c r="V59" s="40">
        <v>0</v>
      </c>
      <c r="W59" s="40">
        <v>3950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36">
        <f t="shared" si="0"/>
        <v>0</v>
      </c>
      <c r="AH59"/>
      <c r="AI59" s="37"/>
      <c r="AK59" s="1"/>
      <c r="AL59" s="1"/>
    </row>
    <row r="60" spans="1:38" x14ac:dyDescent="0.3">
      <c r="A60" s="38">
        <v>2000</v>
      </c>
      <c r="B60" s="2" t="s">
        <v>521</v>
      </c>
      <c r="C60" s="38" t="s">
        <v>534</v>
      </c>
      <c r="D60" s="39">
        <v>45741</v>
      </c>
      <c r="E60" s="38" t="s">
        <v>22</v>
      </c>
      <c r="F60" s="38" t="s">
        <v>403</v>
      </c>
      <c r="G60" s="40">
        <v>3717</v>
      </c>
      <c r="H60" s="40">
        <v>3996.9</v>
      </c>
      <c r="I60" s="40">
        <v>639.5</v>
      </c>
      <c r="J60" s="40">
        <f t="shared" si="1"/>
        <v>8353.4</v>
      </c>
      <c r="K60" s="40">
        <v>8353.4</v>
      </c>
      <c r="L60" s="40">
        <f t="shared" si="2"/>
        <v>0</v>
      </c>
      <c r="M60" s="38" t="s">
        <v>35</v>
      </c>
      <c r="N60" s="54"/>
      <c r="O60" s="36"/>
      <c r="P60" s="40">
        <v>0</v>
      </c>
      <c r="Q60" s="40">
        <v>3717</v>
      </c>
      <c r="R60" s="41"/>
      <c r="S60" s="40">
        <v>3996.9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36">
        <f t="shared" si="0"/>
        <v>0</v>
      </c>
      <c r="AH60"/>
      <c r="AI60" s="37"/>
      <c r="AK60" s="1"/>
      <c r="AL60" s="1"/>
    </row>
    <row r="61" spans="1:38" x14ac:dyDescent="0.3">
      <c r="A61" s="38">
        <v>1000</v>
      </c>
      <c r="B61" s="2" t="s">
        <v>522</v>
      </c>
      <c r="C61" s="38" t="s">
        <v>535</v>
      </c>
      <c r="D61" s="39">
        <v>45741</v>
      </c>
      <c r="E61" s="38" t="s">
        <v>22</v>
      </c>
      <c r="F61" s="38" t="s">
        <v>403</v>
      </c>
      <c r="G61" s="40">
        <v>35100</v>
      </c>
      <c r="H61" s="40">
        <v>47558.44</v>
      </c>
      <c r="I61" s="40">
        <v>7609.35</v>
      </c>
      <c r="J61" s="40">
        <f t="shared" si="1"/>
        <v>90267.790000000008</v>
      </c>
      <c r="K61" s="40">
        <v>88527.79</v>
      </c>
      <c r="L61" s="40">
        <f t="shared" si="2"/>
        <v>1740.0000000000146</v>
      </c>
      <c r="M61" s="38" t="s">
        <v>35</v>
      </c>
      <c r="N61" s="54"/>
      <c r="O61" s="36"/>
      <c r="P61" s="40">
        <v>0</v>
      </c>
      <c r="Q61" s="40">
        <v>35100</v>
      </c>
      <c r="R61" s="41"/>
      <c r="S61" s="40">
        <v>4058.44</v>
      </c>
      <c r="T61" s="40">
        <v>1500</v>
      </c>
      <c r="U61" s="40">
        <v>16000</v>
      </c>
      <c r="V61" s="40">
        <v>0</v>
      </c>
      <c r="W61" s="40">
        <v>26000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36">
        <f t="shared" si="0"/>
        <v>0</v>
      </c>
      <c r="AH61"/>
      <c r="AI61" s="37"/>
      <c r="AK61" s="1"/>
      <c r="AL61" s="1"/>
    </row>
    <row r="62" spans="1:38" x14ac:dyDescent="0.3">
      <c r="A62" s="38">
        <v>2000</v>
      </c>
      <c r="B62" s="2" t="s">
        <v>523</v>
      </c>
      <c r="C62" s="38" t="s">
        <v>536</v>
      </c>
      <c r="D62" s="39">
        <v>45741</v>
      </c>
      <c r="E62" s="38" t="s">
        <v>198</v>
      </c>
      <c r="F62" s="38" t="s">
        <v>200</v>
      </c>
      <c r="G62" s="40">
        <v>0</v>
      </c>
      <c r="H62" s="40">
        <v>22000</v>
      </c>
      <c r="I62" s="40">
        <v>3520</v>
      </c>
      <c r="J62" s="40">
        <f t="shared" si="1"/>
        <v>25520</v>
      </c>
      <c r="K62" s="40">
        <v>25520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0</v>
      </c>
      <c r="R62" s="41"/>
      <c r="S62" s="40">
        <v>0</v>
      </c>
      <c r="T62" s="40">
        <v>0</v>
      </c>
      <c r="U62" s="40">
        <v>0</v>
      </c>
      <c r="V62" s="40">
        <v>0</v>
      </c>
      <c r="W62" s="40">
        <v>22000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36">
        <f t="shared" si="0"/>
        <v>0</v>
      </c>
      <c r="AH62"/>
      <c r="AI62" s="37"/>
      <c r="AK62" s="1"/>
      <c r="AL62" s="1"/>
    </row>
    <row r="63" spans="1:38" x14ac:dyDescent="0.3">
      <c r="A63" s="38">
        <v>2000</v>
      </c>
      <c r="B63" s="2" t="s">
        <v>524</v>
      </c>
      <c r="C63" s="38" t="s">
        <v>537</v>
      </c>
      <c r="D63" s="39">
        <v>45741</v>
      </c>
      <c r="E63" s="38" t="s">
        <v>198</v>
      </c>
      <c r="F63" s="38" t="s">
        <v>200</v>
      </c>
      <c r="G63" s="40">
        <v>0</v>
      </c>
      <c r="H63" s="40">
        <v>25200</v>
      </c>
      <c r="I63" s="40">
        <v>4032</v>
      </c>
      <c r="J63" s="40">
        <f t="shared" si="1"/>
        <v>29232</v>
      </c>
      <c r="K63" s="40">
        <v>29232</v>
      </c>
      <c r="L63" s="40">
        <f t="shared" si="2"/>
        <v>0</v>
      </c>
      <c r="M63" s="38" t="s">
        <v>35</v>
      </c>
      <c r="N63" s="54"/>
      <c r="O63" s="36"/>
      <c r="P63" s="40">
        <v>0</v>
      </c>
      <c r="Q63" s="40">
        <v>0</v>
      </c>
      <c r="R63" s="41"/>
      <c r="S63" s="40">
        <v>0</v>
      </c>
      <c r="T63" s="40">
        <v>0</v>
      </c>
      <c r="U63" s="40">
        <v>0</v>
      </c>
      <c r="V63" s="40">
        <v>0</v>
      </c>
      <c r="W63" s="40">
        <v>25200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36">
        <f t="shared" si="0"/>
        <v>0</v>
      </c>
      <c r="AH63"/>
      <c r="AI63" s="37"/>
      <c r="AK63" s="1"/>
      <c r="AL63" s="1"/>
    </row>
    <row r="64" spans="1:38" x14ac:dyDescent="0.3">
      <c r="A64" s="38">
        <v>1000</v>
      </c>
      <c r="B64" s="2" t="s">
        <v>525</v>
      </c>
      <c r="C64" s="38" t="s">
        <v>538</v>
      </c>
      <c r="D64" s="39">
        <v>45741</v>
      </c>
      <c r="E64" s="38" t="s">
        <v>319</v>
      </c>
      <c r="F64" s="38" t="s">
        <v>541</v>
      </c>
      <c r="G64" s="40">
        <v>8451</v>
      </c>
      <c r="H64" s="40">
        <v>18450</v>
      </c>
      <c r="I64" s="40">
        <v>2952</v>
      </c>
      <c r="J64" s="40">
        <f t="shared" si="1"/>
        <v>29853</v>
      </c>
      <c r="K64" s="40">
        <v>29853</v>
      </c>
      <c r="L64" s="40">
        <f t="shared" si="2"/>
        <v>0</v>
      </c>
      <c r="M64" s="38" t="s">
        <v>35</v>
      </c>
      <c r="N64" s="54"/>
      <c r="O64" s="36"/>
      <c r="P64" s="40">
        <v>0</v>
      </c>
      <c r="Q64" s="40">
        <v>8451</v>
      </c>
      <c r="R64" s="41"/>
      <c r="S64" s="40">
        <v>4450</v>
      </c>
      <c r="T64" s="40">
        <v>608.91999999999996</v>
      </c>
      <c r="U64" s="40">
        <v>5891.08</v>
      </c>
      <c r="V64" s="40">
        <v>0</v>
      </c>
      <c r="W64" s="40">
        <v>7500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36">
        <f t="shared" si="0"/>
        <v>0</v>
      </c>
      <c r="AH64"/>
      <c r="AI64" s="37"/>
      <c r="AK64" s="1"/>
      <c r="AL64" s="1"/>
    </row>
    <row r="65" spans="1:38" x14ac:dyDescent="0.3">
      <c r="A65" s="38">
        <v>1000</v>
      </c>
      <c r="B65" s="2" t="s">
        <v>526</v>
      </c>
      <c r="C65" s="38" t="s">
        <v>539</v>
      </c>
      <c r="D65" s="39">
        <v>45741</v>
      </c>
      <c r="E65" s="38" t="s">
        <v>40</v>
      </c>
      <c r="F65" s="38" t="s">
        <v>41</v>
      </c>
      <c r="G65" s="40">
        <v>0</v>
      </c>
      <c r="H65" s="40">
        <v>97364.79</v>
      </c>
      <c r="I65" s="40">
        <v>15578.37</v>
      </c>
      <c r="J65" s="40">
        <f t="shared" si="1"/>
        <v>112943.15999999999</v>
      </c>
      <c r="K65" s="40">
        <v>0</v>
      </c>
      <c r="L65" s="40">
        <f t="shared" si="2"/>
        <v>112943.15999999999</v>
      </c>
      <c r="M65" s="38" t="s">
        <v>35</v>
      </c>
      <c r="N65" s="54"/>
      <c r="O65" s="36"/>
      <c r="P65" s="40">
        <v>0</v>
      </c>
      <c r="Q65" s="40">
        <v>0</v>
      </c>
      <c r="R65" s="41"/>
      <c r="S65" s="40">
        <f>6111.99+3000</f>
        <v>9111.99</v>
      </c>
      <c r="T65" s="40">
        <v>0</v>
      </c>
      <c r="U65" s="40">
        <v>25750</v>
      </c>
      <c r="V65" s="40">
        <v>6127.8</v>
      </c>
      <c r="W65" s="40">
        <v>46875</v>
      </c>
      <c r="X65" s="40">
        <v>0</v>
      </c>
      <c r="Y65" s="40">
        <v>3000</v>
      </c>
      <c r="Z65" s="40">
        <v>0</v>
      </c>
      <c r="AA65" s="40">
        <v>0</v>
      </c>
      <c r="AB65" s="40">
        <v>0</v>
      </c>
      <c r="AC65" s="40">
        <v>6500</v>
      </c>
      <c r="AD65" s="40">
        <v>0</v>
      </c>
      <c r="AE65" s="40">
        <v>0</v>
      </c>
      <c r="AF65" s="40">
        <v>0</v>
      </c>
      <c r="AG65" s="36">
        <f t="shared" si="0"/>
        <v>0</v>
      </c>
      <c r="AH65"/>
      <c r="AI65" s="37"/>
      <c r="AK65" s="1"/>
      <c r="AL65" s="1"/>
    </row>
    <row r="66" spans="1:38" x14ac:dyDescent="0.3">
      <c r="A66" s="38">
        <v>1000</v>
      </c>
      <c r="B66" s="2" t="s">
        <v>527</v>
      </c>
      <c r="C66" s="38" t="s">
        <v>540</v>
      </c>
      <c r="D66" s="39">
        <v>45742</v>
      </c>
      <c r="E66" s="38" t="s">
        <v>40</v>
      </c>
      <c r="F66" s="38" t="s">
        <v>41</v>
      </c>
      <c r="G66" s="40">
        <v>0</v>
      </c>
      <c r="H66" s="40">
        <v>10967.64</v>
      </c>
      <c r="I66" s="40">
        <v>1754.83</v>
      </c>
      <c r="J66" s="40">
        <f t="shared" si="1"/>
        <v>12722.47</v>
      </c>
      <c r="K66" s="40">
        <v>0</v>
      </c>
      <c r="L66" s="40">
        <f t="shared" si="2"/>
        <v>12722.47</v>
      </c>
      <c r="M66" s="38" t="s">
        <v>35</v>
      </c>
      <c r="N66" s="54"/>
      <c r="O66" s="36"/>
      <c r="P66" s="40">
        <v>0</v>
      </c>
      <c r="Q66" s="40">
        <v>0</v>
      </c>
      <c r="R66" s="41"/>
      <c r="S66" s="40">
        <v>3973.86</v>
      </c>
      <c r="T66" s="40">
        <v>1500</v>
      </c>
      <c r="U66" s="40">
        <v>1990.74</v>
      </c>
      <c r="V66" s="40">
        <v>1003.04</v>
      </c>
      <c r="W66" s="40">
        <v>2500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36">
        <f t="shared" ref="AG66:AG99" si="4">+SUM(S66:AF66)-H66</f>
        <v>0</v>
      </c>
      <c r="AH66"/>
      <c r="AI66" s="37"/>
      <c r="AK66" s="1"/>
      <c r="AL66" s="1"/>
    </row>
    <row r="67" spans="1:38" x14ac:dyDescent="0.3">
      <c r="A67" s="38">
        <v>2000</v>
      </c>
      <c r="B67" s="38" t="s">
        <v>547</v>
      </c>
      <c r="C67" s="38" t="s">
        <v>558</v>
      </c>
      <c r="D67" s="39">
        <v>45742</v>
      </c>
      <c r="E67" s="38" t="s">
        <v>22</v>
      </c>
      <c r="F67" s="38" t="s">
        <v>403</v>
      </c>
      <c r="G67" s="40">
        <v>782</v>
      </c>
      <c r="H67" s="40">
        <v>4070.24</v>
      </c>
      <c r="I67" s="40">
        <v>651.24</v>
      </c>
      <c r="J67" s="40">
        <f t="shared" ref="J67:J99" si="5">SUM(G67:I67)</f>
        <v>5503.48</v>
      </c>
      <c r="K67" s="40">
        <v>5503.48</v>
      </c>
      <c r="L67" s="40">
        <f t="shared" ref="L67:L99" si="6">+J67-K67</f>
        <v>0</v>
      </c>
      <c r="M67" s="38" t="s">
        <v>35</v>
      </c>
      <c r="N67" s="54"/>
      <c r="O67" s="36"/>
      <c r="P67" s="40">
        <v>0</v>
      </c>
      <c r="Q67" s="40">
        <v>782</v>
      </c>
      <c r="R67" s="41"/>
      <c r="S67" s="40">
        <v>3070.24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1000</v>
      </c>
      <c r="AE67" s="40">
        <v>0</v>
      </c>
      <c r="AF67" s="40">
        <v>0</v>
      </c>
      <c r="AG67" s="36">
        <f t="shared" si="4"/>
        <v>0</v>
      </c>
      <c r="AH67"/>
      <c r="AI67" s="37"/>
      <c r="AK67" s="1"/>
      <c r="AL67" s="1"/>
    </row>
    <row r="68" spans="1:38" x14ac:dyDescent="0.3">
      <c r="A68" s="38">
        <v>1000</v>
      </c>
      <c r="B68" s="38" t="s">
        <v>548</v>
      </c>
      <c r="C68" s="38" t="s">
        <v>559</v>
      </c>
      <c r="D68" s="39">
        <v>45743</v>
      </c>
      <c r="E68" s="38" t="s">
        <v>40</v>
      </c>
      <c r="F68" s="38" t="s">
        <v>41</v>
      </c>
      <c r="G68" s="40">
        <v>0</v>
      </c>
      <c r="H68" s="40">
        <v>107388.35</v>
      </c>
      <c r="I68" s="40">
        <v>17182.14</v>
      </c>
      <c r="J68" s="40">
        <f t="shared" si="5"/>
        <v>124570.49</v>
      </c>
      <c r="K68" s="40">
        <v>0</v>
      </c>
      <c r="L68" s="40">
        <f t="shared" si="6"/>
        <v>124570.49</v>
      </c>
      <c r="M68" s="38" t="s">
        <v>35</v>
      </c>
      <c r="N68" s="54"/>
      <c r="O68" s="36"/>
      <c r="P68" s="40">
        <v>0</v>
      </c>
      <c r="Q68" s="40">
        <v>0</v>
      </c>
      <c r="R68" s="41"/>
      <c r="S68" s="40">
        <v>6083.31</v>
      </c>
      <c r="T68" s="40">
        <v>0</v>
      </c>
      <c r="U68" s="40">
        <v>29072.04</v>
      </c>
      <c r="V68" s="40">
        <v>2898</v>
      </c>
      <c r="W68" s="40">
        <v>69335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36">
        <f t="shared" si="4"/>
        <v>0</v>
      </c>
      <c r="AH68"/>
      <c r="AI68" s="37"/>
      <c r="AK68" s="1"/>
      <c r="AL68" s="1"/>
    </row>
    <row r="69" spans="1:38" x14ac:dyDescent="0.3">
      <c r="A69" s="38">
        <v>1000</v>
      </c>
      <c r="B69" s="38" t="s">
        <v>549</v>
      </c>
      <c r="C69" s="38" t="s">
        <v>560</v>
      </c>
      <c r="D69" s="39">
        <v>45743</v>
      </c>
      <c r="E69" s="38" t="s">
        <v>40</v>
      </c>
      <c r="F69" s="38" t="s">
        <v>41</v>
      </c>
      <c r="G69" s="40">
        <v>0</v>
      </c>
      <c r="H69" s="40">
        <v>3540</v>
      </c>
      <c r="I69" s="40">
        <v>566.4</v>
      </c>
      <c r="J69" s="40">
        <f t="shared" si="5"/>
        <v>4106.3999999999996</v>
      </c>
      <c r="K69" s="40">
        <v>0</v>
      </c>
      <c r="L69" s="40">
        <f t="shared" si="6"/>
        <v>4106.3999999999996</v>
      </c>
      <c r="M69" s="38" t="s">
        <v>35</v>
      </c>
      <c r="N69" s="54"/>
      <c r="O69" s="36"/>
      <c r="P69" s="40">
        <v>0</v>
      </c>
      <c r="Q69" s="40">
        <v>0</v>
      </c>
      <c r="R69" s="41"/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3540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36">
        <f t="shared" si="4"/>
        <v>0</v>
      </c>
      <c r="AH69"/>
      <c r="AI69" s="37"/>
      <c r="AK69" s="1"/>
      <c r="AL69" s="1"/>
    </row>
    <row r="70" spans="1:38" x14ac:dyDescent="0.3">
      <c r="A70" s="38">
        <v>1000</v>
      </c>
      <c r="B70" s="38" t="s">
        <v>550</v>
      </c>
      <c r="C70" s="38" t="s">
        <v>561</v>
      </c>
      <c r="D70" s="39">
        <v>45743</v>
      </c>
      <c r="E70" s="38" t="s">
        <v>40</v>
      </c>
      <c r="F70" s="38" t="s">
        <v>41</v>
      </c>
      <c r="G70" s="40">
        <v>0</v>
      </c>
      <c r="H70" s="40">
        <v>3540</v>
      </c>
      <c r="I70" s="40">
        <v>566.4</v>
      </c>
      <c r="J70" s="40">
        <f t="shared" si="5"/>
        <v>4106.3999999999996</v>
      </c>
      <c r="K70" s="40">
        <v>0</v>
      </c>
      <c r="L70" s="40">
        <f t="shared" si="6"/>
        <v>4106.3999999999996</v>
      </c>
      <c r="M70" s="38" t="s">
        <v>35</v>
      </c>
      <c r="N70" s="54"/>
      <c r="O70" s="36"/>
      <c r="P70" s="40">
        <v>0</v>
      </c>
      <c r="Q70" s="40">
        <v>0</v>
      </c>
      <c r="R70" s="41"/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3540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36">
        <f t="shared" si="4"/>
        <v>0</v>
      </c>
      <c r="AH70"/>
      <c r="AI70" s="37"/>
      <c r="AK70" s="1"/>
      <c r="AL70" s="1"/>
    </row>
    <row r="71" spans="1:38" x14ac:dyDescent="0.3">
      <c r="A71" s="38">
        <v>2000</v>
      </c>
      <c r="B71" s="38" t="s">
        <v>551</v>
      </c>
      <c r="C71" s="38" t="s">
        <v>562</v>
      </c>
      <c r="D71" s="39">
        <v>45743</v>
      </c>
      <c r="E71" s="38" t="s">
        <v>22</v>
      </c>
      <c r="F71" s="38" t="s">
        <v>403</v>
      </c>
      <c r="G71" s="40">
        <v>8283</v>
      </c>
      <c r="H71" s="40">
        <v>11976.9</v>
      </c>
      <c r="I71" s="40">
        <v>1916.3</v>
      </c>
      <c r="J71" s="40">
        <f t="shared" si="5"/>
        <v>22176.2</v>
      </c>
      <c r="K71" s="40">
        <v>17507.2</v>
      </c>
      <c r="L71" s="40">
        <f t="shared" si="6"/>
        <v>4669</v>
      </c>
      <c r="M71" s="38" t="s">
        <v>35</v>
      </c>
      <c r="N71" s="54"/>
      <c r="O71" s="36"/>
      <c r="P71" s="40">
        <v>0</v>
      </c>
      <c r="Q71" s="40">
        <v>8283</v>
      </c>
      <c r="R71" s="41"/>
      <c r="S71" s="40">
        <v>4026.9</v>
      </c>
      <c r="T71" s="40">
        <v>0</v>
      </c>
      <c r="U71" s="40">
        <v>2500</v>
      </c>
      <c r="V71" s="40">
        <v>0</v>
      </c>
      <c r="W71" s="40">
        <v>3950</v>
      </c>
      <c r="X71" s="40">
        <v>0</v>
      </c>
      <c r="Y71" s="40">
        <v>1500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36">
        <f t="shared" si="4"/>
        <v>0</v>
      </c>
      <c r="AH71"/>
      <c r="AI71" s="37"/>
      <c r="AK71" s="1"/>
      <c r="AL71" s="1"/>
    </row>
    <row r="72" spans="1:38" x14ac:dyDescent="0.3">
      <c r="A72" s="38">
        <v>2000</v>
      </c>
      <c r="B72" s="38" t="s">
        <v>552</v>
      </c>
      <c r="C72" s="38" t="s">
        <v>563</v>
      </c>
      <c r="D72" s="39">
        <v>45743</v>
      </c>
      <c r="E72" s="38" t="s">
        <v>22</v>
      </c>
      <c r="F72" s="38" t="s">
        <v>403</v>
      </c>
      <c r="G72" s="40">
        <v>781</v>
      </c>
      <c r="H72" s="40">
        <v>7961.06</v>
      </c>
      <c r="I72" s="40">
        <v>1273.77</v>
      </c>
      <c r="J72" s="40">
        <f t="shared" si="5"/>
        <v>10015.830000000002</v>
      </c>
      <c r="K72" s="40">
        <v>10015.83</v>
      </c>
      <c r="L72" s="40">
        <f t="shared" si="6"/>
        <v>0</v>
      </c>
      <c r="M72" s="38" t="s">
        <v>35</v>
      </c>
      <c r="N72" s="54"/>
      <c r="O72" s="36"/>
      <c r="P72" s="40">
        <v>0</v>
      </c>
      <c r="Q72" s="40">
        <v>781</v>
      </c>
      <c r="R72" s="41"/>
      <c r="S72" s="40">
        <v>4011.06</v>
      </c>
      <c r="T72" s="40">
        <v>0</v>
      </c>
      <c r="U72" s="40">
        <v>0</v>
      </c>
      <c r="V72" s="40">
        <v>0</v>
      </c>
      <c r="W72" s="40">
        <v>3950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36">
        <f t="shared" si="4"/>
        <v>0</v>
      </c>
      <c r="AH72"/>
      <c r="AI72" s="37"/>
      <c r="AK72" s="1"/>
      <c r="AL72" s="1"/>
    </row>
    <row r="73" spans="1:38" x14ac:dyDescent="0.3">
      <c r="A73" s="38">
        <v>2000</v>
      </c>
      <c r="B73" s="38" t="s">
        <v>553</v>
      </c>
      <c r="C73" s="38" t="s">
        <v>564</v>
      </c>
      <c r="D73" s="39">
        <v>45743</v>
      </c>
      <c r="E73" s="38" t="s">
        <v>22</v>
      </c>
      <c r="F73" s="38" t="s">
        <v>403</v>
      </c>
      <c r="G73" s="40">
        <v>14988</v>
      </c>
      <c r="H73" s="40">
        <v>11976.9</v>
      </c>
      <c r="I73" s="40">
        <v>1916.3</v>
      </c>
      <c r="J73" s="40">
        <f t="shared" si="5"/>
        <v>28881.200000000001</v>
      </c>
      <c r="K73" s="40">
        <v>24241.200000000001</v>
      </c>
      <c r="L73" s="40">
        <f t="shared" si="6"/>
        <v>4640</v>
      </c>
      <c r="M73" s="38" t="s">
        <v>35</v>
      </c>
      <c r="N73" s="54"/>
      <c r="O73" s="36"/>
      <c r="P73" s="40">
        <v>0</v>
      </c>
      <c r="Q73" s="40">
        <v>14988</v>
      </c>
      <c r="R73" s="41"/>
      <c r="S73" s="40">
        <v>4026.9</v>
      </c>
      <c r="T73" s="40">
        <v>0</v>
      </c>
      <c r="U73" s="40">
        <v>2500</v>
      </c>
      <c r="V73" s="40">
        <v>0</v>
      </c>
      <c r="W73" s="40">
        <v>3950</v>
      </c>
      <c r="X73" s="40">
        <v>0</v>
      </c>
      <c r="Y73" s="40">
        <v>1500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36">
        <f t="shared" si="4"/>
        <v>0</v>
      </c>
      <c r="AH73"/>
      <c r="AI73" s="37"/>
      <c r="AK73" s="1"/>
      <c r="AL73" s="1"/>
    </row>
    <row r="74" spans="1:38" x14ac:dyDescent="0.3">
      <c r="A74" s="38">
        <v>1000</v>
      </c>
      <c r="B74" s="38" t="s">
        <v>554</v>
      </c>
      <c r="C74" s="38" t="s">
        <v>565</v>
      </c>
      <c r="D74" s="39">
        <v>45743</v>
      </c>
      <c r="E74" s="38" t="s">
        <v>569</v>
      </c>
      <c r="F74" s="38" t="s">
        <v>587</v>
      </c>
      <c r="G74" s="40">
        <v>5434</v>
      </c>
      <c r="H74" s="40">
        <v>13718.71</v>
      </c>
      <c r="I74" s="40">
        <v>2195</v>
      </c>
      <c r="J74" s="40">
        <f t="shared" si="5"/>
        <v>21347.71</v>
      </c>
      <c r="K74" s="40">
        <v>21185.279999999999</v>
      </c>
      <c r="L74" s="40">
        <f t="shared" si="6"/>
        <v>162.43000000000029</v>
      </c>
      <c r="M74" s="38" t="s">
        <v>35</v>
      </c>
      <c r="N74" s="54"/>
      <c r="O74" s="36"/>
      <c r="P74" s="40">
        <v>0</v>
      </c>
      <c r="Q74" s="40">
        <v>5434</v>
      </c>
      <c r="R74" s="41"/>
      <c r="S74" s="40">
        <v>7369.99</v>
      </c>
      <c r="T74" s="40">
        <v>0</v>
      </c>
      <c r="U74" s="40">
        <v>4008.72</v>
      </c>
      <c r="V74" s="40">
        <v>0</v>
      </c>
      <c r="W74" s="40">
        <v>2340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36">
        <f t="shared" si="4"/>
        <v>0</v>
      </c>
      <c r="AH74"/>
      <c r="AI74" s="37"/>
      <c r="AK74" s="1"/>
      <c r="AL74" s="1"/>
    </row>
    <row r="75" spans="1:38" x14ac:dyDescent="0.3">
      <c r="A75" s="38">
        <v>2000</v>
      </c>
      <c r="B75" s="38" t="s">
        <v>555</v>
      </c>
      <c r="C75" s="38" t="s">
        <v>566</v>
      </c>
      <c r="D75" s="39">
        <v>45743</v>
      </c>
      <c r="E75" s="38" t="s">
        <v>198</v>
      </c>
      <c r="F75" s="38" t="s">
        <v>200</v>
      </c>
      <c r="G75" s="40">
        <v>0</v>
      </c>
      <c r="H75" s="40">
        <v>22000</v>
      </c>
      <c r="I75" s="40">
        <v>3520</v>
      </c>
      <c r="J75" s="40">
        <f t="shared" si="5"/>
        <v>25520</v>
      </c>
      <c r="K75" s="40">
        <v>25520</v>
      </c>
      <c r="L75" s="40">
        <f t="shared" si="6"/>
        <v>0</v>
      </c>
      <c r="M75" s="38" t="s">
        <v>35</v>
      </c>
      <c r="N75" s="54"/>
      <c r="O75" s="36"/>
      <c r="P75" s="40">
        <v>0</v>
      </c>
      <c r="Q75" s="40">
        <v>0</v>
      </c>
      <c r="R75" s="41"/>
      <c r="S75" s="40">
        <v>0</v>
      </c>
      <c r="T75" s="40">
        <v>0</v>
      </c>
      <c r="U75" s="40">
        <v>0</v>
      </c>
      <c r="V75" s="40">
        <v>0</v>
      </c>
      <c r="W75" s="40">
        <v>22000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36">
        <f t="shared" si="4"/>
        <v>0</v>
      </c>
      <c r="AH75"/>
      <c r="AI75" s="37"/>
      <c r="AK75" s="1"/>
      <c r="AL75" s="1"/>
    </row>
    <row r="76" spans="1:38" x14ac:dyDescent="0.3">
      <c r="A76" s="38">
        <v>2000</v>
      </c>
      <c r="B76" s="38" t="s">
        <v>556</v>
      </c>
      <c r="C76" s="38" t="s">
        <v>567</v>
      </c>
      <c r="D76" s="39">
        <v>45743</v>
      </c>
      <c r="E76" s="38" t="s">
        <v>198</v>
      </c>
      <c r="F76" s="38" t="s">
        <v>200</v>
      </c>
      <c r="G76" s="40">
        <v>0</v>
      </c>
      <c r="H76" s="40">
        <v>24940</v>
      </c>
      <c r="I76" s="40">
        <v>3990.4</v>
      </c>
      <c r="J76" s="40">
        <f t="shared" si="5"/>
        <v>28930.400000000001</v>
      </c>
      <c r="K76" s="40">
        <v>28930.400000000001</v>
      </c>
      <c r="L76" s="40">
        <f t="shared" si="6"/>
        <v>0</v>
      </c>
      <c r="M76" s="38" t="s">
        <v>35</v>
      </c>
      <c r="N76" s="54"/>
      <c r="O76" s="36"/>
      <c r="P76" s="40">
        <v>0</v>
      </c>
      <c r="Q76" s="40">
        <v>0</v>
      </c>
      <c r="R76" s="41"/>
      <c r="S76" s="40">
        <v>0</v>
      </c>
      <c r="T76" s="40">
        <v>0</v>
      </c>
      <c r="U76" s="40">
        <v>0</v>
      </c>
      <c r="V76" s="40">
        <v>0</v>
      </c>
      <c r="W76" s="40">
        <v>22000</v>
      </c>
      <c r="X76" s="40">
        <v>0</v>
      </c>
      <c r="Y76" s="40">
        <v>0</v>
      </c>
      <c r="Z76" s="40">
        <v>0</v>
      </c>
      <c r="AA76" s="40">
        <v>0</v>
      </c>
      <c r="AB76" s="40">
        <v>2940</v>
      </c>
      <c r="AC76" s="40">
        <v>0</v>
      </c>
      <c r="AD76" s="40">
        <v>0</v>
      </c>
      <c r="AE76" s="40">
        <v>0</v>
      </c>
      <c r="AF76" s="40">
        <v>0</v>
      </c>
      <c r="AG76" s="36">
        <f t="shared" si="4"/>
        <v>0</v>
      </c>
      <c r="AH76"/>
      <c r="AI76" s="37"/>
      <c r="AK76" s="1"/>
      <c r="AL76" s="1"/>
    </row>
    <row r="77" spans="1:38" x14ac:dyDescent="0.3">
      <c r="A77" s="38">
        <v>2000</v>
      </c>
      <c r="B77" s="38" t="s">
        <v>557</v>
      </c>
      <c r="C77" s="38" t="s">
        <v>568</v>
      </c>
      <c r="D77" s="39">
        <v>45743</v>
      </c>
      <c r="E77" s="38" t="s">
        <v>22</v>
      </c>
      <c r="F77" s="38" t="s">
        <v>403</v>
      </c>
      <c r="G77" s="40">
        <v>3662</v>
      </c>
      <c r="H77" s="40">
        <v>49500</v>
      </c>
      <c r="I77" s="40">
        <v>7920</v>
      </c>
      <c r="J77" s="40">
        <f t="shared" si="5"/>
        <v>61082</v>
      </c>
      <c r="K77" s="40">
        <v>58866.33</v>
      </c>
      <c r="L77" s="40">
        <f t="shared" si="6"/>
        <v>2215.6699999999983</v>
      </c>
      <c r="M77" s="38" t="s">
        <v>35</v>
      </c>
      <c r="N77" s="54"/>
      <c r="O77" s="36"/>
      <c r="P77" s="40">
        <v>0</v>
      </c>
      <c r="Q77" s="40">
        <v>3662</v>
      </c>
      <c r="R77" s="41"/>
      <c r="S77" s="40">
        <v>6000</v>
      </c>
      <c r="T77" s="40">
        <v>1500</v>
      </c>
      <c r="U77" s="40">
        <v>16000</v>
      </c>
      <c r="V77" s="40">
        <v>0</v>
      </c>
      <c r="W77" s="40">
        <v>26000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36">
        <f t="shared" si="4"/>
        <v>0</v>
      </c>
      <c r="AH77"/>
      <c r="AI77" s="37"/>
      <c r="AK77" s="1"/>
      <c r="AL77" s="1"/>
    </row>
    <row r="78" spans="1:38" x14ac:dyDescent="0.3">
      <c r="A78" s="38">
        <v>1000</v>
      </c>
      <c r="B78" s="38" t="s">
        <v>570</v>
      </c>
      <c r="C78" s="38" t="s">
        <v>576</v>
      </c>
      <c r="D78" s="39">
        <v>45747</v>
      </c>
      <c r="E78" s="38" t="s">
        <v>42</v>
      </c>
      <c r="F78" s="38" t="s">
        <v>49</v>
      </c>
      <c r="G78" s="40">
        <v>781</v>
      </c>
      <c r="H78" s="40">
        <v>189073.15</v>
      </c>
      <c r="I78" s="40">
        <v>30251.7</v>
      </c>
      <c r="J78" s="40">
        <f t="shared" si="5"/>
        <v>220105.85</v>
      </c>
      <c r="K78" s="40">
        <v>227598.76</v>
      </c>
      <c r="L78" s="40">
        <f t="shared" si="6"/>
        <v>-7492.9100000000035</v>
      </c>
      <c r="M78" s="38" t="s">
        <v>35</v>
      </c>
      <c r="N78" s="54"/>
      <c r="O78" s="36"/>
      <c r="P78" s="40">
        <v>0</v>
      </c>
      <c r="Q78" s="40">
        <v>781</v>
      </c>
      <c r="R78" s="41"/>
      <c r="S78" s="40">
        <v>13215.15</v>
      </c>
      <c r="T78" s="40">
        <v>0</v>
      </c>
      <c r="U78" s="40">
        <v>70558</v>
      </c>
      <c r="V78" s="40">
        <v>0</v>
      </c>
      <c r="W78" s="40">
        <v>105300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36">
        <f t="shared" si="4"/>
        <v>0</v>
      </c>
      <c r="AH78"/>
      <c r="AI78" s="37"/>
      <c r="AK78" s="1"/>
      <c r="AL78" s="1"/>
    </row>
    <row r="79" spans="1:38" x14ac:dyDescent="0.3">
      <c r="A79" s="38">
        <v>1000</v>
      </c>
      <c r="B79" s="38" t="s">
        <v>571</v>
      </c>
      <c r="C79" s="38" t="s">
        <v>577</v>
      </c>
      <c r="D79" s="39">
        <v>45747</v>
      </c>
      <c r="E79" s="38" t="s">
        <v>42</v>
      </c>
      <c r="F79" s="38" t="s">
        <v>49</v>
      </c>
      <c r="G79" s="40">
        <v>781</v>
      </c>
      <c r="H79" s="40">
        <v>91048.37</v>
      </c>
      <c r="I79" s="40">
        <v>14567.74</v>
      </c>
      <c r="J79" s="40">
        <f t="shared" si="5"/>
        <v>106397.11</v>
      </c>
      <c r="K79" s="40">
        <v>107024.83</v>
      </c>
      <c r="L79" s="40">
        <f t="shared" si="6"/>
        <v>-627.72000000000116</v>
      </c>
      <c r="M79" s="38" t="s">
        <v>35</v>
      </c>
      <c r="N79" s="54"/>
      <c r="O79" s="36"/>
      <c r="P79" s="40">
        <v>0</v>
      </c>
      <c r="Q79" s="40">
        <v>781</v>
      </c>
      <c r="R79" s="41"/>
      <c r="S79" s="40">
        <v>9348.3700000000008</v>
      </c>
      <c r="T79" s="40">
        <v>0</v>
      </c>
      <c r="U79" s="40">
        <v>25000</v>
      </c>
      <c r="V79" s="40">
        <v>0</v>
      </c>
      <c r="W79" s="40">
        <v>56700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36">
        <f t="shared" si="4"/>
        <v>0</v>
      </c>
      <c r="AH79"/>
      <c r="AI79" s="37"/>
      <c r="AK79" s="1"/>
      <c r="AL79" s="1"/>
    </row>
    <row r="80" spans="1:38" x14ac:dyDescent="0.3">
      <c r="A80" s="38">
        <v>1000</v>
      </c>
      <c r="B80" s="38" t="s">
        <v>572</v>
      </c>
      <c r="C80" s="38" t="s">
        <v>578</v>
      </c>
      <c r="D80" s="39">
        <v>45747</v>
      </c>
      <c r="E80" s="38" t="s">
        <v>223</v>
      </c>
      <c r="F80" s="38" t="s">
        <v>219</v>
      </c>
      <c r="G80" s="40">
        <v>5220</v>
      </c>
      <c r="H80" s="40">
        <v>19500</v>
      </c>
      <c r="I80" s="40">
        <v>3120</v>
      </c>
      <c r="J80" s="40">
        <f t="shared" si="5"/>
        <v>27840</v>
      </c>
      <c r="K80" s="40">
        <v>28401</v>
      </c>
      <c r="L80" s="40">
        <f t="shared" si="6"/>
        <v>-561</v>
      </c>
      <c r="M80" s="38" t="s">
        <v>35</v>
      </c>
      <c r="N80" s="54"/>
      <c r="O80" s="36"/>
      <c r="P80" s="40">
        <v>0</v>
      </c>
      <c r="Q80" s="40">
        <v>5220</v>
      </c>
      <c r="R80" s="41"/>
      <c r="S80" s="40">
        <v>6500</v>
      </c>
      <c r="T80" s="40">
        <v>1500</v>
      </c>
      <c r="U80" s="40">
        <v>9300</v>
      </c>
      <c r="V80" s="40">
        <v>0</v>
      </c>
      <c r="W80" s="40">
        <v>2200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36">
        <f t="shared" si="4"/>
        <v>0</v>
      </c>
      <c r="AH80"/>
      <c r="AI80" s="37"/>
      <c r="AK80" s="1"/>
      <c r="AL80" s="1"/>
    </row>
    <row r="81" spans="1:38" x14ac:dyDescent="0.3">
      <c r="A81" s="38">
        <v>1000</v>
      </c>
      <c r="B81" s="38" t="s">
        <v>573</v>
      </c>
      <c r="C81" s="38" t="s">
        <v>579</v>
      </c>
      <c r="D81" s="39">
        <v>45747</v>
      </c>
      <c r="E81" s="38" t="s">
        <v>22</v>
      </c>
      <c r="F81" s="38" t="s">
        <v>403</v>
      </c>
      <c r="G81" s="40">
        <f>336+295</f>
        <v>631</v>
      </c>
      <c r="H81" s="40">
        <v>11800</v>
      </c>
      <c r="I81" s="40">
        <v>1888</v>
      </c>
      <c r="J81" s="40">
        <f t="shared" si="5"/>
        <v>14319</v>
      </c>
      <c r="K81" s="40">
        <v>10544</v>
      </c>
      <c r="L81" s="40">
        <f t="shared" si="6"/>
        <v>3775</v>
      </c>
      <c r="M81" s="38" t="s">
        <v>35</v>
      </c>
      <c r="N81" s="54"/>
      <c r="O81" s="36"/>
      <c r="P81" s="40">
        <v>0</v>
      </c>
      <c r="Q81" s="40">
        <f>295+336</f>
        <v>631</v>
      </c>
      <c r="R81" s="41"/>
      <c r="S81" s="40">
        <v>6300</v>
      </c>
      <c r="T81" s="40">
        <v>0</v>
      </c>
      <c r="U81" s="40">
        <v>2500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3000</v>
      </c>
      <c r="AC81" s="40">
        <v>0</v>
      </c>
      <c r="AD81" s="40">
        <v>0</v>
      </c>
      <c r="AE81" s="40">
        <v>0</v>
      </c>
      <c r="AF81" s="40">
        <v>0</v>
      </c>
      <c r="AG81" s="36">
        <f t="shared" si="4"/>
        <v>0</v>
      </c>
      <c r="AH81"/>
      <c r="AI81" s="37"/>
      <c r="AK81" s="1"/>
      <c r="AL81" s="1"/>
    </row>
    <row r="82" spans="1:38" x14ac:dyDescent="0.3">
      <c r="A82" s="38">
        <v>1000</v>
      </c>
      <c r="B82" s="38" t="s">
        <v>574</v>
      </c>
      <c r="C82" s="38" t="s">
        <v>580</v>
      </c>
      <c r="D82" s="39">
        <v>45747</v>
      </c>
      <c r="E82" s="38" t="s">
        <v>42</v>
      </c>
      <c r="F82" s="38" t="s">
        <v>49</v>
      </c>
      <c r="G82" s="40">
        <v>5644.5</v>
      </c>
      <c r="H82" s="40">
        <v>1597.5</v>
      </c>
      <c r="I82" s="40">
        <v>255.6</v>
      </c>
      <c r="J82" s="40">
        <f t="shared" si="5"/>
        <v>7497.6</v>
      </c>
      <c r="K82" s="40">
        <v>7497.6</v>
      </c>
      <c r="L82" s="40">
        <f t="shared" si="6"/>
        <v>0</v>
      </c>
      <c r="M82" s="38" t="s">
        <v>35</v>
      </c>
      <c r="N82" s="54"/>
      <c r="O82" s="36"/>
      <c r="P82" s="40">
        <v>0</v>
      </c>
      <c r="Q82" s="40">
        <v>5644.5</v>
      </c>
      <c r="R82" s="41"/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1597.5</v>
      </c>
      <c r="AF82" s="40">
        <v>0</v>
      </c>
      <c r="AG82" s="36">
        <f t="shared" si="4"/>
        <v>0</v>
      </c>
      <c r="AH82"/>
      <c r="AI82" s="37"/>
      <c r="AK82" s="1"/>
      <c r="AL82" s="1"/>
    </row>
    <row r="83" spans="1:38" x14ac:dyDescent="0.3">
      <c r="A83" s="38">
        <v>1000</v>
      </c>
      <c r="B83" s="38" t="s">
        <v>575</v>
      </c>
      <c r="C83" s="38" t="s">
        <v>580</v>
      </c>
      <c r="D83" s="39">
        <v>45747</v>
      </c>
      <c r="E83" s="38" t="s">
        <v>42</v>
      </c>
      <c r="F83" s="38" t="s">
        <v>49</v>
      </c>
      <c r="G83" s="40">
        <v>781</v>
      </c>
      <c r="H83" s="40">
        <v>110783.16</v>
      </c>
      <c r="I83" s="40">
        <v>17725.310000000001</v>
      </c>
      <c r="J83" s="40">
        <f t="shared" si="5"/>
        <v>129289.47</v>
      </c>
      <c r="K83" s="40">
        <v>129698.24000000001</v>
      </c>
      <c r="L83" s="40">
        <f t="shared" si="6"/>
        <v>-408.77000000000407</v>
      </c>
      <c r="M83" s="38" t="s">
        <v>35</v>
      </c>
      <c r="N83" s="54"/>
      <c r="O83" s="36"/>
      <c r="P83" s="40">
        <v>0</v>
      </c>
      <c r="Q83" s="40">
        <v>781</v>
      </c>
      <c r="R83" s="41"/>
      <c r="S83" s="40">
        <v>7481.16</v>
      </c>
      <c r="T83" s="40">
        <v>0</v>
      </c>
      <c r="U83" s="40">
        <v>43302</v>
      </c>
      <c r="V83" s="40">
        <v>0</v>
      </c>
      <c r="W83" s="40">
        <v>60000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36">
        <f t="shared" si="4"/>
        <v>0</v>
      </c>
      <c r="AH83"/>
      <c r="AI83" s="37"/>
      <c r="AK83" s="1"/>
      <c r="AL83" s="1"/>
    </row>
    <row r="84" spans="1:38" x14ac:dyDescent="0.3">
      <c r="A84" s="38">
        <v>1000</v>
      </c>
      <c r="B84" s="38" t="s">
        <v>588</v>
      </c>
      <c r="C84" s="38" t="s">
        <v>601</v>
      </c>
      <c r="D84" s="39">
        <v>45747</v>
      </c>
      <c r="E84" s="38" t="s">
        <v>42</v>
      </c>
      <c r="F84" s="38" t="s">
        <v>49</v>
      </c>
      <c r="G84" s="40">
        <v>781</v>
      </c>
      <c r="H84" s="40">
        <v>29420</v>
      </c>
      <c r="I84" s="40">
        <v>4707.2</v>
      </c>
      <c r="J84" s="40">
        <f t="shared" si="5"/>
        <v>34908.199999999997</v>
      </c>
      <c r="K84" s="40">
        <v>34908.199999999997</v>
      </c>
      <c r="L84" s="40">
        <f t="shared" si="6"/>
        <v>0</v>
      </c>
      <c r="M84" s="38" t="s">
        <v>35</v>
      </c>
      <c r="N84" s="54"/>
      <c r="O84" s="36"/>
      <c r="P84" s="40">
        <v>0</v>
      </c>
      <c r="Q84" s="40">
        <v>781</v>
      </c>
      <c r="R84" s="41"/>
      <c r="S84" s="40">
        <v>6390</v>
      </c>
      <c r="T84" s="40">
        <v>0</v>
      </c>
      <c r="U84" s="40">
        <v>23030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36">
        <f t="shared" si="4"/>
        <v>0</v>
      </c>
      <c r="AH84"/>
      <c r="AI84" s="37"/>
      <c r="AK84" s="1"/>
      <c r="AL84" s="1"/>
    </row>
    <row r="85" spans="1:38" x14ac:dyDescent="0.3">
      <c r="A85" s="38">
        <v>1000</v>
      </c>
      <c r="B85" s="38" t="s">
        <v>589</v>
      </c>
      <c r="C85" s="38" t="s">
        <v>394</v>
      </c>
      <c r="D85" s="39">
        <v>45747</v>
      </c>
      <c r="E85" s="38" t="s">
        <v>42</v>
      </c>
      <c r="F85" s="38" t="s">
        <v>49</v>
      </c>
      <c r="G85" s="40">
        <v>0</v>
      </c>
      <c r="H85" s="40">
        <v>1585.61</v>
      </c>
      <c r="I85" s="40">
        <v>253.7</v>
      </c>
      <c r="J85" s="40">
        <f t="shared" si="5"/>
        <v>1839.31</v>
      </c>
      <c r="K85" s="40">
        <v>1839.31</v>
      </c>
      <c r="L85" s="40">
        <f t="shared" si="6"/>
        <v>0</v>
      </c>
      <c r="M85" s="38" t="s">
        <v>35</v>
      </c>
      <c r="N85" s="54"/>
      <c r="O85" s="36"/>
      <c r="P85" s="40">
        <v>0</v>
      </c>
      <c r="Q85" s="40">
        <v>0</v>
      </c>
      <c r="R85" s="41"/>
      <c r="S85" s="40">
        <v>0</v>
      </c>
      <c r="T85" s="40">
        <v>0</v>
      </c>
      <c r="U85" s="40">
        <v>0</v>
      </c>
      <c r="V85" s="40">
        <v>1585.61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36">
        <f t="shared" si="4"/>
        <v>0</v>
      </c>
      <c r="AH85"/>
      <c r="AI85" s="37"/>
      <c r="AK85" s="1"/>
      <c r="AL85" s="1"/>
    </row>
    <row r="86" spans="1:38" x14ac:dyDescent="0.3">
      <c r="A86" s="38">
        <v>1000</v>
      </c>
      <c r="B86" s="38" t="s">
        <v>590</v>
      </c>
      <c r="C86" s="38" t="s">
        <v>602</v>
      </c>
      <c r="D86" s="39">
        <v>45747</v>
      </c>
      <c r="E86" s="38" t="s">
        <v>42</v>
      </c>
      <c r="F86" s="38" t="s">
        <v>49</v>
      </c>
      <c r="G86" s="40">
        <v>402830</v>
      </c>
      <c r="H86" s="40">
        <v>44681.77</v>
      </c>
      <c r="I86" s="40">
        <v>7149.09</v>
      </c>
      <c r="J86" s="40">
        <f t="shared" si="5"/>
        <v>454660.86000000004</v>
      </c>
      <c r="K86" s="40">
        <v>459915.38</v>
      </c>
      <c r="L86" s="40">
        <f t="shared" si="6"/>
        <v>-5254.5199999999604</v>
      </c>
      <c r="M86" s="38" t="s">
        <v>35</v>
      </c>
      <c r="N86" s="54"/>
      <c r="O86" s="36"/>
      <c r="P86" s="40">
        <v>0</v>
      </c>
      <c r="Q86" s="40">
        <v>402830</v>
      </c>
      <c r="R86" s="41"/>
      <c r="S86" s="40">
        <v>7035.86</v>
      </c>
      <c r="T86" s="40">
        <v>0</v>
      </c>
      <c r="U86" s="40">
        <v>37645.910000000003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36">
        <f t="shared" si="4"/>
        <v>0</v>
      </c>
      <c r="AH86"/>
      <c r="AI86" s="37"/>
      <c r="AK86" s="1"/>
      <c r="AL86" s="1"/>
    </row>
    <row r="87" spans="1:38" x14ac:dyDescent="0.3">
      <c r="A87" s="62">
        <v>1000</v>
      </c>
      <c r="B87" s="62" t="s">
        <v>591</v>
      </c>
      <c r="C87" s="62" t="s">
        <v>603</v>
      </c>
      <c r="D87" s="39">
        <v>45747</v>
      </c>
      <c r="E87" s="38" t="s">
        <v>42</v>
      </c>
      <c r="F87" s="38" t="s">
        <v>49</v>
      </c>
      <c r="G87" s="40">
        <v>436465</v>
      </c>
      <c r="H87" s="40">
        <v>45270.42</v>
      </c>
      <c r="I87" s="40">
        <v>7243.27</v>
      </c>
      <c r="J87" s="40">
        <f t="shared" si="5"/>
        <v>488978.69</v>
      </c>
      <c r="K87" s="40">
        <v>481064.54</v>
      </c>
      <c r="L87" s="40">
        <f t="shared" si="6"/>
        <v>7914.1500000000233</v>
      </c>
      <c r="M87" s="38" t="s">
        <v>35</v>
      </c>
      <c r="N87" s="54"/>
      <c r="O87" s="36"/>
      <c r="P87" s="40">
        <v>0</v>
      </c>
      <c r="Q87" s="40">
        <v>436465</v>
      </c>
      <c r="R87" s="41"/>
      <c r="S87" s="40">
        <v>7624.51</v>
      </c>
      <c r="T87" s="40">
        <v>0</v>
      </c>
      <c r="U87" s="40">
        <v>37645.910000000003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36">
        <f t="shared" si="4"/>
        <v>0</v>
      </c>
      <c r="AH87"/>
      <c r="AI87" s="37"/>
      <c r="AK87" s="1"/>
      <c r="AL87" s="1"/>
    </row>
    <row r="88" spans="1:38" x14ac:dyDescent="0.3">
      <c r="A88" s="38">
        <v>1000</v>
      </c>
      <c r="B88" s="38" t="s">
        <v>592</v>
      </c>
      <c r="C88" s="38" t="s">
        <v>604</v>
      </c>
      <c r="D88" s="39">
        <v>45747</v>
      </c>
      <c r="E88" s="38" t="s">
        <v>42</v>
      </c>
      <c r="F88" s="38" t="s">
        <v>49</v>
      </c>
      <c r="G88" s="40">
        <v>5644.5</v>
      </c>
      <c r="H88" s="40">
        <v>94014.5</v>
      </c>
      <c r="I88" s="40">
        <v>15042.32</v>
      </c>
      <c r="J88" s="40">
        <f t="shared" si="5"/>
        <v>114701.32</v>
      </c>
      <c r="K88" s="40">
        <v>117960.32000000001</v>
      </c>
      <c r="L88" s="40">
        <f t="shared" si="6"/>
        <v>-3259</v>
      </c>
      <c r="M88" s="38" t="s">
        <v>35</v>
      </c>
      <c r="N88" s="54"/>
      <c r="O88" s="36"/>
      <c r="P88" s="40">
        <v>0</v>
      </c>
      <c r="Q88" s="40">
        <v>5644.5</v>
      </c>
      <c r="R88" s="41"/>
      <c r="S88" s="40">
        <v>6810</v>
      </c>
      <c r="T88" s="40">
        <v>0</v>
      </c>
      <c r="U88" s="40">
        <v>28000</v>
      </c>
      <c r="V88" s="40">
        <v>907</v>
      </c>
      <c r="W88" s="40">
        <v>56700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1597.5</v>
      </c>
      <c r="AF88" s="40">
        <v>0</v>
      </c>
      <c r="AG88" s="36">
        <f t="shared" si="4"/>
        <v>0</v>
      </c>
      <c r="AH88"/>
      <c r="AI88" s="37"/>
      <c r="AK88" s="1"/>
      <c r="AL88" s="1"/>
    </row>
    <row r="89" spans="1:38" x14ac:dyDescent="0.3">
      <c r="A89" s="38">
        <v>2000</v>
      </c>
      <c r="B89" s="38" t="s">
        <v>593</v>
      </c>
      <c r="C89" s="38" t="s">
        <v>605</v>
      </c>
      <c r="D89" s="39">
        <v>45747</v>
      </c>
      <c r="E89" s="38" t="s">
        <v>22</v>
      </c>
      <c r="F89" s="38" t="s">
        <v>403</v>
      </c>
      <c r="G89" s="40">
        <v>9735</v>
      </c>
      <c r="H89" s="40">
        <v>7965.24</v>
      </c>
      <c r="I89" s="40">
        <v>1274.44</v>
      </c>
      <c r="J89" s="40">
        <f t="shared" si="5"/>
        <v>18974.679999999997</v>
      </c>
      <c r="K89" s="40">
        <v>18974.68</v>
      </c>
      <c r="L89" s="40">
        <f t="shared" si="6"/>
        <v>0</v>
      </c>
      <c r="M89" s="38" t="s">
        <v>35</v>
      </c>
      <c r="N89" s="54"/>
      <c r="O89" s="36"/>
      <c r="P89" s="40">
        <v>0</v>
      </c>
      <c r="Q89" s="40">
        <v>9735</v>
      </c>
      <c r="R89" s="41"/>
      <c r="S89" s="40">
        <v>4015.24</v>
      </c>
      <c r="T89" s="40">
        <v>0</v>
      </c>
      <c r="U89" s="40">
        <v>0</v>
      </c>
      <c r="V89" s="40">
        <v>0</v>
      </c>
      <c r="W89" s="40">
        <v>3950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36">
        <f t="shared" si="4"/>
        <v>0</v>
      </c>
      <c r="AH89"/>
      <c r="AI89" s="37"/>
      <c r="AK89" s="1"/>
      <c r="AL89" s="1"/>
    </row>
    <row r="90" spans="1:38" x14ac:dyDescent="0.3">
      <c r="A90" s="38">
        <v>2000</v>
      </c>
      <c r="B90" s="38" t="s">
        <v>594</v>
      </c>
      <c r="C90" s="38" t="s">
        <v>606</v>
      </c>
      <c r="D90" s="39">
        <v>45747</v>
      </c>
      <c r="E90" s="38" t="s">
        <v>22</v>
      </c>
      <c r="F90" s="38" t="s">
        <v>403</v>
      </c>
      <c r="G90" s="40">
        <v>336</v>
      </c>
      <c r="H90" s="40">
        <v>13928.89</v>
      </c>
      <c r="I90" s="40">
        <v>2228.62</v>
      </c>
      <c r="J90" s="40">
        <f t="shared" si="5"/>
        <v>16493.509999999998</v>
      </c>
      <c r="K90" s="40">
        <v>16493.509999999998</v>
      </c>
      <c r="L90" s="40">
        <f t="shared" si="6"/>
        <v>0</v>
      </c>
      <c r="M90" s="38" t="s">
        <v>35</v>
      </c>
      <c r="N90" s="54"/>
      <c r="O90" s="36"/>
      <c r="P90" s="40">
        <v>0</v>
      </c>
      <c r="Q90" s="40">
        <v>336</v>
      </c>
      <c r="R90" s="41"/>
      <c r="S90" s="40">
        <v>6028.89</v>
      </c>
      <c r="T90" s="40">
        <v>0</v>
      </c>
      <c r="U90" s="40">
        <v>0</v>
      </c>
      <c r="V90" s="40">
        <v>0</v>
      </c>
      <c r="W90" s="40">
        <v>7900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36">
        <f t="shared" si="4"/>
        <v>0</v>
      </c>
      <c r="AH90"/>
      <c r="AI90" s="37"/>
      <c r="AK90" s="1"/>
      <c r="AL90" s="1"/>
    </row>
    <row r="91" spans="1:38" x14ac:dyDescent="0.3">
      <c r="A91" s="38">
        <v>2000</v>
      </c>
      <c r="B91" s="38" t="s">
        <v>595</v>
      </c>
      <c r="C91" s="38" t="s">
        <v>607</v>
      </c>
      <c r="D91" s="39">
        <v>45747</v>
      </c>
      <c r="E91" s="38" t="s">
        <v>22</v>
      </c>
      <c r="F91" s="38" t="s">
        <v>403</v>
      </c>
      <c r="G91" s="40">
        <v>336</v>
      </c>
      <c r="H91" s="40">
        <v>6964.45</v>
      </c>
      <c r="I91" s="40">
        <v>1114.31</v>
      </c>
      <c r="J91" s="40">
        <f t="shared" si="5"/>
        <v>8414.76</v>
      </c>
      <c r="K91" s="40">
        <v>8414.76</v>
      </c>
      <c r="L91" s="40">
        <f t="shared" si="6"/>
        <v>0</v>
      </c>
      <c r="M91" s="38" t="s">
        <v>35</v>
      </c>
      <c r="N91" s="54"/>
      <c r="O91" s="36"/>
      <c r="P91" s="40">
        <v>0</v>
      </c>
      <c r="Q91" s="40">
        <v>336</v>
      </c>
      <c r="R91" s="41"/>
      <c r="S91" s="40">
        <v>3014.45</v>
      </c>
      <c r="T91" s="40">
        <v>0</v>
      </c>
      <c r="U91" s="40">
        <v>0</v>
      </c>
      <c r="V91" s="40">
        <v>0</v>
      </c>
      <c r="W91" s="40">
        <v>3950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36">
        <f t="shared" si="4"/>
        <v>0</v>
      </c>
      <c r="AH91"/>
      <c r="AI91" s="37"/>
      <c r="AK91" s="1"/>
      <c r="AL91" s="1"/>
    </row>
    <row r="92" spans="1:38" x14ac:dyDescent="0.3">
      <c r="A92" s="38">
        <v>2000</v>
      </c>
      <c r="B92" s="38" t="s">
        <v>596</v>
      </c>
      <c r="C92" s="38" t="s">
        <v>608</v>
      </c>
      <c r="D92" s="39">
        <v>45747</v>
      </c>
      <c r="E92" s="38" t="s">
        <v>22</v>
      </c>
      <c r="F92" s="38" t="s">
        <v>403</v>
      </c>
      <c r="G92" s="40">
        <v>291009</v>
      </c>
      <c r="H92" s="40">
        <v>28084.76</v>
      </c>
      <c r="I92" s="40">
        <v>4493.5600000000004</v>
      </c>
      <c r="J92" s="40">
        <f t="shared" si="5"/>
        <v>323587.32</v>
      </c>
      <c r="K92" s="40">
        <v>323587.32</v>
      </c>
      <c r="L92" s="40">
        <f t="shared" si="6"/>
        <v>0</v>
      </c>
      <c r="M92" s="38" t="s">
        <v>35</v>
      </c>
      <c r="N92" s="54"/>
      <c r="O92" s="36"/>
      <c r="P92" s="40">
        <v>0</v>
      </c>
      <c r="Q92" s="40">
        <v>291009</v>
      </c>
      <c r="R92" s="41"/>
      <c r="S92" s="40">
        <v>4022.46</v>
      </c>
      <c r="T92" s="40">
        <v>0</v>
      </c>
      <c r="U92" s="40">
        <v>0</v>
      </c>
      <c r="V92" s="40">
        <v>0</v>
      </c>
      <c r="W92" s="40">
        <v>3950</v>
      </c>
      <c r="X92" s="40">
        <v>20112.3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36">
        <f t="shared" si="4"/>
        <v>0</v>
      </c>
      <c r="AH92"/>
      <c r="AI92" s="37"/>
      <c r="AK92" s="1"/>
      <c r="AL92" s="1"/>
    </row>
    <row r="93" spans="1:38" x14ac:dyDescent="0.3">
      <c r="A93" s="38">
        <v>1000</v>
      </c>
      <c r="B93" s="38" t="s">
        <v>597</v>
      </c>
      <c r="C93" s="38" t="s">
        <v>609</v>
      </c>
      <c r="D93" s="39">
        <v>45747</v>
      </c>
      <c r="E93" s="38" t="s">
        <v>42</v>
      </c>
      <c r="F93" s="38" t="s">
        <v>49</v>
      </c>
      <c r="G93" s="40">
        <v>781</v>
      </c>
      <c r="H93" s="40">
        <v>103002.37</v>
      </c>
      <c r="I93" s="40">
        <v>16480.38</v>
      </c>
      <c r="J93" s="40">
        <f t="shared" si="5"/>
        <v>120263.75</v>
      </c>
      <c r="K93" s="40">
        <v>120263.75</v>
      </c>
      <c r="L93" s="40">
        <f t="shared" si="6"/>
        <v>0</v>
      </c>
      <c r="M93" s="38" t="s">
        <v>35</v>
      </c>
      <c r="N93" s="54"/>
      <c r="O93" s="36"/>
      <c r="P93" s="40">
        <v>0</v>
      </c>
      <c r="Q93" s="40">
        <v>781</v>
      </c>
      <c r="R93" s="41"/>
      <c r="S93" s="40">
        <v>24942.37</v>
      </c>
      <c r="T93" s="40">
        <v>0</v>
      </c>
      <c r="U93" s="40">
        <v>25000</v>
      </c>
      <c r="V93" s="40">
        <v>0</v>
      </c>
      <c r="W93" s="40">
        <v>53060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36">
        <f t="shared" si="4"/>
        <v>0</v>
      </c>
      <c r="AH93"/>
      <c r="AI93" s="37"/>
      <c r="AK93" s="1"/>
      <c r="AL93" s="1"/>
    </row>
    <row r="94" spans="1:38" x14ac:dyDescent="0.3">
      <c r="A94" s="38">
        <v>2000</v>
      </c>
      <c r="B94" s="38" t="s">
        <v>598</v>
      </c>
      <c r="C94" s="38" t="s">
        <v>610</v>
      </c>
      <c r="D94" s="39">
        <v>45747</v>
      </c>
      <c r="E94" s="38" t="s">
        <v>198</v>
      </c>
      <c r="F94" s="38" t="s">
        <v>200</v>
      </c>
      <c r="G94" s="40">
        <v>0</v>
      </c>
      <c r="H94" s="40">
        <v>22000</v>
      </c>
      <c r="I94" s="40">
        <v>3520</v>
      </c>
      <c r="J94" s="40">
        <f t="shared" si="5"/>
        <v>25520</v>
      </c>
      <c r="K94" s="40">
        <v>25520</v>
      </c>
      <c r="L94" s="40">
        <f t="shared" si="6"/>
        <v>0</v>
      </c>
      <c r="M94" s="38" t="s">
        <v>35</v>
      </c>
      <c r="N94" s="54"/>
      <c r="O94" s="36"/>
      <c r="P94" s="40">
        <v>0</v>
      </c>
      <c r="Q94" s="40">
        <v>0</v>
      </c>
      <c r="R94" s="41"/>
      <c r="S94" s="40">
        <v>0</v>
      </c>
      <c r="T94" s="40">
        <v>0</v>
      </c>
      <c r="U94" s="40">
        <v>0</v>
      </c>
      <c r="V94" s="40">
        <v>0</v>
      </c>
      <c r="W94" s="40">
        <v>22000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36">
        <f t="shared" si="4"/>
        <v>0</v>
      </c>
      <c r="AH94"/>
      <c r="AI94"/>
      <c r="AK94" s="1"/>
      <c r="AL94" s="1"/>
    </row>
    <row r="95" spans="1:38" x14ac:dyDescent="0.3">
      <c r="A95" s="38">
        <v>2000</v>
      </c>
      <c r="B95" s="38" t="s">
        <v>599</v>
      </c>
      <c r="C95" s="38" t="s">
        <v>611</v>
      </c>
      <c r="D95" s="39">
        <v>45747</v>
      </c>
      <c r="E95" s="38" t="s">
        <v>61</v>
      </c>
      <c r="F95" t="s">
        <v>156</v>
      </c>
      <c r="G95" s="40">
        <v>0</v>
      </c>
      <c r="H95" s="40">
        <v>10315</v>
      </c>
      <c r="I95" s="40">
        <v>1650.4</v>
      </c>
      <c r="J95" s="40">
        <f t="shared" si="5"/>
        <v>11965.4</v>
      </c>
      <c r="K95" s="40">
        <v>0</v>
      </c>
      <c r="L95" s="40">
        <f t="shared" si="6"/>
        <v>11965.4</v>
      </c>
      <c r="M95" s="38" t="s">
        <v>35</v>
      </c>
      <c r="N95" s="54"/>
      <c r="O95" s="36"/>
      <c r="P95" s="40">
        <v>0</v>
      </c>
      <c r="Q95" s="40">
        <v>0</v>
      </c>
      <c r="R95" s="41"/>
      <c r="S95" s="40">
        <v>0</v>
      </c>
      <c r="T95" s="40">
        <v>0</v>
      </c>
      <c r="U95" s="40">
        <v>0</v>
      </c>
      <c r="V95" s="40">
        <v>0</v>
      </c>
      <c r="W95" s="40">
        <v>10315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36">
        <f t="shared" si="4"/>
        <v>0</v>
      </c>
      <c r="AH95"/>
      <c r="AK95" s="1"/>
      <c r="AL95" s="1"/>
    </row>
    <row r="96" spans="1:38" x14ac:dyDescent="0.3">
      <c r="A96" s="38">
        <v>2000</v>
      </c>
      <c r="B96" s="38" t="s">
        <v>600</v>
      </c>
      <c r="C96" s="38" t="s">
        <v>612</v>
      </c>
      <c r="D96" s="39">
        <v>45747</v>
      </c>
      <c r="E96" s="38" t="s">
        <v>61</v>
      </c>
      <c r="F96" t="s">
        <v>156</v>
      </c>
      <c r="G96" s="40">
        <v>0</v>
      </c>
      <c r="H96" s="40">
        <v>21000</v>
      </c>
      <c r="I96" s="40">
        <v>3360</v>
      </c>
      <c r="J96" s="40">
        <f t="shared" si="5"/>
        <v>24360</v>
      </c>
      <c r="K96" s="40">
        <v>0</v>
      </c>
      <c r="L96" s="40">
        <f t="shared" si="6"/>
        <v>24360</v>
      </c>
      <c r="M96" s="38" t="s">
        <v>35</v>
      </c>
      <c r="N96" s="54"/>
      <c r="O96" s="36"/>
      <c r="P96" s="40">
        <v>0</v>
      </c>
      <c r="Q96" s="40">
        <v>0</v>
      </c>
      <c r="R96" s="41"/>
      <c r="S96" s="40">
        <v>0</v>
      </c>
      <c r="T96" s="40">
        <v>0</v>
      </c>
      <c r="U96" s="40">
        <v>0</v>
      </c>
      <c r="V96" s="40">
        <v>0</v>
      </c>
      <c r="W96" s="40">
        <v>21000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36">
        <f t="shared" si="4"/>
        <v>0</v>
      </c>
      <c r="AH96"/>
      <c r="AK96" s="1"/>
      <c r="AL96" s="1"/>
    </row>
    <row r="97" spans="1:40" x14ac:dyDescent="0.3">
      <c r="A97" s="38"/>
      <c r="B97" s="38"/>
      <c r="C97" s="38"/>
      <c r="D97" s="39"/>
      <c r="E97" s="38"/>
      <c r="F97" s="38"/>
      <c r="G97" s="40"/>
      <c r="H97" s="40"/>
      <c r="I97" s="40"/>
      <c r="J97" s="40">
        <f t="shared" si="5"/>
        <v>0</v>
      </c>
      <c r="K97" s="40"/>
      <c r="L97" s="40">
        <f t="shared" si="6"/>
        <v>0</v>
      </c>
      <c r="M97" s="38"/>
      <c r="N97" s="54"/>
      <c r="O97" s="36"/>
      <c r="P97" s="40"/>
      <c r="Q97" s="40"/>
      <c r="R97" s="41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36"/>
      <c r="AH97"/>
      <c r="AJ97"/>
    </row>
    <row r="98" spans="1:40" x14ac:dyDescent="0.3">
      <c r="A98" s="38"/>
      <c r="B98" s="38"/>
      <c r="C98" s="38"/>
      <c r="D98" s="39"/>
      <c r="E98" s="38"/>
      <c r="F98" s="38"/>
      <c r="G98" s="40"/>
      <c r="H98" s="40"/>
      <c r="I98" s="40"/>
      <c r="J98" s="40">
        <f t="shared" si="5"/>
        <v>0</v>
      </c>
      <c r="K98" s="40"/>
      <c r="L98" s="40">
        <f t="shared" si="6"/>
        <v>0</v>
      </c>
      <c r="M98" s="38"/>
      <c r="N98" s="54"/>
      <c r="O98" s="36"/>
      <c r="P98" s="40"/>
      <c r="Q98" s="40"/>
      <c r="R98" s="41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36"/>
      <c r="AH98"/>
      <c r="AK98" s="36"/>
    </row>
    <row r="99" spans="1:40" x14ac:dyDescent="0.3">
      <c r="A99" s="50"/>
      <c r="B99" s="38"/>
      <c r="C99" s="50"/>
      <c r="D99" s="39"/>
      <c r="E99" s="38"/>
      <c r="F99" s="38"/>
      <c r="G99" s="40"/>
      <c r="H99" s="40"/>
      <c r="I99" s="40"/>
      <c r="J99" s="40">
        <f t="shared" si="5"/>
        <v>0</v>
      </c>
      <c r="K99" s="40"/>
      <c r="L99" s="40">
        <f t="shared" si="6"/>
        <v>0</v>
      </c>
      <c r="M99" s="38" t="s">
        <v>35</v>
      </c>
      <c r="N99" s="54"/>
      <c r="O99" s="36"/>
      <c r="P99" s="40"/>
      <c r="Q99" s="40"/>
      <c r="R99" s="41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36">
        <f t="shared" si="4"/>
        <v>0</v>
      </c>
      <c r="AH99"/>
    </row>
    <row r="100" spans="1:40" ht="15" thickBot="1" x14ac:dyDescent="0.35">
      <c r="G100" s="16">
        <f t="shared" ref="G100:L100" si="7">+SUM(G2:G99)</f>
        <v>1529424</v>
      </c>
      <c r="H100" s="16">
        <f t="shared" si="7"/>
        <v>2418159.77</v>
      </c>
      <c r="I100" s="16">
        <f t="shared" si="7"/>
        <v>379040.57</v>
      </c>
      <c r="J100" s="16">
        <f t="shared" si="7"/>
        <v>4326624.34</v>
      </c>
      <c r="K100" s="16">
        <f t="shared" si="7"/>
        <v>3752286.13</v>
      </c>
      <c r="L100" s="16">
        <f t="shared" si="7"/>
        <v>574338.2100000002</v>
      </c>
      <c r="P100" s="16">
        <f>+SUM(P2:P99)</f>
        <v>0</v>
      </c>
      <c r="Q100" s="16">
        <f>+SUM(Q2:Q99)</f>
        <v>1529424</v>
      </c>
      <c r="S100" s="16">
        <f t="shared" ref="S100:AG100" si="8">+SUM(S2:S99)</f>
        <v>396873.24000000005</v>
      </c>
      <c r="T100" s="16">
        <f t="shared" si="8"/>
        <v>17053.96</v>
      </c>
      <c r="U100" s="16">
        <f t="shared" si="8"/>
        <v>558468.45000000007</v>
      </c>
      <c r="V100" s="16">
        <f t="shared" si="8"/>
        <v>16647.13</v>
      </c>
      <c r="W100" s="16">
        <f t="shared" si="8"/>
        <v>1298164</v>
      </c>
      <c r="X100" s="16">
        <f t="shared" si="8"/>
        <v>38443.89</v>
      </c>
      <c r="Y100" s="16">
        <f t="shared" si="8"/>
        <v>12000</v>
      </c>
      <c r="Z100" s="16">
        <f t="shared" si="8"/>
        <v>7200</v>
      </c>
      <c r="AA100" s="16">
        <f t="shared" si="8"/>
        <v>10620</v>
      </c>
      <c r="AB100" s="16">
        <f t="shared" si="8"/>
        <v>8440</v>
      </c>
      <c r="AC100" s="16">
        <f t="shared" si="8"/>
        <v>6500</v>
      </c>
      <c r="AD100" s="16">
        <f t="shared" si="8"/>
        <v>1000</v>
      </c>
      <c r="AE100" s="16">
        <f t="shared" si="8"/>
        <v>3195</v>
      </c>
      <c r="AF100" s="16">
        <f t="shared" si="8"/>
        <v>43554.1</v>
      </c>
      <c r="AG100" s="47">
        <f t="shared" si="8"/>
        <v>0</v>
      </c>
      <c r="AH100"/>
    </row>
    <row r="101" spans="1:40" ht="15" thickTop="1" x14ac:dyDescent="0.3"/>
    <row r="102" spans="1:40" x14ac:dyDescent="0.3">
      <c r="K102" s="1">
        <v>3752282.13</v>
      </c>
    </row>
    <row r="103" spans="1:40" x14ac:dyDescent="0.3">
      <c r="K103" s="1">
        <f>+K100-K102</f>
        <v>4</v>
      </c>
      <c r="M103" s="46"/>
    </row>
    <row r="104" spans="1:40" x14ac:dyDescent="0.3">
      <c r="D104"/>
      <c r="E104" s="49"/>
      <c r="F104" s="14"/>
      <c r="H104" s="21" t="s">
        <v>25</v>
      </c>
      <c r="I104" s="21" t="s">
        <v>26</v>
      </c>
      <c r="J104" s="21" t="s">
        <v>27</v>
      </c>
      <c r="K104" s="21" t="s">
        <v>28</v>
      </c>
    </row>
    <row r="105" spans="1:40" x14ac:dyDescent="0.3">
      <c r="B105" s="14" t="s">
        <v>30</v>
      </c>
      <c r="D105" s="15">
        <f>+H107+I107</f>
        <v>3047553.1235989993</v>
      </c>
      <c r="G105" s="14" t="s">
        <v>23</v>
      </c>
      <c r="H105" s="1">
        <f>+H100-I105</f>
        <v>2369003.17</v>
      </c>
      <c r="I105" s="1">
        <f>+H52</f>
        <v>49156.6</v>
      </c>
      <c r="J105" s="1">
        <f>+H105*0.16</f>
        <v>379040.50719999999</v>
      </c>
      <c r="K105" s="1">
        <f>+SUM(H105:J105)</f>
        <v>2797200.2771999999</v>
      </c>
      <c r="M105" s="46"/>
    </row>
    <row r="106" spans="1:40" x14ac:dyDescent="0.3">
      <c r="A106" s="22" t="s">
        <v>32</v>
      </c>
      <c r="B106" s="14" t="s">
        <v>31</v>
      </c>
      <c r="D106" s="15">
        <f>2418159.77+'MAR USD '!N19</f>
        <v>3047553.1235989998</v>
      </c>
      <c r="G106" s="14" t="s">
        <v>24</v>
      </c>
      <c r="H106" s="1">
        <f>+'MAR USD '!N22</f>
        <v>9422.8395</v>
      </c>
      <c r="I106" s="1">
        <f>+'MAR USD '!N23</f>
        <v>619970.51409899991</v>
      </c>
      <c r="J106" s="1">
        <f>+H106*0.16</f>
        <v>1507.6543200000001</v>
      </c>
      <c r="K106" s="1">
        <f>+SUM(H106:J106)</f>
        <v>630901.00791899988</v>
      </c>
    </row>
    <row r="107" spans="1:40" ht="15" thickBot="1" x14ac:dyDescent="0.35">
      <c r="A107" s="22" t="s">
        <v>33</v>
      </c>
      <c r="B107" s="14" t="s">
        <v>34</v>
      </c>
      <c r="D107" s="20">
        <f>+D105-D106</f>
        <v>0</v>
      </c>
      <c r="E107" s="35"/>
      <c r="H107" s="20">
        <f>+SUM(H105:H106)</f>
        <v>2378426.0094999997</v>
      </c>
      <c r="I107" s="20">
        <f t="shared" ref="I107:J107" si="9">+SUM(I105:I106)</f>
        <v>669127.11409899988</v>
      </c>
      <c r="J107" s="20">
        <f t="shared" si="9"/>
        <v>380548.16151999997</v>
      </c>
      <c r="K107" s="20">
        <f>+SUM(K105:K106)</f>
        <v>3428101.2851189999</v>
      </c>
      <c r="AN107" s="1"/>
    </row>
    <row r="108" spans="1:40" ht="15" thickTop="1" x14ac:dyDescent="0.3">
      <c r="D108"/>
      <c r="AN108" s="1"/>
    </row>
    <row r="109" spans="1:40" x14ac:dyDescent="0.3">
      <c r="D109" s="33"/>
      <c r="G109" s="14" t="s">
        <v>29</v>
      </c>
      <c r="H109" s="15">
        <f>+H107+I107</f>
        <v>3047553.1235989993</v>
      </c>
      <c r="AN109" s="1"/>
    </row>
    <row r="110" spans="1:40" x14ac:dyDescent="0.3">
      <c r="D110" s="33"/>
      <c r="G110" s="14"/>
      <c r="H110" s="15"/>
      <c r="AN110" s="1"/>
    </row>
    <row r="111" spans="1:40" x14ac:dyDescent="0.3">
      <c r="D111" s="33"/>
      <c r="G111" s="14"/>
      <c r="H111" s="15"/>
    </row>
    <row r="112" spans="1:40" x14ac:dyDescent="0.3">
      <c r="D112" s="33"/>
      <c r="G112" s="14"/>
      <c r="H112" s="15"/>
    </row>
    <row r="113" spans="1:40" x14ac:dyDescent="0.3">
      <c r="D113" s="33"/>
      <c r="G113" s="14"/>
      <c r="H113" s="15"/>
    </row>
    <row r="114" spans="1:40" s="1" customFormat="1" x14ac:dyDescent="0.3">
      <c r="A114"/>
      <c r="B114"/>
      <c r="C114"/>
      <c r="D114" s="33"/>
      <c r="E114"/>
      <c r="F114"/>
      <c r="G114" s="14"/>
      <c r="H114" s="15"/>
      <c r="M114"/>
      <c r="N114"/>
      <c r="O114"/>
      <c r="R114"/>
      <c r="AK114"/>
      <c r="AL114"/>
      <c r="AM114"/>
      <c r="AN114"/>
    </row>
    <row r="115" spans="1:40" s="1" customFormat="1" x14ac:dyDescent="0.3">
      <c r="A115"/>
      <c r="B115"/>
      <c r="C115"/>
      <c r="D115" s="33"/>
      <c r="E115"/>
      <c r="F115"/>
      <c r="G115" s="14"/>
      <c r="H115" s="15"/>
      <c r="M115"/>
      <c r="N115"/>
      <c r="O115"/>
      <c r="R115"/>
      <c r="AK115"/>
      <c r="AL115"/>
      <c r="AM115"/>
      <c r="AN115"/>
    </row>
    <row r="116" spans="1:40" s="1" customFormat="1" x14ac:dyDescent="0.3">
      <c r="A116"/>
      <c r="B116"/>
      <c r="C116"/>
      <c r="D116" s="33"/>
      <c r="E116"/>
      <c r="F116"/>
      <c r="G116" s="14"/>
      <c r="H116" s="15"/>
      <c r="M116"/>
      <c r="N116"/>
      <c r="O116"/>
      <c r="R116"/>
      <c r="AK116"/>
      <c r="AL116"/>
      <c r="AM116"/>
      <c r="AN116"/>
    </row>
    <row r="117" spans="1:40" s="1" customFormat="1" x14ac:dyDescent="0.3">
      <c r="A117"/>
      <c r="B117"/>
      <c r="C117"/>
      <c r="D117" s="33"/>
      <c r="E117"/>
      <c r="F117"/>
      <c r="G117" s="14"/>
      <c r="H117" s="15"/>
      <c r="M117"/>
      <c r="N117"/>
      <c r="O117"/>
      <c r="R117"/>
      <c r="AK117"/>
      <c r="AL117"/>
      <c r="AM117"/>
      <c r="AN117"/>
    </row>
    <row r="1048576" spans="5:5" x14ac:dyDescent="0.3">
      <c r="E1048576" s="38"/>
    </row>
  </sheetData>
  <autoFilter ref="A1:AK100" xr:uid="{6D9A6E66-117A-42D1-8872-A55637CA45F1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41C6-8EDD-4DAC-8868-65DD7EC07376}">
  <sheetPr>
    <tabColor rgb="FF0070C0"/>
  </sheetPr>
  <dimension ref="A1:AH27"/>
  <sheetViews>
    <sheetView zoomScale="90" zoomScaleNormal="90" workbookViewId="0">
      <pane xSplit="2" ySplit="2" topLeftCell="E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8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241</v>
      </c>
      <c r="W2" s="5" t="s">
        <v>54</v>
      </c>
      <c r="X2" s="5" t="s">
        <v>43</v>
      </c>
      <c r="Y2" s="5" t="s">
        <v>52</v>
      </c>
      <c r="Z2" s="5" t="s">
        <v>47</v>
      </c>
      <c r="AA2" s="8"/>
      <c r="AB2" s="5" t="s">
        <v>60</v>
      </c>
      <c r="AC2" s="5" t="s">
        <v>241</v>
      </c>
      <c r="AD2" s="5" t="s">
        <v>54</v>
      </c>
      <c r="AE2" s="5" t="s">
        <v>43</v>
      </c>
      <c r="AF2" s="5" t="s">
        <v>52</v>
      </c>
      <c r="AG2" s="5" t="s">
        <v>47</v>
      </c>
    </row>
    <row r="3" spans="1:34" x14ac:dyDescent="0.3">
      <c r="A3" s="82">
        <v>1000</v>
      </c>
      <c r="B3" s="19" t="s">
        <v>405</v>
      </c>
      <c r="C3" s="2" t="s">
        <v>404</v>
      </c>
      <c r="D3" s="27">
        <v>45720</v>
      </c>
      <c r="E3" s="19" t="s">
        <v>330</v>
      </c>
      <c r="F3" s="2" t="s">
        <v>327</v>
      </c>
      <c r="G3" s="13">
        <v>0</v>
      </c>
      <c r="H3" s="13">
        <v>99</v>
      </c>
      <c r="I3" s="13">
        <v>0</v>
      </c>
      <c r="J3" s="13">
        <f>SUM(G3:I3)</f>
        <v>99</v>
      </c>
      <c r="K3" s="13">
        <v>99</v>
      </c>
      <c r="L3" s="13">
        <f>J3-K3</f>
        <v>0</v>
      </c>
      <c r="M3" s="18">
        <v>20.433299999999999</v>
      </c>
      <c r="N3" s="3">
        <f t="shared" ref="N3:N18" si="0">H3*M3</f>
        <v>2022.8967</v>
      </c>
      <c r="O3" s="3">
        <f>I3*M3</f>
        <v>0</v>
      </c>
      <c r="P3" s="3">
        <f>J3*M3</f>
        <v>2022.8967</v>
      </c>
      <c r="Q3" s="3">
        <f>M3*K3</f>
        <v>2022.8967</v>
      </c>
      <c r="R3" s="3">
        <f>L3*M3</f>
        <v>0</v>
      </c>
      <c r="S3" s="48"/>
      <c r="T3" s="44"/>
      <c r="U3" s="3">
        <v>0</v>
      </c>
      <c r="V3" s="3">
        <v>99</v>
      </c>
      <c r="W3" s="3">
        <v>0</v>
      </c>
      <c r="X3" s="3">
        <v>0</v>
      </c>
      <c r="Y3" s="3">
        <v>0</v>
      </c>
      <c r="Z3" s="3">
        <v>0</v>
      </c>
      <c r="AB3" s="3">
        <f>U3*M3</f>
        <v>0</v>
      </c>
      <c r="AC3" s="3">
        <f>+V3*M3</f>
        <v>2022.8967</v>
      </c>
      <c r="AD3" s="60">
        <f>+M3*W3</f>
        <v>0</v>
      </c>
      <c r="AE3" s="3">
        <f>+X3*M3</f>
        <v>0</v>
      </c>
      <c r="AF3" s="3">
        <f>+Y3*M3</f>
        <v>0</v>
      </c>
      <c r="AG3" s="3">
        <f>+Z3*M3</f>
        <v>0</v>
      </c>
      <c r="AH3" s="46"/>
    </row>
    <row r="4" spans="1:34" x14ac:dyDescent="0.3">
      <c r="A4" s="82">
        <v>1000</v>
      </c>
      <c r="B4" s="19" t="s">
        <v>406</v>
      </c>
      <c r="C4" s="2" t="s">
        <v>404</v>
      </c>
      <c r="D4" s="27">
        <v>45720</v>
      </c>
      <c r="E4" s="19" t="s">
        <v>330</v>
      </c>
      <c r="F4" s="2" t="s">
        <v>327</v>
      </c>
      <c r="G4" s="13">
        <v>0</v>
      </c>
      <c r="H4" s="13">
        <v>220</v>
      </c>
      <c r="I4" s="13">
        <v>35.200000000000003</v>
      </c>
      <c r="J4" s="13">
        <f t="shared" ref="J4:J18" si="1">SUM(G4:I4)</f>
        <v>255.2</v>
      </c>
      <c r="K4" s="13">
        <v>255.2</v>
      </c>
      <c r="L4" s="13">
        <f>J4-K4</f>
        <v>0</v>
      </c>
      <c r="M4" s="18">
        <v>20.433299999999999</v>
      </c>
      <c r="N4" s="3">
        <f t="shared" si="0"/>
        <v>4495.326</v>
      </c>
      <c r="O4" s="3">
        <f>I4*M4</f>
        <v>719.25216</v>
      </c>
      <c r="P4" s="3">
        <f>J4*M4</f>
        <v>5214.5781599999991</v>
      </c>
      <c r="Q4" s="3">
        <f>M4*K4</f>
        <v>5214.5781599999991</v>
      </c>
      <c r="R4" s="3">
        <f>L4*M4</f>
        <v>0</v>
      </c>
      <c r="S4" s="48"/>
      <c r="T4" s="44"/>
      <c r="U4" s="3">
        <v>0</v>
      </c>
      <c r="V4" s="3">
        <v>0</v>
      </c>
      <c r="W4" s="3">
        <v>0</v>
      </c>
      <c r="X4" s="3">
        <v>0</v>
      </c>
      <c r="Y4" s="3">
        <v>220</v>
      </c>
      <c r="Z4" s="3">
        <v>0</v>
      </c>
      <c r="AB4" s="3">
        <f>U4*M4</f>
        <v>0</v>
      </c>
      <c r="AC4" s="3">
        <f t="shared" ref="AC4:AC18" si="2">+V4*M4</f>
        <v>0</v>
      </c>
      <c r="AD4" s="60">
        <f t="shared" ref="AD4:AD18" si="3">+M4*W4</f>
        <v>0</v>
      </c>
      <c r="AE4" s="3">
        <f>+X4*M4</f>
        <v>0</v>
      </c>
      <c r="AF4" s="3">
        <f t="shared" ref="AF4:AF18" si="4">+Y4*M4</f>
        <v>4495.326</v>
      </c>
      <c r="AG4" s="3">
        <f>+Z4*M4</f>
        <v>0</v>
      </c>
      <c r="AH4" s="46"/>
    </row>
    <row r="5" spans="1:34" x14ac:dyDescent="0.3">
      <c r="A5" s="82">
        <v>1000</v>
      </c>
      <c r="B5" s="19" t="s">
        <v>416</v>
      </c>
      <c r="C5" s="2" t="s">
        <v>417</v>
      </c>
      <c r="D5" s="27">
        <v>45723</v>
      </c>
      <c r="E5" s="19" t="s">
        <v>40</v>
      </c>
      <c r="F5" s="2" t="s">
        <v>41</v>
      </c>
      <c r="G5" s="13">
        <v>0</v>
      </c>
      <c r="H5" s="13">
        <v>4270.1499999999996</v>
      </c>
      <c r="I5" s="13">
        <v>0</v>
      </c>
      <c r="J5" s="13">
        <f t="shared" si="1"/>
        <v>4270.1499999999996</v>
      </c>
      <c r="K5" s="13">
        <v>0</v>
      </c>
      <c r="L5" s="13">
        <f t="shared" ref="L5:L18" si="5">J5-K5</f>
        <v>4270.1499999999996</v>
      </c>
      <c r="M5" s="18">
        <v>20.389299999999999</v>
      </c>
      <c r="N5" s="3">
        <f t="shared" si="0"/>
        <v>87065.369394999987</v>
      </c>
      <c r="O5" s="3">
        <f>I5*M5</f>
        <v>0</v>
      </c>
      <c r="P5" s="3">
        <f>J5*M5</f>
        <v>87065.369394999987</v>
      </c>
      <c r="Q5" s="3">
        <f>M5*K5</f>
        <v>0</v>
      </c>
      <c r="R5" s="3">
        <f>L5*M5</f>
        <v>87065.369394999987</v>
      </c>
      <c r="S5" s="48"/>
      <c r="T5" s="44"/>
      <c r="U5" s="3">
        <v>2840.5</v>
      </c>
      <c r="V5" s="3">
        <v>0</v>
      </c>
      <c r="W5" s="3">
        <v>0</v>
      </c>
      <c r="X5" s="3">
        <v>0</v>
      </c>
      <c r="Y5" s="3">
        <v>1429.65</v>
      </c>
      <c r="Z5" s="3">
        <v>0</v>
      </c>
      <c r="AB5" s="3">
        <f>U5*M5</f>
        <v>57915.806649999999</v>
      </c>
      <c r="AC5" s="3">
        <f t="shared" si="2"/>
        <v>0</v>
      </c>
      <c r="AD5" s="3">
        <f t="shared" si="3"/>
        <v>0</v>
      </c>
      <c r="AE5" s="3">
        <f>+X5*M5</f>
        <v>0</v>
      </c>
      <c r="AF5" s="3">
        <f t="shared" si="4"/>
        <v>29149.562744999999</v>
      </c>
      <c r="AG5" s="3">
        <f>+Z5*M5</f>
        <v>0</v>
      </c>
      <c r="AH5" s="46"/>
    </row>
    <row r="6" spans="1:34" x14ac:dyDescent="0.3">
      <c r="A6" s="82">
        <v>2000</v>
      </c>
      <c r="B6" s="19" t="s">
        <v>442</v>
      </c>
      <c r="C6" s="2" t="s">
        <v>441</v>
      </c>
      <c r="D6" s="27">
        <v>45730</v>
      </c>
      <c r="E6" s="19" t="s">
        <v>61</v>
      </c>
      <c r="F6" s="2" t="s">
        <v>156</v>
      </c>
      <c r="G6" s="13">
        <v>0</v>
      </c>
      <c r="H6" s="13">
        <v>6125</v>
      </c>
      <c r="I6" s="13">
        <v>0</v>
      </c>
      <c r="J6" s="13">
        <f t="shared" si="1"/>
        <v>6125</v>
      </c>
      <c r="K6" s="13">
        <v>0</v>
      </c>
      <c r="L6" s="13">
        <f t="shared" si="5"/>
        <v>6125</v>
      </c>
      <c r="M6" s="18">
        <v>20.084800000000001</v>
      </c>
      <c r="N6" s="3">
        <f t="shared" si="0"/>
        <v>123019.40000000001</v>
      </c>
      <c r="O6" s="3">
        <f t="shared" ref="O6:O18" si="6">I6*M6</f>
        <v>0</v>
      </c>
      <c r="P6" s="3">
        <f t="shared" ref="P6:P18" si="7">J6*M6</f>
        <v>123019.40000000001</v>
      </c>
      <c r="Q6" s="3">
        <f t="shared" ref="Q6:Q18" si="8">M6*K6</f>
        <v>0</v>
      </c>
      <c r="R6" s="3">
        <f t="shared" ref="R6:R18" si="9">L6*M6</f>
        <v>123019.40000000001</v>
      </c>
      <c r="S6" s="48"/>
      <c r="T6" s="44"/>
      <c r="U6" s="3">
        <v>6125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B6" s="3">
        <f>U6*M6</f>
        <v>123019.40000000001</v>
      </c>
      <c r="AC6" s="3">
        <f t="shared" si="2"/>
        <v>0</v>
      </c>
      <c r="AD6" s="3">
        <f t="shared" si="3"/>
        <v>0</v>
      </c>
      <c r="AE6" s="3">
        <f>+X6*M6</f>
        <v>0</v>
      </c>
      <c r="AF6" s="3">
        <f t="shared" si="4"/>
        <v>0</v>
      </c>
      <c r="AG6" s="3">
        <f>+Z6*M6</f>
        <v>0</v>
      </c>
      <c r="AH6" s="46"/>
    </row>
    <row r="7" spans="1:34" x14ac:dyDescent="0.3">
      <c r="A7" s="82">
        <v>1000</v>
      </c>
      <c r="B7" s="19" t="s">
        <v>479</v>
      </c>
      <c r="C7" s="2" t="s">
        <v>404</v>
      </c>
      <c r="D7" s="27">
        <v>45735</v>
      </c>
      <c r="E7" s="19" t="s">
        <v>242</v>
      </c>
      <c r="F7" s="2" t="s">
        <v>240</v>
      </c>
      <c r="G7" s="13">
        <v>0</v>
      </c>
      <c r="H7" s="13">
        <v>75</v>
      </c>
      <c r="I7" s="13">
        <v>0</v>
      </c>
      <c r="J7" s="13">
        <f t="shared" si="1"/>
        <v>75</v>
      </c>
      <c r="K7" s="13">
        <v>0</v>
      </c>
      <c r="L7" s="13">
        <f t="shared" si="5"/>
        <v>75</v>
      </c>
      <c r="M7" s="18">
        <v>19.984500000000001</v>
      </c>
      <c r="N7" s="3">
        <f t="shared" si="0"/>
        <v>1498.8375000000001</v>
      </c>
      <c r="O7" s="3">
        <f t="shared" si="6"/>
        <v>0</v>
      </c>
      <c r="P7" s="3">
        <f t="shared" si="7"/>
        <v>1498.8375000000001</v>
      </c>
      <c r="Q7" s="3">
        <f t="shared" si="8"/>
        <v>0</v>
      </c>
      <c r="R7" s="3">
        <f t="shared" si="9"/>
        <v>1498.8375000000001</v>
      </c>
      <c r="S7" s="48"/>
      <c r="T7" s="44"/>
      <c r="U7" s="3">
        <v>0</v>
      </c>
      <c r="V7" s="3">
        <v>75</v>
      </c>
      <c r="W7" s="3">
        <v>0</v>
      </c>
      <c r="X7" s="3">
        <v>0</v>
      </c>
      <c r="Y7" s="3">
        <v>0</v>
      </c>
      <c r="Z7" s="3">
        <v>0</v>
      </c>
      <c r="AB7" s="3">
        <f>U7*M7</f>
        <v>0</v>
      </c>
      <c r="AC7" s="3">
        <f t="shared" si="2"/>
        <v>1498.8375000000001</v>
      </c>
      <c r="AD7" s="3">
        <f t="shared" si="3"/>
        <v>0</v>
      </c>
      <c r="AE7" s="3">
        <f>+X7*M7</f>
        <v>0</v>
      </c>
      <c r="AF7" s="3">
        <f t="shared" si="4"/>
        <v>0</v>
      </c>
      <c r="AG7" s="3">
        <f>+Z7*M7</f>
        <v>0</v>
      </c>
      <c r="AH7" s="46"/>
    </row>
    <row r="8" spans="1:34" x14ac:dyDescent="0.3">
      <c r="A8" s="82">
        <v>1000</v>
      </c>
      <c r="B8" s="19" t="s">
        <v>480</v>
      </c>
      <c r="C8" s="2" t="s">
        <v>481</v>
      </c>
      <c r="D8" s="27">
        <v>45736</v>
      </c>
      <c r="E8" s="19" t="s">
        <v>157</v>
      </c>
      <c r="F8" s="2" t="s">
        <v>155</v>
      </c>
      <c r="G8" s="13">
        <v>0</v>
      </c>
      <c r="H8" s="13">
        <f>3750+360</f>
        <v>4110</v>
      </c>
      <c r="I8" s="13">
        <v>0</v>
      </c>
      <c r="J8" s="13">
        <f t="shared" si="1"/>
        <v>4110</v>
      </c>
      <c r="K8" s="13">
        <v>4110</v>
      </c>
      <c r="L8" s="13">
        <f t="shared" si="5"/>
        <v>0</v>
      </c>
      <c r="M8" s="18">
        <v>20.055299999999999</v>
      </c>
      <c r="N8" s="3">
        <f t="shared" si="0"/>
        <v>82427.282999999996</v>
      </c>
      <c r="O8" s="3">
        <f t="shared" si="6"/>
        <v>0</v>
      </c>
      <c r="P8" s="3">
        <f t="shared" si="7"/>
        <v>82427.282999999996</v>
      </c>
      <c r="Q8" s="3">
        <f t="shared" si="8"/>
        <v>82427.282999999996</v>
      </c>
      <c r="R8" s="3">
        <f t="shared" si="9"/>
        <v>0</v>
      </c>
      <c r="S8" s="48"/>
      <c r="T8" s="44"/>
      <c r="U8" s="3">
        <v>3750</v>
      </c>
      <c r="V8" s="3">
        <v>0</v>
      </c>
      <c r="W8" s="3">
        <v>0</v>
      </c>
      <c r="X8" s="3">
        <v>0</v>
      </c>
      <c r="Y8" s="3">
        <v>360</v>
      </c>
      <c r="Z8" s="3">
        <v>0</v>
      </c>
      <c r="AB8" s="3">
        <f t="shared" ref="AB8:AB18" si="10">U8*M8</f>
        <v>75207.375</v>
      </c>
      <c r="AC8" s="3">
        <f t="shared" si="2"/>
        <v>0</v>
      </c>
      <c r="AD8" s="3">
        <f t="shared" si="3"/>
        <v>0</v>
      </c>
      <c r="AE8" s="3">
        <f t="shared" ref="AE8:AE18" si="11">+X8*M8</f>
        <v>0</v>
      </c>
      <c r="AF8" s="3">
        <f t="shared" si="4"/>
        <v>7219.9079999999994</v>
      </c>
      <c r="AG8" s="3">
        <f t="shared" ref="AG8:AG18" si="12">+Z8*M8</f>
        <v>0</v>
      </c>
      <c r="AH8" s="46"/>
    </row>
    <row r="9" spans="1:34" x14ac:dyDescent="0.3">
      <c r="A9" s="82">
        <v>2000</v>
      </c>
      <c r="B9" s="19" t="s">
        <v>513</v>
      </c>
      <c r="C9" s="2" t="s">
        <v>498</v>
      </c>
      <c r="D9" s="27">
        <v>45737</v>
      </c>
      <c r="E9" s="19" t="s">
        <v>40</v>
      </c>
      <c r="F9" s="2" t="s">
        <v>41</v>
      </c>
      <c r="G9" s="13">
        <v>0</v>
      </c>
      <c r="H9" s="13">
        <v>1200</v>
      </c>
      <c r="I9" s="13">
        <v>0</v>
      </c>
      <c r="J9" s="13">
        <f t="shared" si="1"/>
        <v>1200</v>
      </c>
      <c r="K9" s="13">
        <v>0</v>
      </c>
      <c r="L9" s="13">
        <f t="shared" si="5"/>
        <v>1200</v>
      </c>
      <c r="M9" s="18">
        <v>20.055299999999999</v>
      </c>
      <c r="N9" s="3">
        <f t="shared" si="0"/>
        <v>24066.36</v>
      </c>
      <c r="O9" s="3">
        <f t="shared" si="6"/>
        <v>0</v>
      </c>
      <c r="P9" s="3">
        <f t="shared" si="7"/>
        <v>24066.36</v>
      </c>
      <c r="Q9" s="3">
        <f t="shared" si="8"/>
        <v>0</v>
      </c>
      <c r="R9" s="3">
        <f t="shared" si="9"/>
        <v>24066.36</v>
      </c>
      <c r="S9" s="48"/>
      <c r="T9" s="44"/>
      <c r="U9" s="3">
        <v>1200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B9" s="3">
        <f t="shared" si="10"/>
        <v>24066.36</v>
      </c>
      <c r="AC9" s="3">
        <f t="shared" si="2"/>
        <v>0</v>
      </c>
      <c r="AD9" s="3">
        <f t="shared" si="3"/>
        <v>0</v>
      </c>
      <c r="AE9" s="3">
        <f t="shared" si="11"/>
        <v>0</v>
      </c>
      <c r="AF9" s="3">
        <f t="shared" si="4"/>
        <v>0</v>
      </c>
      <c r="AG9" s="3">
        <f t="shared" si="12"/>
        <v>0</v>
      </c>
      <c r="AH9" s="46"/>
    </row>
    <row r="10" spans="1:34" x14ac:dyDescent="0.3">
      <c r="A10" s="82">
        <v>1000</v>
      </c>
      <c r="B10" s="19" t="s">
        <v>542</v>
      </c>
      <c r="C10" s="2" t="s">
        <v>544</v>
      </c>
      <c r="D10" s="27">
        <v>45741</v>
      </c>
      <c r="E10" s="19" t="s">
        <v>330</v>
      </c>
      <c r="F10" s="2" t="s">
        <v>327</v>
      </c>
      <c r="G10" s="13">
        <v>0</v>
      </c>
      <c r="H10" s="13">
        <v>125</v>
      </c>
      <c r="I10" s="13">
        <v>0</v>
      </c>
      <c r="J10" s="13">
        <f t="shared" si="1"/>
        <v>125</v>
      </c>
      <c r="K10" s="13">
        <v>125</v>
      </c>
      <c r="L10" s="13">
        <f t="shared" si="5"/>
        <v>0</v>
      </c>
      <c r="M10" s="18">
        <v>20.112300000000001</v>
      </c>
      <c r="N10" s="3">
        <f t="shared" si="0"/>
        <v>2514.0375000000004</v>
      </c>
      <c r="O10" s="3">
        <f t="shared" si="6"/>
        <v>0</v>
      </c>
      <c r="P10" s="3">
        <f t="shared" si="7"/>
        <v>2514.0375000000004</v>
      </c>
      <c r="Q10" s="3">
        <f t="shared" si="8"/>
        <v>2514.0375000000004</v>
      </c>
      <c r="R10" s="3">
        <f t="shared" si="9"/>
        <v>0</v>
      </c>
      <c r="S10" s="48"/>
      <c r="T10" s="44"/>
      <c r="U10" s="3">
        <v>0</v>
      </c>
      <c r="V10" s="3">
        <v>0</v>
      </c>
      <c r="W10" s="3">
        <v>0</v>
      </c>
      <c r="X10" s="3">
        <v>0</v>
      </c>
      <c r="Y10" s="3">
        <v>125</v>
      </c>
      <c r="Z10" s="3">
        <v>0</v>
      </c>
      <c r="AB10" s="3">
        <f t="shared" si="10"/>
        <v>0</v>
      </c>
      <c r="AC10" s="3">
        <f t="shared" si="2"/>
        <v>0</v>
      </c>
      <c r="AD10" s="3">
        <f t="shared" si="3"/>
        <v>0</v>
      </c>
      <c r="AE10" s="3">
        <f t="shared" si="11"/>
        <v>0</v>
      </c>
      <c r="AF10" s="3">
        <f t="shared" si="4"/>
        <v>2514.0375000000004</v>
      </c>
      <c r="AG10" s="3">
        <f t="shared" si="12"/>
        <v>0</v>
      </c>
      <c r="AH10" s="46"/>
    </row>
    <row r="11" spans="1:34" x14ac:dyDescent="0.3">
      <c r="A11" s="82">
        <v>1000</v>
      </c>
      <c r="B11" s="19" t="s">
        <v>543</v>
      </c>
      <c r="C11" s="2" t="s">
        <v>544</v>
      </c>
      <c r="D11" s="27">
        <v>45741</v>
      </c>
      <c r="E11" s="19" t="s">
        <v>330</v>
      </c>
      <c r="F11" s="2" t="s">
        <v>327</v>
      </c>
      <c r="G11" s="13">
        <v>0</v>
      </c>
      <c r="H11" s="13">
        <v>245</v>
      </c>
      <c r="I11" s="13">
        <v>39.200000000000003</v>
      </c>
      <c r="J11" s="13">
        <f t="shared" si="1"/>
        <v>284.2</v>
      </c>
      <c r="K11" s="13">
        <v>284.2</v>
      </c>
      <c r="L11" s="13">
        <f t="shared" si="5"/>
        <v>0</v>
      </c>
      <c r="M11" s="18">
        <v>20.112300000000001</v>
      </c>
      <c r="N11" s="3">
        <f t="shared" si="0"/>
        <v>4927.5135</v>
      </c>
      <c r="O11" s="3">
        <f t="shared" si="6"/>
        <v>788.40216000000009</v>
      </c>
      <c r="P11" s="3">
        <f t="shared" si="7"/>
        <v>5715.9156599999997</v>
      </c>
      <c r="Q11" s="3">
        <f t="shared" si="8"/>
        <v>5715.9156599999997</v>
      </c>
      <c r="R11" s="3">
        <f t="shared" si="9"/>
        <v>0</v>
      </c>
      <c r="S11" s="48"/>
      <c r="T11" s="44"/>
      <c r="U11" s="3">
        <v>0</v>
      </c>
      <c r="V11" s="3">
        <v>0</v>
      </c>
      <c r="W11" s="3">
        <v>0</v>
      </c>
      <c r="X11" s="3">
        <v>0</v>
      </c>
      <c r="Y11" s="3">
        <v>245</v>
      </c>
      <c r="Z11" s="3">
        <v>0</v>
      </c>
      <c r="AB11" s="3">
        <f t="shared" si="10"/>
        <v>0</v>
      </c>
      <c r="AC11" s="3">
        <f t="shared" si="2"/>
        <v>0</v>
      </c>
      <c r="AD11" s="3">
        <f t="shared" si="3"/>
        <v>0</v>
      </c>
      <c r="AE11" s="3">
        <f t="shared" si="11"/>
        <v>0</v>
      </c>
      <c r="AF11" s="3">
        <f t="shared" si="4"/>
        <v>4927.5135</v>
      </c>
      <c r="AG11" s="3">
        <f t="shared" si="12"/>
        <v>0</v>
      </c>
      <c r="AH11" s="46"/>
    </row>
    <row r="12" spans="1:34" x14ac:dyDescent="0.3">
      <c r="A12" s="82">
        <v>1000</v>
      </c>
      <c r="B12" s="19" t="s">
        <v>581</v>
      </c>
      <c r="C12" s="2" t="s">
        <v>544</v>
      </c>
      <c r="D12" s="27">
        <v>45744</v>
      </c>
      <c r="E12" s="19" t="s">
        <v>242</v>
      </c>
      <c r="F12" s="2" t="s">
        <v>240</v>
      </c>
      <c r="G12" s="13">
        <v>0</v>
      </c>
      <c r="H12" s="13">
        <v>75</v>
      </c>
      <c r="I12" s="13">
        <v>0</v>
      </c>
      <c r="J12" s="13">
        <f t="shared" si="1"/>
        <v>75</v>
      </c>
      <c r="K12" s="13">
        <v>0</v>
      </c>
      <c r="L12" s="13">
        <f t="shared" si="5"/>
        <v>75</v>
      </c>
      <c r="M12" s="18">
        <v>20.318200000000001</v>
      </c>
      <c r="N12" s="3">
        <f t="shared" si="0"/>
        <v>1523.865</v>
      </c>
      <c r="O12" s="3">
        <f t="shared" si="6"/>
        <v>0</v>
      </c>
      <c r="P12" s="3">
        <f t="shared" si="7"/>
        <v>1523.865</v>
      </c>
      <c r="Q12" s="3">
        <f t="shared" si="8"/>
        <v>0</v>
      </c>
      <c r="R12" s="3">
        <f t="shared" si="9"/>
        <v>1523.865</v>
      </c>
      <c r="S12" s="48"/>
      <c r="T12" s="44"/>
      <c r="U12" s="3">
        <v>0</v>
      </c>
      <c r="V12" s="3">
        <v>75</v>
      </c>
      <c r="W12" s="3">
        <v>0</v>
      </c>
      <c r="X12" s="3">
        <v>0</v>
      </c>
      <c r="Y12" s="3">
        <v>0</v>
      </c>
      <c r="Z12" s="3">
        <v>0</v>
      </c>
      <c r="AB12" s="3">
        <f t="shared" si="10"/>
        <v>0</v>
      </c>
      <c r="AC12" s="3">
        <f t="shared" si="2"/>
        <v>1523.865</v>
      </c>
      <c r="AD12" s="3">
        <f t="shared" si="3"/>
        <v>0</v>
      </c>
      <c r="AE12" s="3">
        <f t="shared" si="11"/>
        <v>0</v>
      </c>
      <c r="AF12" s="3">
        <f t="shared" si="4"/>
        <v>0</v>
      </c>
      <c r="AG12" s="3">
        <f t="shared" si="12"/>
        <v>0</v>
      </c>
      <c r="AH12" s="46"/>
    </row>
    <row r="13" spans="1:34" x14ac:dyDescent="0.3">
      <c r="A13" s="82">
        <v>1000</v>
      </c>
      <c r="B13" s="19" t="s">
        <v>582</v>
      </c>
      <c r="C13" s="2" t="s">
        <v>391</v>
      </c>
      <c r="D13" s="27">
        <v>45744</v>
      </c>
      <c r="E13" s="19" t="s">
        <v>242</v>
      </c>
      <c r="F13" s="2" t="s">
        <v>240</v>
      </c>
      <c r="G13" s="13">
        <v>0</v>
      </c>
      <c r="H13" s="13">
        <v>75</v>
      </c>
      <c r="I13" s="13">
        <v>0</v>
      </c>
      <c r="J13" s="13">
        <f t="shared" si="1"/>
        <v>75</v>
      </c>
      <c r="K13" s="13">
        <v>0</v>
      </c>
      <c r="L13" s="13">
        <f t="shared" si="5"/>
        <v>75</v>
      </c>
      <c r="M13" s="18">
        <v>20.318200000000001</v>
      </c>
      <c r="N13" s="3">
        <f t="shared" si="0"/>
        <v>1523.865</v>
      </c>
      <c r="O13" s="3">
        <f t="shared" si="6"/>
        <v>0</v>
      </c>
      <c r="P13" s="3">
        <f t="shared" si="7"/>
        <v>1523.865</v>
      </c>
      <c r="Q13" s="3">
        <f t="shared" si="8"/>
        <v>0</v>
      </c>
      <c r="R13" s="3">
        <f t="shared" si="9"/>
        <v>1523.865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75</v>
      </c>
      <c r="Z13" s="3">
        <v>0</v>
      </c>
      <c r="AB13" s="3">
        <f t="shared" si="10"/>
        <v>0</v>
      </c>
      <c r="AC13" s="3">
        <f t="shared" si="2"/>
        <v>0</v>
      </c>
      <c r="AD13" s="3">
        <f t="shared" si="3"/>
        <v>0</v>
      </c>
      <c r="AE13" s="3">
        <f t="shared" si="11"/>
        <v>0</v>
      </c>
      <c r="AF13" s="3">
        <f t="shared" si="4"/>
        <v>1523.865</v>
      </c>
      <c r="AG13" s="3">
        <f t="shared" si="12"/>
        <v>0</v>
      </c>
      <c r="AH13" s="46"/>
    </row>
    <row r="14" spans="1:34" x14ac:dyDescent="0.3">
      <c r="A14" s="82">
        <v>2000</v>
      </c>
      <c r="B14" s="19" t="s">
        <v>583</v>
      </c>
      <c r="C14" s="2" t="s">
        <v>584</v>
      </c>
      <c r="D14" s="27">
        <v>45747</v>
      </c>
      <c r="E14" s="19" t="s">
        <v>61</v>
      </c>
      <c r="F14" s="2" t="s">
        <v>222</v>
      </c>
      <c r="G14" s="13">
        <v>0</v>
      </c>
      <c r="H14" s="13">
        <v>6000</v>
      </c>
      <c r="I14" s="13">
        <v>0</v>
      </c>
      <c r="J14" s="13">
        <f t="shared" si="1"/>
        <v>6000</v>
      </c>
      <c r="K14" s="13">
        <v>0</v>
      </c>
      <c r="L14" s="13">
        <f t="shared" si="5"/>
        <v>6000</v>
      </c>
      <c r="M14" s="18">
        <v>20.400300000000001</v>
      </c>
      <c r="N14" s="3">
        <f t="shared" si="0"/>
        <v>122401.8</v>
      </c>
      <c r="O14" s="3">
        <f t="shared" si="6"/>
        <v>0</v>
      </c>
      <c r="P14" s="3">
        <f t="shared" si="7"/>
        <v>122401.8</v>
      </c>
      <c r="Q14" s="3">
        <f t="shared" si="8"/>
        <v>0</v>
      </c>
      <c r="R14" s="3">
        <f t="shared" si="9"/>
        <v>122401.8</v>
      </c>
      <c r="S14" s="48"/>
      <c r="T14" s="44"/>
      <c r="U14" s="3">
        <v>6000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B14" s="3">
        <f t="shared" si="10"/>
        <v>122401.8</v>
      </c>
      <c r="AC14" s="3">
        <f t="shared" si="2"/>
        <v>0</v>
      </c>
      <c r="AD14" s="3">
        <f t="shared" si="3"/>
        <v>0</v>
      </c>
      <c r="AE14" s="3">
        <f t="shared" si="11"/>
        <v>0</v>
      </c>
      <c r="AF14" s="3">
        <f t="shared" si="4"/>
        <v>0</v>
      </c>
      <c r="AG14" s="3">
        <f t="shared" si="12"/>
        <v>0</v>
      </c>
      <c r="AH14" s="46"/>
    </row>
    <row r="15" spans="1:34" x14ac:dyDescent="0.3">
      <c r="A15" s="82">
        <v>1000</v>
      </c>
      <c r="B15" s="19" t="s">
        <v>613</v>
      </c>
      <c r="C15" s="2" t="s">
        <v>227</v>
      </c>
      <c r="D15" s="27">
        <v>45747</v>
      </c>
      <c r="E15" s="19" t="s">
        <v>229</v>
      </c>
      <c r="F15" s="2" t="s">
        <v>228</v>
      </c>
      <c r="G15" s="13">
        <v>843.32</v>
      </c>
      <c r="H15" s="13">
        <f>700+7140+586.68</f>
        <v>8426.68</v>
      </c>
      <c r="I15" s="13">
        <v>0</v>
      </c>
      <c r="J15" s="13">
        <f t="shared" si="1"/>
        <v>9270</v>
      </c>
      <c r="K15" s="13">
        <v>9270</v>
      </c>
      <c r="L15" s="13">
        <f t="shared" si="5"/>
        <v>0</v>
      </c>
      <c r="M15" s="18">
        <v>20.400300000000001</v>
      </c>
      <c r="N15" s="3">
        <f t="shared" si="0"/>
        <v>171906.80000400002</v>
      </c>
      <c r="O15" s="3">
        <f t="shared" si="6"/>
        <v>0</v>
      </c>
      <c r="P15" s="3">
        <f t="shared" si="7"/>
        <v>189110.78100000002</v>
      </c>
      <c r="Q15" s="3">
        <f t="shared" si="8"/>
        <v>189110.78100000002</v>
      </c>
      <c r="R15" s="3">
        <f t="shared" si="9"/>
        <v>0</v>
      </c>
      <c r="S15" s="48"/>
      <c r="T15" s="44"/>
      <c r="U15" s="3">
        <v>0</v>
      </c>
      <c r="V15" s="3">
        <v>0</v>
      </c>
      <c r="W15" s="3">
        <v>700</v>
      </c>
      <c r="X15" s="3">
        <f>7140+586.68</f>
        <v>7726.68</v>
      </c>
      <c r="Y15" s="3">
        <v>0</v>
      </c>
      <c r="Z15" s="3">
        <v>0</v>
      </c>
      <c r="AB15" s="3">
        <f t="shared" si="10"/>
        <v>0</v>
      </c>
      <c r="AC15" s="3">
        <f t="shared" si="2"/>
        <v>0</v>
      </c>
      <c r="AD15" s="3">
        <f t="shared" si="3"/>
        <v>14280.210000000001</v>
      </c>
      <c r="AE15" s="3">
        <f t="shared" si="11"/>
        <v>157626.59000400003</v>
      </c>
      <c r="AF15" s="3">
        <f t="shared" si="4"/>
        <v>0</v>
      </c>
      <c r="AG15" s="3">
        <f t="shared" si="12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5"/>
        <v>0</v>
      </c>
      <c r="M16" s="18"/>
      <c r="N16" s="3">
        <f t="shared" si="0"/>
        <v>0</v>
      </c>
      <c r="O16" s="3">
        <f t="shared" si="6"/>
        <v>0</v>
      </c>
      <c r="P16" s="3">
        <f t="shared" si="7"/>
        <v>0</v>
      </c>
      <c r="Q16" s="3">
        <f t="shared" si="8"/>
        <v>0</v>
      </c>
      <c r="R16" s="3">
        <f t="shared" si="9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B16" s="3">
        <f t="shared" si="10"/>
        <v>0</v>
      </c>
      <c r="AC16" s="3">
        <f t="shared" si="2"/>
        <v>0</v>
      </c>
      <c r="AD16" s="3">
        <f t="shared" si="3"/>
        <v>0</v>
      </c>
      <c r="AE16" s="3">
        <f t="shared" si="11"/>
        <v>0</v>
      </c>
      <c r="AF16" s="3">
        <f t="shared" si="4"/>
        <v>0</v>
      </c>
      <c r="AG16" s="3">
        <f t="shared" si="12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5"/>
        <v>0</v>
      </c>
      <c r="M17" s="18"/>
      <c r="N17" s="3">
        <f t="shared" si="0"/>
        <v>0</v>
      </c>
      <c r="O17" s="3">
        <f t="shared" si="6"/>
        <v>0</v>
      </c>
      <c r="P17" s="3">
        <f t="shared" si="7"/>
        <v>0</v>
      </c>
      <c r="Q17" s="3">
        <f t="shared" si="8"/>
        <v>0</v>
      </c>
      <c r="R17" s="3">
        <f t="shared" si="9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B17" s="3">
        <f t="shared" si="10"/>
        <v>0</v>
      </c>
      <c r="AC17" s="3">
        <f t="shared" si="2"/>
        <v>0</v>
      </c>
      <c r="AD17" s="3">
        <f t="shared" si="3"/>
        <v>0</v>
      </c>
      <c r="AE17" s="3">
        <f t="shared" si="11"/>
        <v>0</v>
      </c>
      <c r="AF17" s="3">
        <f t="shared" si="4"/>
        <v>0</v>
      </c>
      <c r="AG17" s="3">
        <f t="shared" si="12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5"/>
        <v>0</v>
      </c>
      <c r="M18" s="18"/>
      <c r="N18" s="3">
        <f t="shared" si="0"/>
        <v>0</v>
      </c>
      <c r="O18" s="3">
        <f t="shared" si="6"/>
        <v>0</v>
      </c>
      <c r="P18" s="3">
        <f t="shared" si="7"/>
        <v>0</v>
      </c>
      <c r="Q18" s="3">
        <f t="shared" si="8"/>
        <v>0</v>
      </c>
      <c r="R18" s="3">
        <f t="shared" si="9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B18" s="3">
        <f t="shared" si="10"/>
        <v>0</v>
      </c>
      <c r="AC18" s="3">
        <f t="shared" si="2"/>
        <v>0</v>
      </c>
      <c r="AD18" s="3">
        <f t="shared" si="3"/>
        <v>0</v>
      </c>
      <c r="AE18" s="3">
        <f t="shared" si="11"/>
        <v>0</v>
      </c>
      <c r="AF18" s="3">
        <f t="shared" si="4"/>
        <v>0</v>
      </c>
      <c r="AG18" s="3">
        <f t="shared" si="12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13">+SUM(G3:G18)</f>
        <v>843.32</v>
      </c>
      <c r="H19" s="59">
        <f t="shared" si="13"/>
        <v>31045.83</v>
      </c>
      <c r="I19" s="17">
        <f t="shared" si="13"/>
        <v>74.400000000000006</v>
      </c>
      <c r="J19" s="17">
        <f t="shared" si="13"/>
        <v>31963.55</v>
      </c>
      <c r="K19" s="17">
        <f t="shared" si="13"/>
        <v>14143.4</v>
      </c>
      <c r="L19" s="17">
        <f t="shared" si="13"/>
        <v>17820.150000000001</v>
      </c>
      <c r="M19" s="14"/>
      <c r="N19" s="55">
        <f>+SUM(N3:N18)</f>
        <v>629393.35359899991</v>
      </c>
      <c r="O19" s="16">
        <f>+SUM(O3:O18)</f>
        <v>1507.6543200000001</v>
      </c>
      <c r="P19" s="16">
        <f>+SUM(P3:P18)</f>
        <v>648104.98891499988</v>
      </c>
      <c r="Q19" s="16">
        <f>+SUM(Q3:Q18)</f>
        <v>287005.49202000001</v>
      </c>
      <c r="R19" s="16">
        <f>+SUM(R3:R18)</f>
        <v>361099.49689499999</v>
      </c>
      <c r="S19" s="15"/>
      <c r="T19" s="15"/>
      <c r="U19" s="17">
        <f t="shared" ref="U19:Z19" si="14">+SUM(U3:U18)</f>
        <v>19915.5</v>
      </c>
      <c r="V19" s="17">
        <f t="shared" si="14"/>
        <v>249</v>
      </c>
      <c r="W19" s="17">
        <f t="shared" si="14"/>
        <v>700</v>
      </c>
      <c r="X19" s="17">
        <f t="shared" si="14"/>
        <v>7726.68</v>
      </c>
      <c r="Y19" s="17">
        <f t="shared" si="14"/>
        <v>2454.65</v>
      </c>
      <c r="Z19" s="17">
        <f t="shared" si="14"/>
        <v>0</v>
      </c>
      <c r="AA19" s="14"/>
      <c r="AB19" s="16">
        <f t="shared" ref="AB19:AG19" si="15">+SUM(AB3:AB18)</f>
        <v>402610.74164999998</v>
      </c>
      <c r="AC19" s="16">
        <f t="shared" si="15"/>
        <v>5045.5991999999997</v>
      </c>
      <c r="AD19" s="16">
        <f t="shared" si="15"/>
        <v>14280.210000000001</v>
      </c>
      <c r="AE19" s="16">
        <f t="shared" si="15"/>
        <v>157626.59000400003</v>
      </c>
      <c r="AF19" s="16">
        <f t="shared" si="15"/>
        <v>49830.212744999997</v>
      </c>
      <c r="AG19" s="16">
        <f t="shared" si="15"/>
        <v>0</v>
      </c>
      <c r="AH19" s="14"/>
    </row>
    <row r="20" spans="1:34" ht="15" thickTop="1" x14ac:dyDescent="0.3">
      <c r="Z20" s="34">
        <f>+SUM(T19:Z19)</f>
        <v>31045.83</v>
      </c>
      <c r="AG20" s="1">
        <f>+SUM(AB19:AG19)</f>
        <v>629393.35359900002</v>
      </c>
    </row>
    <row r="21" spans="1:34" x14ac:dyDescent="0.3">
      <c r="H21" s="23">
        <v>31045.83</v>
      </c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I22" s="32"/>
      <c r="M22">
        <v>16</v>
      </c>
      <c r="N22" s="46">
        <f>+N4+N11</f>
        <v>9422.8395</v>
      </c>
      <c r="O22" s="81"/>
    </row>
    <row r="23" spans="1:34" x14ac:dyDescent="0.3">
      <c r="M23">
        <v>0</v>
      </c>
      <c r="N23" s="23">
        <f>+N3+N5+N6+N7+N8+N9+N10+N12+N13+N14+N15</f>
        <v>619970.51409899991</v>
      </c>
      <c r="O23" s="81"/>
    </row>
    <row r="24" spans="1:34" x14ac:dyDescent="0.3">
      <c r="N24" s="23"/>
    </row>
    <row r="25" spans="1:34" x14ac:dyDescent="0.3">
      <c r="N25" s="23">
        <f>+N22+N23</f>
        <v>629393.35359899991</v>
      </c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B695-BE7C-4904-8076-A361E6FB1BA9}">
  <sheetPr>
    <tabColor rgb="FF0070C0"/>
  </sheetPr>
  <dimension ref="A1:AK1048552"/>
  <sheetViews>
    <sheetView showGridLines="0" zoomScaleNormal="100" zoomScaleSheetLayoutView="50" workbookViewId="0">
      <pane xSplit="3" ySplit="1" topLeftCell="Z44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1.109375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30" width="15.6640625" style="1" customWidth="1"/>
    <col min="31" max="31" width="38.109375" style="1" bestFit="1" customWidth="1"/>
    <col min="32" max="32" width="35.6640625" style="1" customWidth="1"/>
    <col min="33" max="33" width="15.6640625" style="1" customWidth="1"/>
    <col min="34" max="34" width="12.33203125" bestFit="1" customWidth="1"/>
    <col min="35" max="35" width="13.88671875" bestFit="1" customWidth="1"/>
    <col min="36" max="36" width="12.5546875" bestFit="1" customWidth="1"/>
  </cols>
  <sheetData>
    <row r="1" spans="1:36" ht="43.2" x14ac:dyDescent="0.3">
      <c r="A1" s="4" t="s">
        <v>6</v>
      </c>
      <c r="B1" s="4" t="s">
        <v>7</v>
      </c>
      <c r="C1" s="4" t="s">
        <v>8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669</v>
      </c>
      <c r="Y1" s="5" t="s">
        <v>478</v>
      </c>
      <c r="Z1" s="5" t="s">
        <v>670</v>
      </c>
      <c r="AA1" s="5" t="s">
        <v>48</v>
      </c>
      <c r="AB1" s="5" t="s">
        <v>545</v>
      </c>
      <c r="AC1" s="5" t="s">
        <v>763</v>
      </c>
      <c r="AD1"/>
      <c r="AE1"/>
      <c r="AF1" s="7"/>
      <c r="AG1" s="5" t="s">
        <v>35</v>
      </c>
      <c r="AH1" s="5" t="s">
        <v>36</v>
      </c>
      <c r="AI1" s="5" t="s">
        <v>17</v>
      </c>
      <c r="AJ1" s="5" t="s">
        <v>59</v>
      </c>
    </row>
    <row r="2" spans="1:36" x14ac:dyDescent="0.3">
      <c r="A2" s="38">
        <v>1</v>
      </c>
      <c r="B2" s="38" t="s">
        <v>614</v>
      </c>
      <c r="C2" s="38" t="s">
        <v>417</v>
      </c>
      <c r="D2" s="39">
        <v>45751</v>
      </c>
      <c r="E2" s="38" t="s">
        <v>40</v>
      </c>
      <c r="F2" s="38" t="s">
        <v>41</v>
      </c>
      <c r="G2" s="40">
        <v>0</v>
      </c>
      <c r="H2" s="40">
        <v>97127.13</v>
      </c>
      <c r="I2" s="40">
        <v>15540.34</v>
      </c>
      <c r="J2" s="40">
        <f>SUM(G2:I2)</f>
        <v>112667.47</v>
      </c>
      <c r="K2" s="40">
        <v>0</v>
      </c>
      <c r="L2" s="40">
        <f>+J2-K2</f>
        <v>112667.47</v>
      </c>
      <c r="M2" s="38" t="s">
        <v>35</v>
      </c>
      <c r="N2" s="54"/>
      <c r="O2" s="36"/>
      <c r="P2" s="40">
        <v>0</v>
      </c>
      <c r="Q2" s="40">
        <v>0</v>
      </c>
      <c r="R2" s="41"/>
      <c r="S2" s="40">
        <v>6120.09</v>
      </c>
      <c r="T2" s="40">
        <v>0</v>
      </c>
      <c r="U2" s="40">
        <v>29072.04</v>
      </c>
      <c r="V2" s="40">
        <v>0</v>
      </c>
      <c r="W2" s="40">
        <v>61935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36">
        <f t="shared" ref="AD2:AD33" si="0">+SUM(S2:AC2)-H2</f>
        <v>0</v>
      </c>
      <c r="AE2"/>
      <c r="AF2" s="58" t="s">
        <v>1</v>
      </c>
      <c r="AG2" s="1">
        <f>+S76</f>
        <v>375773.69000000006</v>
      </c>
      <c r="AH2" s="1">
        <f>+'ABR USD '!AE19</f>
        <v>7442.9840000000004</v>
      </c>
      <c r="AI2" s="1">
        <f>SUM(AG2:AH2)</f>
        <v>383216.67400000006</v>
      </c>
      <c r="AJ2" s="56">
        <f>+AI2/AI17</f>
        <v>0.18710573722466242</v>
      </c>
    </row>
    <row r="3" spans="1:36" x14ac:dyDescent="0.3">
      <c r="A3" s="38">
        <v>2</v>
      </c>
      <c r="B3" s="38" t="s">
        <v>615</v>
      </c>
      <c r="C3" s="38" t="s">
        <v>622</v>
      </c>
      <c r="D3" s="39">
        <v>45751</v>
      </c>
      <c r="E3" s="38" t="s">
        <v>22</v>
      </c>
      <c r="F3" s="38" t="s">
        <v>403</v>
      </c>
      <c r="G3" s="40">
        <v>8736</v>
      </c>
      <c r="H3" s="40">
        <v>8013.64</v>
      </c>
      <c r="I3" s="40">
        <v>1282.18</v>
      </c>
      <c r="J3" s="40">
        <f t="shared" ref="J3:J65" si="1">SUM(G3:I3)</f>
        <v>18031.82</v>
      </c>
      <c r="K3" s="40">
        <v>18031.82</v>
      </c>
      <c r="L3" s="40">
        <f t="shared" ref="L3:L65" si="2">+J3-K3</f>
        <v>0</v>
      </c>
      <c r="M3" s="38" t="s">
        <v>35</v>
      </c>
      <c r="N3" s="54"/>
      <c r="O3" s="36"/>
      <c r="P3" s="40">
        <v>0</v>
      </c>
      <c r="Q3" s="40">
        <v>8736</v>
      </c>
      <c r="R3" s="40"/>
      <c r="S3" s="40">
        <v>4063.64</v>
      </c>
      <c r="T3" s="40">
        <v>0</v>
      </c>
      <c r="U3" s="40">
        <v>0</v>
      </c>
      <c r="V3" s="40">
        <v>0</v>
      </c>
      <c r="W3" s="40">
        <v>3950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36">
        <f t="shared" si="0"/>
        <v>0</v>
      </c>
      <c r="AE3"/>
      <c r="AF3" s="58" t="s">
        <v>50</v>
      </c>
      <c r="AG3" s="1">
        <f>+T76</f>
        <v>12696.88</v>
      </c>
      <c r="AH3" s="1">
        <f>+'ABR USD '!AC19</f>
        <v>4308.1499999999996</v>
      </c>
      <c r="AI3" s="1">
        <f t="shared" ref="AI3:AI15" si="3">SUM(AG3:AH3)</f>
        <v>17005.03</v>
      </c>
      <c r="AJ3" s="56">
        <f>+AI3/AI17</f>
        <v>8.3027146012897672E-3</v>
      </c>
    </row>
    <row r="4" spans="1:36" x14ac:dyDescent="0.3">
      <c r="A4" s="38">
        <v>2</v>
      </c>
      <c r="B4" s="38" t="s">
        <v>616</v>
      </c>
      <c r="C4" s="38" t="s">
        <v>623</v>
      </c>
      <c r="D4" s="39">
        <v>45751</v>
      </c>
      <c r="E4" s="38" t="s">
        <v>22</v>
      </c>
      <c r="F4" s="38" t="s">
        <v>403</v>
      </c>
      <c r="G4" s="40">
        <v>8412</v>
      </c>
      <c r="H4" s="40">
        <v>7986.91</v>
      </c>
      <c r="I4" s="40">
        <v>1277.9100000000001</v>
      </c>
      <c r="J4" s="40">
        <f t="shared" si="1"/>
        <v>17676.82</v>
      </c>
      <c r="K4" s="40">
        <v>17676.82</v>
      </c>
      <c r="L4" s="40">
        <f t="shared" si="2"/>
        <v>0</v>
      </c>
      <c r="M4" s="38" t="s">
        <v>35</v>
      </c>
      <c r="N4" s="54"/>
      <c r="O4" s="36"/>
      <c r="P4" s="40">
        <v>0</v>
      </c>
      <c r="Q4" s="40">
        <v>8412</v>
      </c>
      <c r="R4" s="40"/>
      <c r="S4" s="40">
        <v>4036.91</v>
      </c>
      <c r="T4" s="40">
        <v>0</v>
      </c>
      <c r="U4" s="40">
        <v>0</v>
      </c>
      <c r="V4" s="40">
        <v>0</v>
      </c>
      <c r="W4" s="40">
        <v>3950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36">
        <f t="shared" si="0"/>
        <v>0</v>
      </c>
      <c r="AE4"/>
      <c r="AF4" s="58" t="s">
        <v>54</v>
      </c>
      <c r="AG4" s="1">
        <f>+U76</f>
        <v>453529</v>
      </c>
      <c r="AH4" s="1">
        <f>+'ABR USD '!AD19</f>
        <v>19586.8</v>
      </c>
      <c r="AI4" s="1">
        <f t="shared" si="3"/>
        <v>473115.8</v>
      </c>
      <c r="AJ4" s="56">
        <f>+AI4/AI17</f>
        <v>0.23099903150778855</v>
      </c>
    </row>
    <row r="5" spans="1:36" x14ac:dyDescent="0.3">
      <c r="A5" s="38">
        <v>1</v>
      </c>
      <c r="B5" s="38" t="s">
        <v>617</v>
      </c>
      <c r="C5" s="38" t="s">
        <v>624</v>
      </c>
      <c r="D5" s="39">
        <v>45751</v>
      </c>
      <c r="E5" s="38" t="s">
        <v>22</v>
      </c>
      <c r="F5" s="38" t="s">
        <v>403</v>
      </c>
      <c r="G5" s="40">
        <v>336</v>
      </c>
      <c r="H5" s="40">
        <v>11500</v>
      </c>
      <c r="I5" s="40">
        <v>1840</v>
      </c>
      <c r="J5" s="40">
        <f t="shared" si="1"/>
        <v>13676</v>
      </c>
      <c r="K5" s="40">
        <v>13676</v>
      </c>
      <c r="L5" s="40">
        <f t="shared" si="2"/>
        <v>0</v>
      </c>
      <c r="M5" s="38" t="s">
        <v>35</v>
      </c>
      <c r="N5" s="54"/>
      <c r="O5" s="36"/>
      <c r="P5" s="40">
        <v>0</v>
      </c>
      <c r="Q5" s="40">
        <v>336</v>
      </c>
      <c r="R5" s="41"/>
      <c r="S5" s="40">
        <v>6000</v>
      </c>
      <c r="T5" s="40">
        <v>0</v>
      </c>
      <c r="U5" s="40">
        <v>2500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3000</v>
      </c>
      <c r="AC5" s="40">
        <v>0</v>
      </c>
      <c r="AD5" s="36">
        <f t="shared" si="0"/>
        <v>0</v>
      </c>
      <c r="AE5"/>
      <c r="AF5" s="58" t="s">
        <v>43</v>
      </c>
      <c r="AG5" s="1">
        <f>+V76</f>
        <v>24105.19</v>
      </c>
      <c r="AH5" s="1">
        <v>0</v>
      </c>
      <c r="AI5" s="1">
        <f t="shared" si="3"/>
        <v>24105.19</v>
      </c>
      <c r="AJ5" s="56">
        <f>+AI5/AI17</f>
        <v>1.1769371355408611E-2</v>
      </c>
    </row>
    <row r="6" spans="1:36" x14ac:dyDescent="0.3">
      <c r="A6" s="38">
        <v>2</v>
      </c>
      <c r="B6" s="38" t="s">
        <v>618</v>
      </c>
      <c r="C6" s="38" t="s">
        <v>625</v>
      </c>
      <c r="D6" s="39">
        <v>45754</v>
      </c>
      <c r="E6" s="38" t="s">
        <v>22</v>
      </c>
      <c r="F6" s="38" t="s">
        <v>403</v>
      </c>
      <c r="G6" s="40">
        <v>92698</v>
      </c>
      <c r="H6" s="40">
        <v>4087.6</v>
      </c>
      <c r="I6" s="40">
        <v>654.02</v>
      </c>
      <c r="J6" s="40">
        <f t="shared" si="1"/>
        <v>97439.62000000001</v>
      </c>
      <c r="K6" s="40">
        <v>97800.62</v>
      </c>
      <c r="L6" s="40">
        <f t="shared" si="2"/>
        <v>-360.99999999998545</v>
      </c>
      <c r="M6" s="38" t="s">
        <v>35</v>
      </c>
      <c r="N6" s="54"/>
      <c r="O6" s="36"/>
      <c r="P6" s="40">
        <v>0</v>
      </c>
      <c r="Q6" s="40">
        <v>92698</v>
      </c>
      <c r="R6" s="41"/>
      <c r="S6" s="40">
        <v>4087.6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36">
        <f t="shared" si="0"/>
        <v>0</v>
      </c>
      <c r="AE6"/>
      <c r="AF6" s="58" t="s">
        <v>0</v>
      </c>
      <c r="AG6" s="1">
        <f>+W76</f>
        <v>729288.79</v>
      </c>
      <c r="AH6" s="1">
        <f>+'ABR USD '!AB19</f>
        <v>342354.39289999998</v>
      </c>
      <c r="AI6" s="1">
        <f t="shared" si="3"/>
        <v>1071643.1828999999</v>
      </c>
      <c r="AJ6" s="56">
        <f>+AI6/AI17</f>
        <v>0.52323033255668883</v>
      </c>
    </row>
    <row r="7" spans="1:36" x14ac:dyDescent="0.3">
      <c r="A7" s="38">
        <v>1</v>
      </c>
      <c r="B7" s="38" t="s">
        <v>619</v>
      </c>
      <c r="C7" s="50" t="s">
        <v>626</v>
      </c>
      <c r="D7" s="39">
        <v>45754</v>
      </c>
      <c r="E7" s="38" t="s">
        <v>22</v>
      </c>
      <c r="F7" s="38" t="s">
        <v>403</v>
      </c>
      <c r="G7" s="40">
        <v>336</v>
      </c>
      <c r="H7" s="40">
        <v>17500</v>
      </c>
      <c r="I7" s="40">
        <v>2800</v>
      </c>
      <c r="J7" s="40">
        <f t="shared" si="1"/>
        <v>20636</v>
      </c>
      <c r="K7" s="40">
        <v>20636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v>336</v>
      </c>
      <c r="R7" s="41"/>
      <c r="S7" s="40">
        <v>12000</v>
      </c>
      <c r="T7" s="40">
        <v>0</v>
      </c>
      <c r="U7" s="40">
        <v>2500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3000</v>
      </c>
      <c r="AC7" s="40">
        <v>0</v>
      </c>
      <c r="AD7" s="36">
        <f t="shared" si="0"/>
        <v>0</v>
      </c>
      <c r="AE7"/>
      <c r="AF7" s="58" t="s">
        <v>669</v>
      </c>
      <c r="AG7" s="1">
        <f>+X76</f>
        <v>1050</v>
      </c>
      <c r="AH7" s="1">
        <v>0</v>
      </c>
      <c r="AI7" s="1">
        <f t="shared" si="3"/>
        <v>1050</v>
      </c>
      <c r="AJ7" s="80">
        <f>+AI7/AI17</f>
        <v>5.1266303742799962E-4</v>
      </c>
    </row>
    <row r="8" spans="1:36" x14ac:dyDescent="0.3">
      <c r="A8" s="38">
        <v>2</v>
      </c>
      <c r="B8" s="38" t="s">
        <v>620</v>
      </c>
      <c r="C8" s="38" t="s">
        <v>627</v>
      </c>
      <c r="D8" s="39">
        <v>45756</v>
      </c>
      <c r="E8" s="38" t="s">
        <v>53</v>
      </c>
      <c r="F8" s="38" t="s">
        <v>199</v>
      </c>
      <c r="G8" s="40">
        <v>428</v>
      </c>
      <c r="H8" s="40">
        <v>1200</v>
      </c>
      <c r="I8" s="40">
        <v>192</v>
      </c>
      <c r="J8" s="40">
        <f t="shared" si="1"/>
        <v>1820</v>
      </c>
      <c r="K8" s="40">
        <v>1820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428</v>
      </c>
      <c r="R8" s="41"/>
      <c r="S8" s="40">
        <v>1200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36">
        <f t="shared" si="0"/>
        <v>0</v>
      </c>
      <c r="AE8"/>
      <c r="AF8" s="58" t="s">
        <v>478</v>
      </c>
      <c r="AG8" s="1">
        <f>+Y76</f>
        <v>5110.76</v>
      </c>
      <c r="AH8" s="1">
        <v>0</v>
      </c>
      <c r="AI8" s="1">
        <f t="shared" si="3"/>
        <v>5110.76</v>
      </c>
      <c r="AJ8" s="56">
        <f>+AI8/AI17</f>
        <v>2.4953311858719272E-3</v>
      </c>
    </row>
    <row r="9" spans="1:36" x14ac:dyDescent="0.3">
      <c r="A9" s="38">
        <v>2</v>
      </c>
      <c r="B9" s="38" t="s">
        <v>621</v>
      </c>
      <c r="C9" s="38" t="s">
        <v>627</v>
      </c>
      <c r="D9" s="39">
        <v>45756</v>
      </c>
      <c r="E9" s="38" t="s">
        <v>53</v>
      </c>
      <c r="F9" s="38" t="s">
        <v>199</v>
      </c>
      <c r="G9" s="40">
        <f>336+336</f>
        <v>672</v>
      </c>
      <c r="H9" s="40">
        <v>15356</v>
      </c>
      <c r="I9" s="40">
        <v>2456.96</v>
      </c>
      <c r="J9" s="40">
        <f t="shared" si="1"/>
        <v>18484.96</v>
      </c>
      <c r="K9" s="40">
        <v>19265.96</v>
      </c>
      <c r="L9" s="40">
        <f t="shared" si="2"/>
        <v>-781</v>
      </c>
      <c r="M9" s="38" t="s">
        <v>35</v>
      </c>
      <c r="N9" s="54"/>
      <c r="O9" s="36"/>
      <c r="P9" s="40">
        <v>0</v>
      </c>
      <c r="Q9" s="40">
        <f>336+336</f>
        <v>672</v>
      </c>
      <c r="R9" s="41"/>
      <c r="S9" s="40">
        <f>7678+7678</f>
        <v>15356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36">
        <f t="shared" si="0"/>
        <v>0</v>
      </c>
      <c r="AE9"/>
      <c r="AF9" s="58" t="s">
        <v>670</v>
      </c>
      <c r="AG9" s="1">
        <f>+Z76</f>
        <v>21916.489999999998</v>
      </c>
      <c r="AH9" s="1">
        <v>0</v>
      </c>
      <c r="AI9" s="1">
        <f t="shared" si="3"/>
        <v>21916.489999999998</v>
      </c>
      <c r="AJ9" s="56">
        <f>+AI9/AI17</f>
        <v>1.0700737460152741E-2</v>
      </c>
    </row>
    <row r="10" spans="1:36" x14ac:dyDescent="0.3">
      <c r="A10" s="38">
        <v>2</v>
      </c>
      <c r="B10" s="38" t="s">
        <v>628</v>
      </c>
      <c r="C10" s="38" t="s">
        <v>633</v>
      </c>
      <c r="D10" s="39">
        <v>45756</v>
      </c>
      <c r="E10" s="38" t="s">
        <v>40</v>
      </c>
      <c r="F10" s="38" t="s">
        <v>41</v>
      </c>
      <c r="G10" s="40">
        <v>0</v>
      </c>
      <c r="H10" s="40">
        <v>12779.53</v>
      </c>
      <c r="I10" s="40">
        <v>2044.73</v>
      </c>
      <c r="J10" s="40">
        <f t="shared" si="1"/>
        <v>14824.26</v>
      </c>
      <c r="K10" s="40">
        <v>0</v>
      </c>
      <c r="L10" s="40">
        <f t="shared" si="2"/>
        <v>14824.26</v>
      </c>
      <c r="M10" s="38" t="s">
        <v>35</v>
      </c>
      <c r="N10" s="54"/>
      <c r="O10" s="36"/>
      <c r="P10" s="40">
        <v>0</v>
      </c>
      <c r="Q10" s="40">
        <v>0</v>
      </c>
      <c r="R10" s="41"/>
      <c r="S10" s="40">
        <v>4700.74</v>
      </c>
      <c r="T10" s="40">
        <v>0</v>
      </c>
      <c r="U10" s="40">
        <v>0</v>
      </c>
      <c r="V10" s="40">
        <v>0</v>
      </c>
      <c r="W10" s="40">
        <v>8078.79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36">
        <f t="shared" si="0"/>
        <v>0</v>
      </c>
      <c r="AE10"/>
      <c r="AF10" s="58" t="s">
        <v>48</v>
      </c>
      <c r="AG10" s="1">
        <f>+AA76</f>
        <v>7080</v>
      </c>
      <c r="AH10" s="1">
        <v>0</v>
      </c>
      <c r="AI10" s="1">
        <f t="shared" si="3"/>
        <v>7080</v>
      </c>
      <c r="AJ10" s="56">
        <f>+AI10/AI17</f>
        <v>3.4568136238002259E-3</v>
      </c>
    </row>
    <row r="11" spans="1:36" x14ac:dyDescent="0.3">
      <c r="A11" s="38">
        <v>1</v>
      </c>
      <c r="B11" s="38" t="s">
        <v>629</v>
      </c>
      <c r="C11" s="2" t="s">
        <v>634</v>
      </c>
      <c r="D11" s="39">
        <v>45756</v>
      </c>
      <c r="E11" s="38" t="s">
        <v>418</v>
      </c>
      <c r="F11" s="38" t="s">
        <v>407</v>
      </c>
      <c r="G11" s="40">
        <v>2757</v>
      </c>
      <c r="H11" s="40">
        <v>22200.240000000002</v>
      </c>
      <c r="I11" s="40">
        <v>3552.04</v>
      </c>
      <c r="J11" s="40">
        <f t="shared" si="1"/>
        <v>28509.280000000002</v>
      </c>
      <c r="K11" s="40">
        <v>33102.6</v>
      </c>
      <c r="L11" s="40">
        <f t="shared" si="2"/>
        <v>-4593.3199999999961</v>
      </c>
      <c r="M11" s="38" t="s">
        <v>35</v>
      </c>
      <c r="N11" s="54"/>
      <c r="O11" s="36"/>
      <c r="P11" s="40">
        <v>0</v>
      </c>
      <c r="Q11" s="40">
        <v>2757</v>
      </c>
      <c r="R11" s="41"/>
      <c r="S11" s="40">
        <v>6500</v>
      </c>
      <c r="T11" s="40">
        <v>554.66999999999996</v>
      </c>
      <c r="U11" s="40">
        <v>4513.21</v>
      </c>
      <c r="V11" s="40">
        <v>8132.36</v>
      </c>
      <c r="W11" s="40">
        <v>2500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36">
        <f t="shared" si="0"/>
        <v>0</v>
      </c>
      <c r="AE11"/>
      <c r="AF11" s="58" t="s">
        <v>545</v>
      </c>
      <c r="AG11" s="1">
        <f>+AB76</f>
        <v>8800</v>
      </c>
      <c r="AH11" s="1">
        <v>0</v>
      </c>
      <c r="AI11" s="1">
        <f t="shared" si="3"/>
        <v>8800</v>
      </c>
      <c r="AJ11" s="56">
        <f>+AI11/AI17</f>
        <v>4.2966045041584727E-3</v>
      </c>
    </row>
    <row r="12" spans="1:36" ht="14.4" customHeight="1" x14ac:dyDescent="0.3">
      <c r="A12" s="38">
        <v>1</v>
      </c>
      <c r="B12" s="38" t="s">
        <v>630</v>
      </c>
      <c r="C12" s="2" t="s">
        <v>635</v>
      </c>
      <c r="D12" s="39">
        <v>45756</v>
      </c>
      <c r="E12" s="38" t="s">
        <v>418</v>
      </c>
      <c r="F12" s="38" t="s">
        <v>407</v>
      </c>
      <c r="G12" s="40">
        <v>7387</v>
      </c>
      <c r="H12" s="40">
        <v>16046.75</v>
      </c>
      <c r="I12" s="40">
        <v>2567.48</v>
      </c>
      <c r="J12" s="40">
        <f t="shared" si="1"/>
        <v>26001.23</v>
      </c>
      <c r="K12" s="40">
        <v>37732.6</v>
      </c>
      <c r="L12" s="40">
        <f t="shared" si="2"/>
        <v>-11731.369999999999</v>
      </c>
      <c r="M12" s="38" t="s">
        <v>35</v>
      </c>
      <c r="N12" s="54"/>
      <c r="O12" s="36"/>
      <c r="P12" s="40">
        <v>0</v>
      </c>
      <c r="Q12" s="40">
        <v>7387</v>
      </c>
      <c r="R12" s="41"/>
      <c r="S12" s="40">
        <v>6500</v>
      </c>
      <c r="T12" s="40">
        <v>867.62</v>
      </c>
      <c r="U12" s="40">
        <v>3778.18</v>
      </c>
      <c r="V12" s="40">
        <v>2400.9499999999998</v>
      </c>
      <c r="W12" s="40">
        <v>2500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36">
        <f t="shared" si="0"/>
        <v>0</v>
      </c>
      <c r="AE12"/>
      <c r="AF12" s="58" t="s">
        <v>763</v>
      </c>
      <c r="AG12" s="1">
        <f>+AC76</f>
        <v>1400</v>
      </c>
      <c r="AH12" s="1">
        <v>0</v>
      </c>
      <c r="AI12" s="1">
        <f t="shared" si="3"/>
        <v>1400</v>
      </c>
      <c r="AJ12" s="56">
        <f>+AI12/AI17</f>
        <v>6.8355071657066619E-4</v>
      </c>
    </row>
    <row r="13" spans="1:36" x14ac:dyDescent="0.3">
      <c r="A13" s="38">
        <v>2</v>
      </c>
      <c r="B13" s="38" t="s">
        <v>631</v>
      </c>
      <c r="C13" s="2" t="s">
        <v>636</v>
      </c>
      <c r="D13" s="39">
        <v>45756</v>
      </c>
      <c r="E13" s="38" t="s">
        <v>53</v>
      </c>
      <c r="F13" s="38" t="s">
        <v>199</v>
      </c>
      <c r="G13" s="40">
        <f>336+336</f>
        <v>672</v>
      </c>
      <c r="H13" s="40">
        <v>15247.22</v>
      </c>
      <c r="I13" s="40">
        <v>2439.56</v>
      </c>
      <c r="J13" s="40">
        <f t="shared" si="1"/>
        <v>18358.78</v>
      </c>
      <c r="K13" s="40">
        <v>19586.78</v>
      </c>
      <c r="L13" s="40">
        <f t="shared" si="2"/>
        <v>-1228</v>
      </c>
      <c r="M13" s="38" t="s">
        <v>35</v>
      </c>
      <c r="N13" s="54"/>
      <c r="O13" s="36"/>
      <c r="P13" s="40">
        <v>0</v>
      </c>
      <c r="Q13" s="40">
        <f>336+336</f>
        <v>672</v>
      </c>
      <c r="R13" s="41"/>
      <c r="S13" s="40">
        <f>7685+7562.22</f>
        <v>15247.220000000001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36">
        <f t="shared" si="0"/>
        <v>0</v>
      </c>
      <c r="AE13"/>
      <c r="AF13" s="58" t="s">
        <v>514</v>
      </c>
      <c r="AG13" s="1">
        <v>0</v>
      </c>
      <c r="AH13" s="1">
        <f>+'ABR USD '!AF19</f>
        <v>30670.101419999995</v>
      </c>
      <c r="AI13" s="1">
        <f t="shared" si="3"/>
        <v>30670.101419999995</v>
      </c>
      <c r="AJ13" s="56">
        <f>+AI13/AI17</f>
        <v>1.4974692716382859E-2</v>
      </c>
    </row>
    <row r="14" spans="1:36" x14ac:dyDescent="0.3">
      <c r="A14" s="38">
        <v>1</v>
      </c>
      <c r="B14" s="38" t="s">
        <v>632</v>
      </c>
      <c r="C14" s="2" t="s">
        <v>637</v>
      </c>
      <c r="D14" s="39">
        <v>45756</v>
      </c>
      <c r="E14" s="38" t="s">
        <v>40</v>
      </c>
      <c r="F14" s="38" t="s">
        <v>41</v>
      </c>
      <c r="G14" s="40">
        <v>0</v>
      </c>
      <c r="H14" s="40">
        <v>11255.82</v>
      </c>
      <c r="I14" s="40">
        <v>1800.94</v>
      </c>
      <c r="J14" s="40">
        <f t="shared" si="1"/>
        <v>13056.76</v>
      </c>
      <c r="K14" s="40">
        <v>0</v>
      </c>
      <c r="L14" s="40">
        <f t="shared" si="2"/>
        <v>13056.76</v>
      </c>
      <c r="M14" s="38" t="s">
        <v>35</v>
      </c>
      <c r="N14" s="54"/>
      <c r="O14" s="36"/>
      <c r="P14" s="40">
        <v>0</v>
      </c>
      <c r="Q14" s="40">
        <v>0</v>
      </c>
      <c r="R14" s="41"/>
      <c r="S14" s="40">
        <v>4087.6</v>
      </c>
      <c r="T14" s="40">
        <v>1500</v>
      </c>
      <c r="U14" s="40">
        <v>1990.74</v>
      </c>
      <c r="V14" s="40">
        <v>1177.48</v>
      </c>
      <c r="W14" s="40">
        <v>2500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36">
        <f t="shared" si="0"/>
        <v>0</v>
      </c>
      <c r="AE14"/>
      <c r="AF14" s="58" t="s">
        <v>52</v>
      </c>
      <c r="AG14" s="1">
        <v>0</v>
      </c>
      <c r="AH14" s="1">
        <f>+'ABR USD '!AG19</f>
        <v>3015.7049999999999</v>
      </c>
      <c r="AI14" s="1">
        <f t="shared" si="3"/>
        <v>3015.7049999999999</v>
      </c>
      <c r="AJ14" s="56">
        <f>+AI14/AI17</f>
        <v>1.4724195097969577E-3</v>
      </c>
    </row>
    <row r="15" spans="1:36" x14ac:dyDescent="0.3">
      <c r="A15" s="38">
        <v>2</v>
      </c>
      <c r="B15" s="38" t="s">
        <v>640</v>
      </c>
      <c r="C15" s="2" t="s">
        <v>655</v>
      </c>
      <c r="D15" s="39">
        <v>45757</v>
      </c>
      <c r="E15" s="38" t="s">
        <v>22</v>
      </c>
      <c r="F15" s="38" t="s">
        <v>403</v>
      </c>
      <c r="G15" s="40">
        <v>336</v>
      </c>
      <c r="H15" s="40">
        <v>18007.61</v>
      </c>
      <c r="I15" s="40">
        <v>2881.22</v>
      </c>
      <c r="J15" s="40">
        <f t="shared" si="1"/>
        <v>21224.83</v>
      </c>
      <c r="K15" s="40">
        <v>21224.83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336</v>
      </c>
      <c r="R15" s="41"/>
      <c r="S15" s="40">
        <v>6107.61</v>
      </c>
      <c r="T15" s="40">
        <v>0</v>
      </c>
      <c r="U15" s="40">
        <v>2500</v>
      </c>
      <c r="V15" s="40">
        <v>0</v>
      </c>
      <c r="W15" s="40">
        <v>7900</v>
      </c>
      <c r="X15" s="40">
        <v>0</v>
      </c>
      <c r="Y15" s="40">
        <v>1500</v>
      </c>
      <c r="Z15" s="40">
        <v>0</v>
      </c>
      <c r="AA15" s="40">
        <v>0</v>
      </c>
      <c r="AB15" s="40">
        <v>0</v>
      </c>
      <c r="AC15" s="40">
        <v>0</v>
      </c>
      <c r="AD15" s="36">
        <f t="shared" si="0"/>
        <v>0</v>
      </c>
      <c r="AE15"/>
      <c r="AF15" s="58"/>
      <c r="AH15" s="1"/>
      <c r="AI15" s="1">
        <f t="shared" si="3"/>
        <v>0</v>
      </c>
      <c r="AJ15" s="56">
        <f>+AI15/AI17</f>
        <v>0</v>
      </c>
    </row>
    <row r="16" spans="1:36" x14ac:dyDescent="0.3">
      <c r="A16" s="38">
        <v>2</v>
      </c>
      <c r="B16" s="38" t="s">
        <v>641</v>
      </c>
      <c r="C16" s="2" t="s">
        <v>656</v>
      </c>
      <c r="D16" s="39">
        <v>45757</v>
      </c>
      <c r="E16" s="38" t="s">
        <v>22</v>
      </c>
      <c r="F16" s="38" t="s">
        <v>403</v>
      </c>
      <c r="G16" s="40">
        <v>336</v>
      </c>
      <c r="H16" s="40">
        <v>18007.61</v>
      </c>
      <c r="I16" s="40">
        <v>2881.22</v>
      </c>
      <c r="J16" s="40">
        <f t="shared" si="1"/>
        <v>21224.83</v>
      </c>
      <c r="K16" s="40">
        <v>21224.83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336</v>
      </c>
      <c r="R16" s="41"/>
      <c r="S16" s="40">
        <v>6107.61</v>
      </c>
      <c r="T16" s="40">
        <v>0</v>
      </c>
      <c r="U16" s="40">
        <v>2500</v>
      </c>
      <c r="V16" s="40">
        <v>0</v>
      </c>
      <c r="W16" s="40">
        <v>7900</v>
      </c>
      <c r="X16" s="40">
        <v>0</v>
      </c>
      <c r="Y16" s="40">
        <v>1500</v>
      </c>
      <c r="Z16" s="40">
        <v>0</v>
      </c>
      <c r="AA16" s="40">
        <v>0</v>
      </c>
      <c r="AB16" s="40">
        <v>0</v>
      </c>
      <c r="AC16" s="40">
        <v>0</v>
      </c>
      <c r="AD16" s="36">
        <f t="shared" si="0"/>
        <v>0</v>
      </c>
      <c r="AE16"/>
      <c r="AF16" s="58"/>
      <c r="AH16" s="1"/>
      <c r="AI16" s="1"/>
      <c r="AJ16" s="56"/>
    </row>
    <row r="17" spans="1:36" x14ac:dyDescent="0.3">
      <c r="A17" s="38">
        <v>1</v>
      </c>
      <c r="B17" s="38" t="s">
        <v>642</v>
      </c>
      <c r="C17" s="2" t="s">
        <v>657</v>
      </c>
      <c r="D17" s="39">
        <v>45757</v>
      </c>
      <c r="E17" s="38" t="s">
        <v>40</v>
      </c>
      <c r="F17" s="38" t="s">
        <v>41</v>
      </c>
      <c r="G17" s="40">
        <v>0</v>
      </c>
      <c r="H17" s="40">
        <v>74345.460000000006</v>
      </c>
      <c r="I17" s="40">
        <v>11895.27</v>
      </c>
      <c r="J17" s="40">
        <f t="shared" si="1"/>
        <v>86240.73000000001</v>
      </c>
      <c r="K17" s="40">
        <v>0</v>
      </c>
      <c r="L17" s="40">
        <f t="shared" si="2"/>
        <v>86240.73000000001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6095.46</v>
      </c>
      <c r="T17" s="40">
        <v>0</v>
      </c>
      <c r="U17" s="40">
        <v>25750</v>
      </c>
      <c r="V17" s="40">
        <v>0</v>
      </c>
      <c r="W17" s="40">
        <v>42000</v>
      </c>
      <c r="X17" s="40">
        <v>500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36">
        <f t="shared" si="0"/>
        <v>0</v>
      </c>
      <c r="AE17"/>
      <c r="AF17" s="37"/>
      <c r="AG17" s="45">
        <f>+SUM(AG2:AG16)</f>
        <v>1640750.8</v>
      </c>
      <c r="AH17" s="45">
        <f>+SUM(AH2:AH16)</f>
        <v>407378.13332000002</v>
      </c>
      <c r="AI17" s="45">
        <f>+SUM(AI2:AI16)</f>
        <v>2048128.9333199998</v>
      </c>
      <c r="AJ17" s="57">
        <f>+SUM(AJ2:AJ16)</f>
        <v>1.0000000000000002</v>
      </c>
    </row>
    <row r="18" spans="1:36" x14ac:dyDescent="0.3">
      <c r="A18" s="38">
        <v>2</v>
      </c>
      <c r="B18" s="38" t="s">
        <v>643</v>
      </c>
      <c r="C18" s="2" t="s">
        <v>658</v>
      </c>
      <c r="D18" s="39">
        <v>45757</v>
      </c>
      <c r="E18" s="38" t="s">
        <v>198</v>
      </c>
      <c r="F18" t="s">
        <v>200</v>
      </c>
      <c r="G18" s="40">
        <v>0</v>
      </c>
      <c r="H18" s="40">
        <v>22000</v>
      </c>
      <c r="I18" s="40">
        <v>3520</v>
      </c>
      <c r="J18" s="40">
        <f t="shared" si="1"/>
        <v>25520</v>
      </c>
      <c r="K18" s="40">
        <v>25520</v>
      </c>
      <c r="L18" s="40">
        <f t="shared" si="2"/>
        <v>0</v>
      </c>
      <c r="M18" s="38" t="s">
        <v>35</v>
      </c>
      <c r="N18" s="54"/>
      <c r="O18" s="36"/>
      <c r="P18" s="40">
        <v>0</v>
      </c>
      <c r="Q18" s="40">
        <v>0</v>
      </c>
      <c r="R18" s="41"/>
      <c r="S18" s="40">
        <v>0</v>
      </c>
      <c r="T18" s="40">
        <v>0</v>
      </c>
      <c r="U18" s="40">
        <v>0</v>
      </c>
      <c r="V18" s="40">
        <v>0</v>
      </c>
      <c r="W18" s="40">
        <v>22000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36">
        <f t="shared" si="0"/>
        <v>0</v>
      </c>
      <c r="AE18"/>
      <c r="AG18" s="36"/>
      <c r="AH18" s="36"/>
      <c r="AI18" s="1"/>
    </row>
    <row r="19" spans="1:36" x14ac:dyDescent="0.3">
      <c r="A19" s="38">
        <v>1</v>
      </c>
      <c r="B19" s="38" t="s">
        <v>644</v>
      </c>
      <c r="C19" s="2" t="s">
        <v>659</v>
      </c>
      <c r="D19" s="39">
        <v>45758</v>
      </c>
      <c r="E19" s="38" t="s">
        <v>22</v>
      </c>
      <c r="F19" s="38" t="s">
        <v>403</v>
      </c>
      <c r="G19" s="40">
        <v>19746</v>
      </c>
      <c r="H19" s="40">
        <v>49500</v>
      </c>
      <c r="I19" s="40">
        <v>7920</v>
      </c>
      <c r="J19" s="40">
        <f t="shared" si="1"/>
        <v>77166</v>
      </c>
      <c r="K19" s="40">
        <v>89834</v>
      </c>
      <c r="L19" s="40">
        <f t="shared" si="2"/>
        <v>-12668</v>
      </c>
      <c r="M19" s="38" t="s">
        <v>35</v>
      </c>
      <c r="N19" s="54"/>
      <c r="O19" s="36"/>
      <c r="P19" s="40">
        <v>0</v>
      </c>
      <c r="Q19" s="40">
        <v>19746</v>
      </c>
      <c r="R19" s="41"/>
      <c r="S19" s="40">
        <v>6000</v>
      </c>
      <c r="T19" s="40">
        <v>1500</v>
      </c>
      <c r="U19" s="40">
        <v>16000</v>
      </c>
      <c r="V19" s="40">
        <v>0</v>
      </c>
      <c r="W19" s="40">
        <v>26000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36">
        <f t="shared" si="0"/>
        <v>0</v>
      </c>
      <c r="AE19"/>
      <c r="AF19" s="37"/>
      <c r="AH19" s="1"/>
      <c r="AI19" s="1">
        <v>2048128.93</v>
      </c>
    </row>
    <row r="20" spans="1:36" x14ac:dyDescent="0.3">
      <c r="A20" s="38">
        <v>2</v>
      </c>
      <c r="B20" s="38" t="s">
        <v>645</v>
      </c>
      <c r="C20" s="50" t="s">
        <v>660</v>
      </c>
      <c r="D20" s="39">
        <v>45758</v>
      </c>
      <c r="E20" s="38" t="s">
        <v>22</v>
      </c>
      <c r="F20" s="38" t="s">
        <v>403</v>
      </c>
      <c r="G20" s="40">
        <v>31644</v>
      </c>
      <c r="H20" s="40">
        <v>15784.7</v>
      </c>
      <c r="I20" s="40">
        <v>2525.5500000000002</v>
      </c>
      <c r="J20" s="40">
        <f t="shared" si="1"/>
        <v>49954.25</v>
      </c>
      <c r="K20" s="40">
        <v>49954.25</v>
      </c>
      <c r="L20" s="40">
        <f t="shared" si="2"/>
        <v>0</v>
      </c>
      <c r="M20" s="38" t="s">
        <v>35</v>
      </c>
      <c r="N20" s="54"/>
      <c r="O20" s="36"/>
      <c r="P20" s="40">
        <v>0</v>
      </c>
      <c r="Q20" s="40">
        <v>31644</v>
      </c>
      <c r="R20" s="41"/>
      <c r="S20" s="40">
        <v>4354.3999999999996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11430.3</v>
      </c>
      <c r="AA20" s="40">
        <v>0</v>
      </c>
      <c r="AB20" s="40">
        <v>0</v>
      </c>
      <c r="AC20" s="40">
        <v>0</v>
      </c>
      <c r="AD20" s="36">
        <f t="shared" si="0"/>
        <v>0</v>
      </c>
      <c r="AE20"/>
      <c r="AF20" s="37"/>
      <c r="AH20" s="1"/>
      <c r="AI20" s="1"/>
    </row>
    <row r="21" spans="1:36" x14ac:dyDescent="0.3">
      <c r="A21" s="38">
        <v>2</v>
      </c>
      <c r="B21" s="38" t="s">
        <v>646</v>
      </c>
      <c r="C21" s="50" t="s">
        <v>661</v>
      </c>
      <c r="D21" s="39">
        <v>45758</v>
      </c>
      <c r="E21" s="38" t="s">
        <v>22</v>
      </c>
      <c r="F21" s="38" t="s">
        <v>403</v>
      </c>
      <c r="G21" s="40">
        <v>1081</v>
      </c>
      <c r="H21" s="40">
        <v>8304.4</v>
      </c>
      <c r="I21" s="40">
        <v>1328.7</v>
      </c>
      <c r="J21" s="40">
        <f t="shared" si="1"/>
        <v>10714.1</v>
      </c>
      <c r="K21" s="40">
        <v>10714.1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1081</v>
      </c>
      <c r="R21" s="41"/>
      <c r="S21" s="40">
        <v>4354.3999999999996</v>
      </c>
      <c r="T21" s="40">
        <v>0</v>
      </c>
      <c r="U21" s="40">
        <v>0</v>
      </c>
      <c r="V21" s="40">
        <v>0</v>
      </c>
      <c r="W21" s="40">
        <v>3950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36">
        <f t="shared" si="0"/>
        <v>0</v>
      </c>
      <c r="AE21"/>
      <c r="AF21" s="37"/>
      <c r="AG21" s="52"/>
      <c r="AH21" s="1"/>
      <c r="AI21" s="1">
        <f>+AI17-AI19</f>
        <v>3.3199999015778303E-3</v>
      </c>
    </row>
    <row r="22" spans="1:36" x14ac:dyDescent="0.3">
      <c r="A22" s="38">
        <v>2</v>
      </c>
      <c r="B22" s="38" t="s">
        <v>647</v>
      </c>
      <c r="C22" s="50" t="s">
        <v>430</v>
      </c>
      <c r="D22" s="39">
        <v>45762</v>
      </c>
      <c r="E22" s="38" t="s">
        <v>53</v>
      </c>
      <c r="F22" s="38" t="s">
        <v>199</v>
      </c>
      <c r="G22" s="40">
        <v>428</v>
      </c>
      <c r="H22" s="40">
        <v>1200</v>
      </c>
      <c r="I22" s="40">
        <v>192</v>
      </c>
      <c r="J22" s="40">
        <f>SUM(G22:I22)</f>
        <v>1820</v>
      </c>
      <c r="K22" s="40">
        <v>1820</v>
      </c>
      <c r="L22" s="40">
        <f t="shared" si="2"/>
        <v>0</v>
      </c>
      <c r="M22" s="38" t="s">
        <v>35</v>
      </c>
      <c r="N22" s="54"/>
      <c r="O22" s="36"/>
      <c r="P22" s="40">
        <v>0</v>
      </c>
      <c r="Q22" s="40">
        <v>428</v>
      </c>
      <c r="R22" s="41"/>
      <c r="S22" s="40">
        <v>1200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36">
        <f t="shared" si="0"/>
        <v>0</v>
      </c>
      <c r="AE22"/>
      <c r="AF22" s="37"/>
      <c r="AG22" s="52"/>
      <c r="AH22" s="1"/>
      <c r="AI22" s="1"/>
    </row>
    <row r="23" spans="1:36" x14ac:dyDescent="0.3">
      <c r="A23" s="38">
        <v>2</v>
      </c>
      <c r="B23" s="38" t="s">
        <v>648</v>
      </c>
      <c r="C23" s="38" t="s">
        <v>662</v>
      </c>
      <c r="D23" s="39">
        <v>45762</v>
      </c>
      <c r="E23" s="38" t="s">
        <v>198</v>
      </c>
      <c r="F23" t="s">
        <v>200</v>
      </c>
      <c r="G23" s="40">
        <v>0</v>
      </c>
      <c r="H23" s="40">
        <v>22000</v>
      </c>
      <c r="I23" s="40">
        <v>3520</v>
      </c>
      <c r="J23" s="40">
        <f t="shared" si="1"/>
        <v>25520</v>
      </c>
      <c r="K23" s="40">
        <v>25520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0</v>
      </c>
      <c r="R23" s="41"/>
      <c r="S23" s="40">
        <v>0</v>
      </c>
      <c r="T23" s="40">
        <v>0</v>
      </c>
      <c r="U23" s="40">
        <v>0</v>
      </c>
      <c r="V23" s="40">
        <v>0</v>
      </c>
      <c r="W23" s="40">
        <v>22000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36">
        <f t="shared" si="0"/>
        <v>0</v>
      </c>
      <c r="AE23"/>
      <c r="AF23" s="37"/>
      <c r="AH23" s="1"/>
      <c r="AI23" s="1"/>
    </row>
    <row r="24" spans="1:36" x14ac:dyDescent="0.3">
      <c r="A24" s="38">
        <v>1</v>
      </c>
      <c r="B24" s="38" t="s">
        <v>649</v>
      </c>
      <c r="C24" s="38" t="s">
        <v>663</v>
      </c>
      <c r="D24" s="39">
        <v>45762</v>
      </c>
      <c r="E24" s="38" t="s">
        <v>40</v>
      </c>
      <c r="F24" s="38" t="s">
        <v>41</v>
      </c>
      <c r="G24" s="40">
        <v>0</v>
      </c>
      <c r="H24" s="40">
        <v>13800.4</v>
      </c>
      <c r="I24" s="40">
        <v>2208.0700000000002</v>
      </c>
      <c r="J24" s="40">
        <f t="shared" si="1"/>
        <v>16008.47</v>
      </c>
      <c r="K24" s="40">
        <v>0</v>
      </c>
      <c r="L24" s="40">
        <f t="shared" si="2"/>
        <v>16008.47</v>
      </c>
      <c r="M24" s="38" t="s">
        <v>35</v>
      </c>
      <c r="N24" s="54"/>
      <c r="O24" s="36"/>
      <c r="P24" s="40">
        <v>0</v>
      </c>
      <c r="Q24" s="40">
        <v>0</v>
      </c>
      <c r="R24" s="41"/>
      <c r="S24" s="40">
        <v>8274.68</v>
      </c>
      <c r="T24" s="40">
        <v>0</v>
      </c>
      <c r="U24" s="40">
        <v>2475.7199999999998</v>
      </c>
      <c r="V24" s="40">
        <v>0</v>
      </c>
      <c r="W24" s="40">
        <v>2500</v>
      </c>
      <c r="X24" s="40">
        <v>550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36">
        <f t="shared" si="0"/>
        <v>0</v>
      </c>
      <c r="AE24"/>
      <c r="AF24" s="37"/>
      <c r="AG24" s="53"/>
      <c r="AH24" s="1"/>
      <c r="AI24" s="1"/>
    </row>
    <row r="25" spans="1:36" x14ac:dyDescent="0.3">
      <c r="A25" s="38">
        <v>1</v>
      </c>
      <c r="B25" s="38" t="s">
        <v>650</v>
      </c>
      <c r="C25" s="38" t="s">
        <v>664</v>
      </c>
      <c r="D25" s="39">
        <v>45762</v>
      </c>
      <c r="E25" s="38" t="s">
        <v>40</v>
      </c>
      <c r="F25" s="38" t="s">
        <v>41</v>
      </c>
      <c r="G25" s="40">
        <v>0</v>
      </c>
      <c r="H25" s="40">
        <v>104527.13</v>
      </c>
      <c r="I25" s="40">
        <v>16724.34</v>
      </c>
      <c r="J25" s="40">
        <f t="shared" si="1"/>
        <v>121251.47</v>
      </c>
      <c r="K25" s="40">
        <v>0</v>
      </c>
      <c r="L25" s="40">
        <f t="shared" si="2"/>
        <v>121251.47</v>
      </c>
      <c r="M25" s="38" t="s">
        <v>35</v>
      </c>
      <c r="N25" s="54"/>
      <c r="O25" s="36"/>
      <c r="P25" s="40">
        <v>0</v>
      </c>
      <c r="Q25" s="40">
        <v>0</v>
      </c>
      <c r="R25" s="41"/>
      <c r="S25" s="40">
        <v>6120.09</v>
      </c>
      <c r="T25" s="40">
        <v>0</v>
      </c>
      <c r="U25" s="40">
        <v>29072.04</v>
      </c>
      <c r="V25" s="40">
        <v>0</v>
      </c>
      <c r="W25" s="40">
        <v>69335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36">
        <f t="shared" si="0"/>
        <v>0</v>
      </c>
      <c r="AE25"/>
      <c r="AF25" s="37"/>
      <c r="AH25" s="1"/>
      <c r="AI25" s="1"/>
    </row>
    <row r="26" spans="1:36" x14ac:dyDescent="0.3">
      <c r="A26" s="38">
        <v>2</v>
      </c>
      <c r="B26" s="38" t="s">
        <v>651</v>
      </c>
      <c r="C26" s="38" t="s">
        <v>665</v>
      </c>
      <c r="D26" s="39">
        <v>45762</v>
      </c>
      <c r="E26" s="38" t="s">
        <v>22</v>
      </c>
      <c r="F26" s="38" t="s">
        <v>403</v>
      </c>
      <c r="G26" s="40">
        <v>336</v>
      </c>
      <c r="H26" s="40">
        <v>4100.2</v>
      </c>
      <c r="I26" s="40">
        <v>656.03</v>
      </c>
      <c r="J26" s="40">
        <f t="shared" si="1"/>
        <v>5092.2299999999996</v>
      </c>
      <c r="K26" s="40">
        <v>5092.2299999999996</v>
      </c>
      <c r="L26" s="40">
        <f t="shared" si="2"/>
        <v>0</v>
      </c>
      <c r="M26" s="38" t="s">
        <v>35</v>
      </c>
      <c r="N26" s="54"/>
      <c r="O26" s="36"/>
      <c r="P26" s="40">
        <v>0</v>
      </c>
      <c r="Q26" s="40">
        <v>336</v>
      </c>
      <c r="R26" s="41"/>
      <c r="S26" s="40">
        <v>4100.2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36">
        <f t="shared" si="0"/>
        <v>0</v>
      </c>
      <c r="AE26"/>
      <c r="AF26" s="37"/>
      <c r="AH26" s="1"/>
      <c r="AI26" s="1"/>
    </row>
    <row r="27" spans="1:36" x14ac:dyDescent="0.3">
      <c r="A27" s="38">
        <v>1</v>
      </c>
      <c r="B27" s="38" t="s">
        <v>652</v>
      </c>
      <c r="C27" s="38" t="s">
        <v>666</v>
      </c>
      <c r="D27" s="39">
        <v>45762</v>
      </c>
      <c r="E27" s="38" t="s">
        <v>22</v>
      </c>
      <c r="F27" s="38" t="s">
        <v>403</v>
      </c>
      <c r="G27" s="40">
        <v>336</v>
      </c>
      <c r="H27" s="40">
        <v>17000</v>
      </c>
      <c r="I27" s="40">
        <v>2720</v>
      </c>
      <c r="J27" s="40">
        <f t="shared" si="1"/>
        <v>20056</v>
      </c>
      <c r="K27" s="40">
        <v>20056</v>
      </c>
      <c r="L27" s="40">
        <f t="shared" si="2"/>
        <v>0</v>
      </c>
      <c r="M27" s="38" t="s">
        <v>35</v>
      </c>
      <c r="N27" s="54"/>
      <c r="O27" s="36"/>
      <c r="P27" s="40">
        <v>0</v>
      </c>
      <c r="Q27" s="40">
        <v>336</v>
      </c>
      <c r="R27" s="41"/>
      <c r="S27" s="40">
        <v>12000</v>
      </c>
      <c r="T27" s="40">
        <v>0</v>
      </c>
      <c r="U27" s="40">
        <v>5000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36">
        <f t="shared" si="0"/>
        <v>0</v>
      </c>
      <c r="AE27"/>
      <c r="AF27" s="37"/>
      <c r="AH27" s="1"/>
      <c r="AI27" s="1"/>
    </row>
    <row r="28" spans="1:36" x14ac:dyDescent="0.3">
      <c r="A28" s="38">
        <v>2</v>
      </c>
      <c r="B28" s="38" t="s">
        <v>653</v>
      </c>
      <c r="C28" s="38" t="s">
        <v>667</v>
      </c>
      <c r="D28" s="39">
        <v>45762</v>
      </c>
      <c r="E28" s="38" t="s">
        <v>22</v>
      </c>
      <c r="F28" s="38" t="s">
        <v>403</v>
      </c>
      <c r="G28" s="40">
        <v>336</v>
      </c>
      <c r="H28" s="40">
        <v>14106.01</v>
      </c>
      <c r="I28" s="40">
        <v>2256.96</v>
      </c>
      <c r="J28" s="40">
        <f t="shared" si="1"/>
        <v>16698.97</v>
      </c>
      <c r="K28" s="40">
        <v>16698.97</v>
      </c>
      <c r="L28" s="40">
        <f t="shared" si="2"/>
        <v>0</v>
      </c>
      <c r="M28" s="38" t="s">
        <v>35</v>
      </c>
      <c r="N28" s="54"/>
      <c r="O28" s="36"/>
      <c r="P28" s="40">
        <v>0</v>
      </c>
      <c r="Q28" s="40">
        <v>336</v>
      </c>
      <c r="R28" s="41"/>
      <c r="S28" s="40">
        <v>6206.01</v>
      </c>
      <c r="T28" s="40">
        <v>0</v>
      </c>
      <c r="U28" s="40">
        <v>0</v>
      </c>
      <c r="V28" s="40">
        <v>0</v>
      </c>
      <c r="W28" s="40">
        <v>7900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36">
        <f t="shared" si="0"/>
        <v>0</v>
      </c>
      <c r="AE28"/>
      <c r="AF28" s="37"/>
      <c r="AH28" s="1"/>
      <c r="AI28" s="1"/>
    </row>
    <row r="29" spans="1:36" x14ac:dyDescent="0.3">
      <c r="A29" s="38">
        <v>2</v>
      </c>
      <c r="B29" s="38" t="s">
        <v>654</v>
      </c>
      <c r="C29" s="38" t="s">
        <v>668</v>
      </c>
      <c r="D29" s="39">
        <v>45762</v>
      </c>
      <c r="E29" s="38" t="s">
        <v>22</v>
      </c>
      <c r="F29" s="38" t="s">
        <v>403</v>
      </c>
      <c r="G29" s="40">
        <v>336</v>
      </c>
      <c r="H29" s="40">
        <v>7053.01</v>
      </c>
      <c r="I29" s="40">
        <v>1128.48</v>
      </c>
      <c r="J29" s="40">
        <f t="shared" si="1"/>
        <v>8517.49</v>
      </c>
      <c r="K29" s="40">
        <v>8517.49</v>
      </c>
      <c r="L29" s="40">
        <f t="shared" si="2"/>
        <v>0</v>
      </c>
      <c r="M29" s="38" t="s">
        <v>35</v>
      </c>
      <c r="N29" s="54"/>
      <c r="O29" s="36"/>
      <c r="P29" s="40">
        <v>0</v>
      </c>
      <c r="Q29" s="40">
        <v>336</v>
      </c>
      <c r="R29" s="41"/>
      <c r="S29" s="40">
        <v>3103.01</v>
      </c>
      <c r="T29" s="40">
        <v>0</v>
      </c>
      <c r="U29" s="40">
        <v>0</v>
      </c>
      <c r="V29" s="40">
        <v>0</v>
      </c>
      <c r="W29" s="40">
        <v>3950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36">
        <f t="shared" si="0"/>
        <v>0</v>
      </c>
      <c r="AE29"/>
      <c r="AF29" s="37"/>
      <c r="AH29" s="1"/>
      <c r="AI29" s="1"/>
    </row>
    <row r="30" spans="1:36" x14ac:dyDescent="0.3">
      <c r="A30" s="38">
        <v>2</v>
      </c>
      <c r="B30" s="38" t="s">
        <v>671</v>
      </c>
      <c r="C30" s="38" t="s">
        <v>705</v>
      </c>
      <c r="D30" s="39">
        <v>45763</v>
      </c>
      <c r="E30" s="38" t="s">
        <v>40</v>
      </c>
      <c r="F30" s="38" t="s">
        <v>41</v>
      </c>
      <c r="G30" s="40">
        <v>0</v>
      </c>
      <c r="H30" s="40">
        <v>22950.06</v>
      </c>
      <c r="I30" s="40">
        <v>3672.01</v>
      </c>
      <c r="J30" s="40">
        <f t="shared" si="1"/>
        <v>26622.07</v>
      </c>
      <c r="K30" s="40">
        <v>0</v>
      </c>
      <c r="L30" s="40">
        <f t="shared" si="2"/>
        <v>26622.07</v>
      </c>
      <c r="M30" s="38" t="s">
        <v>35</v>
      </c>
      <c r="N30" s="54"/>
      <c r="O30" s="36"/>
      <c r="P30" s="40">
        <v>0</v>
      </c>
      <c r="Q30" s="40">
        <v>0</v>
      </c>
      <c r="R30" s="41"/>
      <c r="S30" s="40">
        <v>4200.0600000000004</v>
      </c>
      <c r="T30" s="40">
        <v>0</v>
      </c>
      <c r="U30" s="40">
        <v>0</v>
      </c>
      <c r="V30" s="40">
        <v>0</v>
      </c>
      <c r="W30" s="40">
        <v>18750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36">
        <f t="shared" si="0"/>
        <v>0</v>
      </c>
      <c r="AE30"/>
      <c r="AF30" s="37"/>
      <c r="AH30" s="1"/>
      <c r="AI30" s="1"/>
    </row>
    <row r="31" spans="1:36" x14ac:dyDescent="0.3">
      <c r="A31" s="38">
        <v>2</v>
      </c>
      <c r="B31" s="38" t="s">
        <v>672</v>
      </c>
      <c r="C31" s="38" t="s">
        <v>706</v>
      </c>
      <c r="D31" s="39">
        <v>45763</v>
      </c>
      <c r="E31" s="38" t="s">
        <v>40</v>
      </c>
      <c r="F31" s="38" t="s">
        <v>41</v>
      </c>
      <c r="G31" s="40">
        <v>0</v>
      </c>
      <c r="H31" s="40">
        <v>22950.06</v>
      </c>
      <c r="I31" s="40">
        <v>3672.01</v>
      </c>
      <c r="J31" s="40">
        <f t="shared" si="1"/>
        <v>26622.07</v>
      </c>
      <c r="K31" s="40">
        <v>0</v>
      </c>
      <c r="L31" s="40">
        <f t="shared" si="2"/>
        <v>26622.07</v>
      </c>
      <c r="M31" s="38" t="s">
        <v>35</v>
      </c>
      <c r="N31" s="54"/>
      <c r="O31" s="36"/>
      <c r="P31" s="40">
        <v>0</v>
      </c>
      <c r="Q31" s="40">
        <v>0</v>
      </c>
      <c r="R31" s="41"/>
      <c r="S31" s="40">
        <v>4200.0600000000004</v>
      </c>
      <c r="T31" s="40">
        <v>0</v>
      </c>
      <c r="U31" s="40">
        <v>0</v>
      </c>
      <c r="V31" s="40">
        <v>0</v>
      </c>
      <c r="W31" s="40">
        <v>18750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36">
        <f t="shared" si="0"/>
        <v>0</v>
      </c>
      <c r="AE31"/>
      <c r="AF31" s="37"/>
      <c r="AH31" s="1"/>
      <c r="AI31" s="1"/>
    </row>
    <row r="32" spans="1:36" x14ac:dyDescent="0.3">
      <c r="A32" s="38">
        <v>1</v>
      </c>
      <c r="B32" s="38" t="s">
        <v>674</v>
      </c>
      <c r="C32" s="38" t="s">
        <v>708</v>
      </c>
      <c r="D32" s="39">
        <v>45763</v>
      </c>
      <c r="E32" s="38" t="s">
        <v>42</v>
      </c>
      <c r="F32" t="s">
        <v>49</v>
      </c>
      <c r="G32" s="40">
        <v>442529</v>
      </c>
      <c r="H32" s="40">
        <v>42230.6</v>
      </c>
      <c r="I32" s="40">
        <v>6756.9</v>
      </c>
      <c r="J32" s="40">
        <f t="shared" si="1"/>
        <v>491516.5</v>
      </c>
      <c r="K32" s="40">
        <v>498044.34</v>
      </c>
      <c r="L32" s="40">
        <f t="shared" si="2"/>
        <v>-6527.8400000000256</v>
      </c>
      <c r="M32" s="38" t="s">
        <v>35</v>
      </c>
      <c r="N32" s="54"/>
      <c r="O32" s="36"/>
      <c r="P32" s="40">
        <v>0</v>
      </c>
      <c r="Q32" s="40">
        <v>442529</v>
      </c>
      <c r="R32" s="41"/>
      <c r="S32" s="40">
        <v>7730.6</v>
      </c>
      <c r="T32" s="40">
        <v>0</v>
      </c>
      <c r="U32" s="40">
        <v>34500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36">
        <f t="shared" si="0"/>
        <v>0</v>
      </c>
      <c r="AE32"/>
      <c r="AF32" s="37"/>
      <c r="AH32" s="1"/>
      <c r="AI32" s="1"/>
    </row>
    <row r="33" spans="1:35" x14ac:dyDescent="0.3">
      <c r="A33" s="38">
        <v>2</v>
      </c>
      <c r="B33" s="38" t="s">
        <v>675</v>
      </c>
      <c r="C33" s="38" t="s">
        <v>709</v>
      </c>
      <c r="D33" s="39">
        <v>45764</v>
      </c>
      <c r="E33" s="38" t="s">
        <v>198</v>
      </c>
      <c r="F33" t="s">
        <v>200</v>
      </c>
      <c r="G33" s="40">
        <v>0</v>
      </c>
      <c r="H33" s="40">
        <v>24110.76</v>
      </c>
      <c r="I33" s="40">
        <v>3857.72</v>
      </c>
      <c r="J33" s="40">
        <f t="shared" si="1"/>
        <v>27968.48</v>
      </c>
      <c r="K33" s="40">
        <v>27968.48</v>
      </c>
      <c r="L33" s="40">
        <f t="shared" si="2"/>
        <v>0</v>
      </c>
      <c r="M33" s="38" t="s">
        <v>35</v>
      </c>
      <c r="N33" s="54"/>
      <c r="O33" s="36"/>
      <c r="P33" s="40">
        <v>0</v>
      </c>
      <c r="Q33" s="40">
        <v>0</v>
      </c>
      <c r="R33" s="41"/>
      <c r="S33" s="40">
        <v>0</v>
      </c>
      <c r="T33" s="40">
        <v>0</v>
      </c>
      <c r="U33" s="40">
        <v>0</v>
      </c>
      <c r="V33" s="40">
        <v>0</v>
      </c>
      <c r="W33" s="40">
        <v>22000</v>
      </c>
      <c r="X33" s="40">
        <v>0</v>
      </c>
      <c r="Y33" s="40">
        <v>2110.7600000000002</v>
      </c>
      <c r="Z33" s="40">
        <v>0</v>
      </c>
      <c r="AA33" s="40">
        <v>0</v>
      </c>
      <c r="AB33" s="40">
        <v>0</v>
      </c>
      <c r="AC33" s="40">
        <v>0</v>
      </c>
      <c r="AD33" s="36">
        <f t="shared" si="0"/>
        <v>0</v>
      </c>
      <c r="AE33"/>
      <c r="AF33" s="37"/>
      <c r="AH33" s="1"/>
      <c r="AI33" s="1"/>
    </row>
    <row r="34" spans="1:35" x14ac:dyDescent="0.3">
      <c r="A34" s="38">
        <v>1</v>
      </c>
      <c r="B34" s="38" t="s">
        <v>676</v>
      </c>
      <c r="C34" s="38" t="s">
        <v>710</v>
      </c>
      <c r="D34" s="39">
        <v>45764</v>
      </c>
      <c r="E34" s="38" t="s">
        <v>42</v>
      </c>
      <c r="F34" t="s">
        <v>49</v>
      </c>
      <c r="G34" s="40">
        <v>454500</v>
      </c>
      <c r="H34" s="40">
        <v>42440.08</v>
      </c>
      <c r="I34" s="40">
        <v>6790.41</v>
      </c>
      <c r="J34" s="40">
        <f t="shared" si="1"/>
        <v>503730.49</v>
      </c>
      <c r="K34" s="40">
        <v>502149.56</v>
      </c>
      <c r="L34" s="40">
        <f t="shared" si="2"/>
        <v>1580.929999999993</v>
      </c>
      <c r="M34" s="38" t="s">
        <v>35</v>
      </c>
      <c r="N34" s="54"/>
      <c r="O34" s="36"/>
      <c r="P34" s="40">
        <v>0</v>
      </c>
      <c r="Q34" s="40">
        <v>454500</v>
      </c>
      <c r="R34" s="41"/>
      <c r="S34" s="40">
        <v>7940.08</v>
      </c>
      <c r="T34" s="40">
        <v>0</v>
      </c>
      <c r="U34" s="40">
        <v>34500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36">
        <f t="shared" ref="AD34:AD65" si="4">+SUM(S34:AC34)-H34</f>
        <v>0</v>
      </c>
      <c r="AE34"/>
      <c r="AF34" s="37"/>
      <c r="AH34" s="1"/>
      <c r="AI34" s="1"/>
    </row>
    <row r="35" spans="1:35" x14ac:dyDescent="0.3">
      <c r="A35" s="38">
        <v>2</v>
      </c>
      <c r="B35" s="38" t="s">
        <v>677</v>
      </c>
      <c r="C35" s="38" t="s">
        <v>711</v>
      </c>
      <c r="D35" s="39">
        <v>45764</v>
      </c>
      <c r="E35" s="38" t="s">
        <v>22</v>
      </c>
      <c r="F35" s="38" t="s">
        <v>403</v>
      </c>
      <c r="G35" s="40">
        <v>336</v>
      </c>
      <c r="H35" s="40">
        <v>4098.3999999999996</v>
      </c>
      <c r="I35" s="40">
        <v>655.74</v>
      </c>
      <c r="J35" s="40">
        <f t="shared" si="1"/>
        <v>5090.1399999999994</v>
      </c>
      <c r="K35" s="40">
        <v>5090.1400000000003</v>
      </c>
      <c r="L35" s="40">
        <f t="shared" si="2"/>
        <v>0</v>
      </c>
      <c r="M35" s="38" t="s">
        <v>35</v>
      </c>
      <c r="N35" s="54"/>
      <c r="O35" s="36"/>
      <c r="P35" s="40">
        <v>0</v>
      </c>
      <c r="Q35" s="40">
        <v>336</v>
      </c>
      <c r="R35" s="41"/>
      <c r="S35" s="40">
        <v>4098.3999999999996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36">
        <f t="shared" si="4"/>
        <v>0</v>
      </c>
      <c r="AE35"/>
      <c r="AF35" s="37"/>
      <c r="AH35" s="1"/>
      <c r="AI35" s="1"/>
    </row>
    <row r="36" spans="1:35" x14ac:dyDescent="0.3">
      <c r="A36" s="38">
        <v>1</v>
      </c>
      <c r="B36" s="38" t="s">
        <v>678</v>
      </c>
      <c r="C36" s="38" t="s">
        <v>712</v>
      </c>
      <c r="D36" s="39">
        <v>45764</v>
      </c>
      <c r="E36" s="38" t="s">
        <v>22</v>
      </c>
      <c r="F36" s="38" t="s">
        <v>403</v>
      </c>
      <c r="G36" s="40">
        <v>336</v>
      </c>
      <c r="H36" s="40">
        <v>16500</v>
      </c>
      <c r="I36" s="40">
        <v>2640</v>
      </c>
      <c r="J36" s="40">
        <f t="shared" si="1"/>
        <v>19476</v>
      </c>
      <c r="K36" s="40">
        <v>19476</v>
      </c>
      <c r="L36" s="40">
        <f t="shared" si="2"/>
        <v>0</v>
      </c>
      <c r="M36" s="38" t="s">
        <v>35</v>
      </c>
      <c r="N36" s="54"/>
      <c r="O36" s="36"/>
      <c r="P36" s="40">
        <v>0</v>
      </c>
      <c r="Q36" s="40">
        <v>336</v>
      </c>
      <c r="R36" s="41"/>
      <c r="S36" s="40">
        <v>12000</v>
      </c>
      <c r="T36" s="40">
        <v>0</v>
      </c>
      <c r="U36" s="40">
        <v>4500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36">
        <f t="shared" si="4"/>
        <v>0</v>
      </c>
      <c r="AE36"/>
      <c r="AF36" s="37"/>
      <c r="AH36" s="1"/>
      <c r="AI36" s="1"/>
    </row>
    <row r="37" spans="1:35" x14ac:dyDescent="0.3">
      <c r="A37" s="38">
        <v>2</v>
      </c>
      <c r="B37" s="38" t="s">
        <v>679</v>
      </c>
      <c r="C37" s="38" t="s">
        <v>713</v>
      </c>
      <c r="D37" s="39">
        <v>45768</v>
      </c>
      <c r="E37" s="38" t="s">
        <v>22</v>
      </c>
      <c r="F37" s="38" t="s">
        <v>403</v>
      </c>
      <c r="G37" s="40">
        <v>336</v>
      </c>
      <c r="H37" s="40">
        <v>7100</v>
      </c>
      <c r="I37" s="40">
        <v>1136</v>
      </c>
      <c r="J37" s="40">
        <f t="shared" si="1"/>
        <v>8572</v>
      </c>
      <c r="K37" s="40">
        <v>8572</v>
      </c>
      <c r="L37" s="40">
        <f t="shared" si="2"/>
        <v>0</v>
      </c>
      <c r="M37" s="38" t="s">
        <v>35</v>
      </c>
      <c r="N37" s="54"/>
      <c r="O37" s="36"/>
      <c r="P37" s="40">
        <v>0</v>
      </c>
      <c r="Q37" s="40">
        <v>336</v>
      </c>
      <c r="R37" s="41"/>
      <c r="S37" s="40">
        <v>3150</v>
      </c>
      <c r="T37" s="40">
        <v>0</v>
      </c>
      <c r="U37" s="40">
        <v>0</v>
      </c>
      <c r="V37" s="40">
        <v>0</v>
      </c>
      <c r="W37" s="40">
        <v>3950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36">
        <f t="shared" si="4"/>
        <v>0</v>
      </c>
      <c r="AE37"/>
      <c r="AF37" s="37"/>
      <c r="AH37" s="1"/>
      <c r="AI37" s="1"/>
    </row>
    <row r="38" spans="1:35" x14ac:dyDescent="0.3">
      <c r="A38" s="38">
        <v>2</v>
      </c>
      <c r="B38" s="38" t="s">
        <v>680</v>
      </c>
      <c r="C38" s="50" t="s">
        <v>714</v>
      </c>
      <c r="D38" s="39">
        <v>45768</v>
      </c>
      <c r="E38" s="38" t="s">
        <v>22</v>
      </c>
      <c r="F38" s="38" t="s">
        <v>403</v>
      </c>
      <c r="G38" s="40">
        <v>336</v>
      </c>
      <c r="H38" s="40">
        <v>7100</v>
      </c>
      <c r="I38" s="40">
        <v>1136</v>
      </c>
      <c r="J38" s="40">
        <f t="shared" si="1"/>
        <v>8572</v>
      </c>
      <c r="K38" s="40">
        <v>8572</v>
      </c>
      <c r="L38" s="40">
        <f t="shared" si="2"/>
        <v>0</v>
      </c>
      <c r="M38" s="38" t="s">
        <v>35</v>
      </c>
      <c r="N38" s="54"/>
      <c r="O38" s="36"/>
      <c r="P38" s="40">
        <v>0</v>
      </c>
      <c r="Q38" s="40">
        <v>336</v>
      </c>
      <c r="R38" s="41"/>
      <c r="S38" s="40">
        <v>3150</v>
      </c>
      <c r="T38" s="40">
        <v>0</v>
      </c>
      <c r="U38" s="40">
        <v>0</v>
      </c>
      <c r="V38" s="40">
        <v>0</v>
      </c>
      <c r="W38" s="40">
        <v>3950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36">
        <f t="shared" si="4"/>
        <v>0</v>
      </c>
      <c r="AE38"/>
      <c r="AF38" s="37"/>
      <c r="AH38" s="1"/>
      <c r="AI38" s="1"/>
    </row>
    <row r="39" spans="1:35" x14ac:dyDescent="0.3">
      <c r="A39" s="38">
        <v>2</v>
      </c>
      <c r="B39" s="38" t="s">
        <v>681</v>
      </c>
      <c r="C39" s="50" t="s">
        <v>715</v>
      </c>
      <c r="D39" s="39">
        <v>45769</v>
      </c>
      <c r="E39" s="38" t="s">
        <v>40</v>
      </c>
      <c r="F39" t="s">
        <v>41</v>
      </c>
      <c r="G39" s="40">
        <v>0</v>
      </c>
      <c r="H39" s="40">
        <v>22770.5</v>
      </c>
      <c r="I39" s="40">
        <v>3643.28</v>
      </c>
      <c r="J39" s="40">
        <f t="shared" si="1"/>
        <v>26413.78</v>
      </c>
      <c r="K39" s="40">
        <v>0</v>
      </c>
      <c r="L39" s="40">
        <f t="shared" si="2"/>
        <v>26413.78</v>
      </c>
      <c r="M39" s="38" t="s">
        <v>35</v>
      </c>
      <c r="N39" s="54"/>
      <c r="O39" s="36"/>
      <c r="P39" s="40">
        <v>0</v>
      </c>
      <c r="Q39" s="40">
        <v>0</v>
      </c>
      <c r="R39" s="41"/>
      <c r="S39" s="40">
        <v>4020.5</v>
      </c>
      <c r="T39" s="40">
        <v>0</v>
      </c>
      <c r="U39" s="40">
        <v>0</v>
      </c>
      <c r="V39" s="40">
        <v>0</v>
      </c>
      <c r="W39" s="40">
        <v>18750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36">
        <f t="shared" si="4"/>
        <v>0</v>
      </c>
      <c r="AE39"/>
      <c r="AF39" s="37"/>
      <c r="AH39" s="1"/>
      <c r="AI39" s="1"/>
    </row>
    <row r="40" spans="1:35" x14ac:dyDescent="0.3">
      <c r="A40" s="38">
        <v>2</v>
      </c>
      <c r="B40" s="38" t="s">
        <v>682</v>
      </c>
      <c r="C40" s="50" t="s">
        <v>716</v>
      </c>
      <c r="D40" s="39">
        <v>45769</v>
      </c>
      <c r="E40" s="38" t="s">
        <v>40</v>
      </c>
      <c r="F40" t="s">
        <v>41</v>
      </c>
      <c r="G40" s="40">
        <v>0</v>
      </c>
      <c r="H40" s="40">
        <v>22817.26</v>
      </c>
      <c r="I40" s="40">
        <v>3650.76</v>
      </c>
      <c r="J40" s="40">
        <f t="shared" si="1"/>
        <v>26468.019999999997</v>
      </c>
      <c r="K40" s="40">
        <v>0</v>
      </c>
      <c r="L40" s="40">
        <f t="shared" si="2"/>
        <v>26468.019999999997</v>
      </c>
      <c r="M40" s="38" t="s">
        <v>35</v>
      </c>
      <c r="N40" s="54"/>
      <c r="O40" s="36"/>
      <c r="P40" s="40">
        <v>0</v>
      </c>
      <c r="Q40" s="40">
        <v>0</v>
      </c>
      <c r="R40" s="41"/>
      <c r="S40" s="40">
        <v>4067.26</v>
      </c>
      <c r="T40" s="40">
        <v>0</v>
      </c>
      <c r="U40" s="40">
        <v>0</v>
      </c>
      <c r="V40" s="40">
        <v>0</v>
      </c>
      <c r="W40" s="40">
        <v>18750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36">
        <f t="shared" si="4"/>
        <v>0</v>
      </c>
      <c r="AE40"/>
      <c r="AF40" s="37"/>
      <c r="AH40" s="1"/>
      <c r="AI40" s="1"/>
    </row>
    <row r="41" spans="1:35" x14ac:dyDescent="0.3">
      <c r="A41" s="38">
        <v>2</v>
      </c>
      <c r="B41" s="38" t="s">
        <v>683</v>
      </c>
      <c r="C41" s="38" t="s">
        <v>717</v>
      </c>
      <c r="D41" s="39">
        <v>45769</v>
      </c>
      <c r="E41" s="38" t="s">
        <v>22</v>
      </c>
      <c r="F41" s="38" t="s">
        <v>403</v>
      </c>
      <c r="G41" s="40">
        <v>8803</v>
      </c>
      <c r="H41" s="40">
        <v>5604.26</v>
      </c>
      <c r="I41" s="40">
        <v>896.68</v>
      </c>
      <c r="J41" s="40">
        <f t="shared" si="1"/>
        <v>15303.94</v>
      </c>
      <c r="K41" s="40">
        <v>13447.94</v>
      </c>
      <c r="L41" s="40">
        <f t="shared" si="2"/>
        <v>1856</v>
      </c>
      <c r="M41" s="38" t="s">
        <v>35</v>
      </c>
      <c r="N41" s="54"/>
      <c r="O41" s="36"/>
      <c r="P41" s="40">
        <v>0</v>
      </c>
      <c r="Q41" s="40">
        <v>8803</v>
      </c>
      <c r="R41" s="41"/>
      <c r="S41" s="40">
        <v>4004.26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1600</v>
      </c>
      <c r="AC41" s="40">
        <v>0</v>
      </c>
      <c r="AD41" s="36">
        <f t="shared" si="4"/>
        <v>0</v>
      </c>
      <c r="AE41"/>
      <c r="AF41" s="37"/>
      <c r="AH41" s="1"/>
      <c r="AI41" s="1"/>
    </row>
    <row r="42" spans="1:35" x14ac:dyDescent="0.3">
      <c r="A42" s="38">
        <v>1</v>
      </c>
      <c r="B42" s="38" t="s">
        <v>684</v>
      </c>
      <c r="C42" s="50" t="s">
        <v>718</v>
      </c>
      <c r="D42" s="39">
        <v>45769</v>
      </c>
      <c r="E42" s="38" t="s">
        <v>42</v>
      </c>
      <c r="F42" t="s">
        <v>49</v>
      </c>
      <c r="G42" s="40">
        <v>336</v>
      </c>
      <c r="H42" s="40">
        <v>61356.28</v>
      </c>
      <c r="I42" s="40">
        <v>9817</v>
      </c>
      <c r="J42" s="40">
        <f t="shared" si="1"/>
        <v>71509.279999999999</v>
      </c>
      <c r="K42" s="40">
        <v>72993.36</v>
      </c>
      <c r="L42" s="40">
        <f t="shared" si="2"/>
        <v>-1484.0800000000017</v>
      </c>
      <c r="M42" s="38" t="s">
        <v>35</v>
      </c>
      <c r="N42" s="54"/>
      <c r="O42" s="36"/>
      <c r="P42" s="40">
        <v>0</v>
      </c>
      <c r="Q42" s="40">
        <v>336</v>
      </c>
      <c r="R42" s="41"/>
      <c r="S42" s="40">
        <v>29009.58</v>
      </c>
      <c r="T42" s="40">
        <v>0</v>
      </c>
      <c r="U42" s="40">
        <v>25000</v>
      </c>
      <c r="V42" s="40">
        <v>7346.7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36">
        <f t="shared" si="4"/>
        <v>0</v>
      </c>
      <c r="AE42"/>
      <c r="AF42" s="37"/>
      <c r="AH42" s="1"/>
      <c r="AI42" s="1"/>
    </row>
    <row r="43" spans="1:35" x14ac:dyDescent="0.3">
      <c r="A43" s="38">
        <v>1</v>
      </c>
      <c r="B43" s="38" t="s">
        <v>685</v>
      </c>
      <c r="C43" s="38" t="s">
        <v>719</v>
      </c>
      <c r="D43" s="39">
        <v>45770</v>
      </c>
      <c r="E43" s="38" t="s">
        <v>42</v>
      </c>
      <c r="F43" t="s">
        <v>49</v>
      </c>
      <c r="G43" s="40">
        <v>781</v>
      </c>
      <c r="H43" s="40">
        <v>41216.19</v>
      </c>
      <c r="I43" s="40">
        <v>6594.59</v>
      </c>
      <c r="J43" s="40">
        <f t="shared" si="1"/>
        <v>48591.78</v>
      </c>
      <c r="K43" s="40">
        <v>48805.21</v>
      </c>
      <c r="L43" s="40">
        <f t="shared" si="2"/>
        <v>-213.43000000000029</v>
      </c>
      <c r="M43" s="38" t="s">
        <v>35</v>
      </c>
      <c r="N43" s="54"/>
      <c r="O43" s="36"/>
      <c r="P43" s="40">
        <v>0</v>
      </c>
      <c r="Q43" s="40">
        <v>781</v>
      </c>
      <c r="R43" s="41"/>
      <c r="S43" s="40">
        <v>6206.01</v>
      </c>
      <c r="T43" s="40">
        <v>0</v>
      </c>
      <c r="U43" s="40">
        <v>20000</v>
      </c>
      <c r="V43" s="40">
        <v>2010.18</v>
      </c>
      <c r="W43" s="40">
        <v>13000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36">
        <f t="shared" si="4"/>
        <v>0</v>
      </c>
      <c r="AE43"/>
      <c r="AF43" s="37"/>
      <c r="AH43" s="1"/>
      <c r="AI43" s="1"/>
    </row>
    <row r="44" spans="1:35" x14ac:dyDescent="0.3">
      <c r="A44" s="38">
        <v>2</v>
      </c>
      <c r="B44" s="38" t="s">
        <v>686</v>
      </c>
      <c r="C44" s="38" t="s">
        <v>720</v>
      </c>
      <c r="D44" s="39">
        <v>45771</v>
      </c>
      <c r="E44" s="38" t="s">
        <v>22</v>
      </c>
      <c r="F44" s="38" t="s">
        <v>403</v>
      </c>
      <c r="G44" s="40">
        <v>13998</v>
      </c>
      <c r="H44" s="40">
        <v>4004.26</v>
      </c>
      <c r="I44" s="40">
        <v>640.67999999999995</v>
      </c>
      <c r="J44" s="40">
        <f t="shared" si="1"/>
        <v>18642.940000000002</v>
      </c>
      <c r="K44" s="40">
        <v>18675.939999999999</v>
      </c>
      <c r="L44" s="40">
        <f t="shared" si="2"/>
        <v>-32.999999999996362</v>
      </c>
      <c r="M44" s="38" t="s">
        <v>35</v>
      </c>
      <c r="N44" s="54"/>
      <c r="O44" s="36"/>
      <c r="P44" s="40">
        <v>0</v>
      </c>
      <c r="Q44" s="40">
        <v>13998</v>
      </c>
      <c r="R44" s="41"/>
      <c r="S44" s="40">
        <v>4004.26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36">
        <f t="shared" si="4"/>
        <v>0</v>
      </c>
      <c r="AE44"/>
      <c r="AF44" s="37"/>
      <c r="AH44" s="1"/>
      <c r="AI44" s="1"/>
    </row>
    <row r="45" spans="1:35" x14ac:dyDescent="0.3">
      <c r="A45" s="38">
        <v>2</v>
      </c>
      <c r="B45" s="38" t="s">
        <v>687</v>
      </c>
      <c r="C45" s="38" t="s">
        <v>721</v>
      </c>
      <c r="D45" s="39">
        <v>45771</v>
      </c>
      <c r="E45" s="38" t="s">
        <v>198</v>
      </c>
      <c r="F45" t="s">
        <v>200</v>
      </c>
      <c r="G45" s="40">
        <v>0</v>
      </c>
      <c r="H45" s="40">
        <v>22000</v>
      </c>
      <c r="I45" s="40">
        <v>3520</v>
      </c>
      <c r="J45" s="40">
        <f t="shared" si="1"/>
        <v>25520</v>
      </c>
      <c r="K45" s="40">
        <v>25520</v>
      </c>
      <c r="L45" s="40">
        <f t="shared" si="2"/>
        <v>0</v>
      </c>
      <c r="M45" s="38" t="s">
        <v>35</v>
      </c>
      <c r="N45" s="54"/>
      <c r="O45" s="36"/>
      <c r="P45" s="40">
        <v>0</v>
      </c>
      <c r="Q45" s="40">
        <v>0</v>
      </c>
      <c r="R45" s="41"/>
      <c r="S45" s="40">
        <v>0</v>
      </c>
      <c r="T45" s="40">
        <v>0</v>
      </c>
      <c r="U45" s="40">
        <v>0</v>
      </c>
      <c r="V45" s="40">
        <v>0</v>
      </c>
      <c r="W45" s="40">
        <v>22000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36">
        <f t="shared" si="4"/>
        <v>0</v>
      </c>
      <c r="AE45"/>
      <c r="AF45" s="37"/>
      <c r="AH45" s="1"/>
      <c r="AI45" s="1"/>
    </row>
    <row r="46" spans="1:35" x14ac:dyDescent="0.3">
      <c r="A46" s="38">
        <v>1</v>
      </c>
      <c r="B46" s="38" t="s">
        <v>688</v>
      </c>
      <c r="C46" s="38" t="s">
        <v>722</v>
      </c>
      <c r="D46" s="39">
        <v>45771</v>
      </c>
      <c r="E46" s="38" t="s">
        <v>42</v>
      </c>
      <c r="F46" t="s">
        <v>49</v>
      </c>
      <c r="G46" s="40">
        <v>424975</v>
      </c>
      <c r="H46" s="40">
        <v>41923.370000000003</v>
      </c>
      <c r="I46" s="40">
        <v>6707.74</v>
      </c>
      <c r="J46" s="40">
        <f t="shared" si="1"/>
        <v>473606.11</v>
      </c>
      <c r="K46" s="40">
        <v>476388.05</v>
      </c>
      <c r="L46" s="40">
        <f t="shared" si="2"/>
        <v>-2781.9400000000023</v>
      </c>
      <c r="M46" s="38" t="s">
        <v>35</v>
      </c>
      <c r="N46" s="54"/>
      <c r="O46" s="36"/>
      <c r="P46" s="40">
        <v>0</v>
      </c>
      <c r="Q46" s="40">
        <v>424975</v>
      </c>
      <c r="R46" s="41"/>
      <c r="S46" s="40">
        <v>7423.37</v>
      </c>
      <c r="T46" s="40">
        <v>0</v>
      </c>
      <c r="U46" s="40">
        <v>34500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36">
        <f t="shared" si="4"/>
        <v>0</v>
      </c>
      <c r="AE46"/>
      <c r="AF46" s="37"/>
      <c r="AH46" s="1"/>
      <c r="AI46" s="1"/>
    </row>
    <row r="47" spans="1:35" x14ac:dyDescent="0.3">
      <c r="A47" s="38">
        <v>1</v>
      </c>
      <c r="B47" s="38" t="s">
        <v>689</v>
      </c>
      <c r="C47" s="50" t="s">
        <v>723</v>
      </c>
      <c r="D47" s="39">
        <v>45772</v>
      </c>
      <c r="E47" s="38" t="s">
        <v>40</v>
      </c>
      <c r="F47" s="38" t="s">
        <v>41</v>
      </c>
      <c r="G47" s="40">
        <v>0</v>
      </c>
      <c r="H47" s="40">
        <v>47161.18</v>
      </c>
      <c r="I47" s="40">
        <v>7545.79</v>
      </c>
      <c r="J47" s="40">
        <f t="shared" si="1"/>
        <v>54706.97</v>
      </c>
      <c r="K47" s="40">
        <v>0</v>
      </c>
      <c r="L47" s="40">
        <f t="shared" si="2"/>
        <v>54706.97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4153.0600000000004</v>
      </c>
      <c r="T47" s="40">
        <v>3737.5</v>
      </c>
      <c r="U47" s="40">
        <v>25791.05</v>
      </c>
      <c r="V47" s="40">
        <v>979.57</v>
      </c>
      <c r="W47" s="40">
        <v>12500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36">
        <f t="shared" si="4"/>
        <v>0</v>
      </c>
      <c r="AE47"/>
      <c r="AF47" s="37"/>
      <c r="AH47" s="1"/>
      <c r="AI47" s="1"/>
    </row>
    <row r="48" spans="1:35" x14ac:dyDescent="0.3">
      <c r="A48" s="38">
        <v>2</v>
      </c>
      <c r="B48" s="38" t="s">
        <v>690</v>
      </c>
      <c r="C48" s="38" t="s">
        <v>724</v>
      </c>
      <c r="D48" s="39">
        <v>45775</v>
      </c>
      <c r="E48" s="38" t="s">
        <v>22</v>
      </c>
      <c r="F48" s="38" t="s">
        <v>403</v>
      </c>
      <c r="G48" s="40">
        <v>1743</v>
      </c>
      <c r="H48" s="40">
        <v>3913.76</v>
      </c>
      <c r="I48" s="40">
        <v>626.20000000000005</v>
      </c>
      <c r="J48" s="40">
        <f t="shared" si="1"/>
        <v>6282.96</v>
      </c>
      <c r="K48" s="40">
        <v>6282.96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1743</v>
      </c>
      <c r="R48" s="41"/>
      <c r="S48" s="40">
        <v>3913.76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36">
        <f t="shared" si="4"/>
        <v>0</v>
      </c>
      <c r="AE48"/>
      <c r="AF48" s="37"/>
      <c r="AH48" s="1"/>
      <c r="AI48" s="1"/>
    </row>
    <row r="49" spans="1:35" x14ac:dyDescent="0.3">
      <c r="A49" s="38">
        <v>1</v>
      </c>
      <c r="B49" s="38" t="s">
        <v>691</v>
      </c>
      <c r="C49" s="38" t="s">
        <v>725</v>
      </c>
      <c r="D49" s="39">
        <v>45775</v>
      </c>
      <c r="E49" s="38" t="s">
        <v>22</v>
      </c>
      <c r="F49" s="38" t="s">
        <v>403</v>
      </c>
      <c r="G49" s="40">
        <v>631</v>
      </c>
      <c r="H49" s="40">
        <v>8500</v>
      </c>
      <c r="I49" s="40">
        <v>1360</v>
      </c>
      <c r="J49" s="40">
        <f t="shared" si="1"/>
        <v>10491</v>
      </c>
      <c r="K49" s="40">
        <v>10880.4</v>
      </c>
      <c r="L49" s="40">
        <f t="shared" si="2"/>
        <v>-389.39999999999964</v>
      </c>
      <c r="M49" s="38" t="s">
        <v>35</v>
      </c>
      <c r="N49" s="54"/>
      <c r="O49" s="36"/>
      <c r="P49" s="40">
        <v>295</v>
      </c>
      <c r="Q49" s="40">
        <v>336</v>
      </c>
      <c r="R49" s="41"/>
      <c r="S49" s="40">
        <v>6000</v>
      </c>
      <c r="T49" s="40">
        <v>0</v>
      </c>
      <c r="U49" s="40">
        <v>2500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36">
        <f t="shared" si="4"/>
        <v>0</v>
      </c>
      <c r="AE49"/>
      <c r="AF49" s="37"/>
      <c r="AH49" s="1"/>
      <c r="AI49" s="1"/>
    </row>
    <row r="50" spans="1:35" x14ac:dyDescent="0.3">
      <c r="A50" s="38">
        <v>1</v>
      </c>
      <c r="B50" s="38" t="s">
        <v>692</v>
      </c>
      <c r="C50" s="50" t="s">
        <v>726</v>
      </c>
      <c r="D50" s="39">
        <v>45775</v>
      </c>
      <c r="E50" s="38" t="s">
        <v>40</v>
      </c>
      <c r="F50" s="38" t="s">
        <v>41</v>
      </c>
      <c r="G50" s="40">
        <v>0</v>
      </c>
      <c r="H50" s="40">
        <v>3540</v>
      </c>
      <c r="I50" s="40">
        <v>566.4</v>
      </c>
      <c r="J50" s="40">
        <f t="shared" si="1"/>
        <v>4106.3999999999996</v>
      </c>
      <c r="K50" s="40">
        <v>0</v>
      </c>
      <c r="L50" s="40">
        <f t="shared" si="2"/>
        <v>4106.3999999999996</v>
      </c>
      <c r="M50" s="38" t="s">
        <v>35</v>
      </c>
      <c r="N50" s="54"/>
      <c r="O50" s="36"/>
      <c r="P50" s="40">
        <v>0</v>
      </c>
      <c r="Q50" s="40">
        <v>0</v>
      </c>
      <c r="R50" s="41"/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3540</v>
      </c>
      <c r="AB50" s="40">
        <v>0</v>
      </c>
      <c r="AC50" s="40">
        <v>0</v>
      </c>
      <c r="AD50" s="36">
        <f t="shared" si="4"/>
        <v>0</v>
      </c>
      <c r="AE50"/>
      <c r="AF50" s="37"/>
      <c r="AH50" s="1"/>
      <c r="AI50" s="1"/>
    </row>
    <row r="51" spans="1:35" x14ac:dyDescent="0.3">
      <c r="A51" s="38">
        <v>1</v>
      </c>
      <c r="B51" s="38" t="s">
        <v>693</v>
      </c>
      <c r="C51" s="50" t="s">
        <v>727</v>
      </c>
      <c r="D51" s="39">
        <v>45775</v>
      </c>
      <c r="E51" s="38" t="s">
        <v>40</v>
      </c>
      <c r="F51" s="38" t="s">
        <v>41</v>
      </c>
      <c r="G51" s="40">
        <v>0</v>
      </c>
      <c r="H51" s="40">
        <v>3540</v>
      </c>
      <c r="I51" s="40">
        <v>566.4</v>
      </c>
      <c r="J51" s="40">
        <f t="shared" si="1"/>
        <v>4106.3999999999996</v>
      </c>
      <c r="K51" s="40">
        <v>0</v>
      </c>
      <c r="L51" s="40">
        <f t="shared" si="2"/>
        <v>4106.3999999999996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3540</v>
      </c>
      <c r="AB51" s="40">
        <v>0</v>
      </c>
      <c r="AC51" s="40">
        <v>0</v>
      </c>
      <c r="AD51" s="36">
        <f t="shared" si="4"/>
        <v>0</v>
      </c>
      <c r="AE51"/>
      <c r="AF51" s="37"/>
      <c r="AH51" s="1"/>
      <c r="AI51" s="1"/>
    </row>
    <row r="52" spans="1:35" x14ac:dyDescent="0.3">
      <c r="A52" s="38">
        <v>2</v>
      </c>
      <c r="B52" s="38" t="s">
        <v>694</v>
      </c>
      <c r="C52" s="38" t="s">
        <v>728</v>
      </c>
      <c r="D52" s="39">
        <v>45775</v>
      </c>
      <c r="E52" s="38" t="s">
        <v>40</v>
      </c>
      <c r="F52" s="38" t="s">
        <v>41</v>
      </c>
      <c r="G52" s="40">
        <v>0</v>
      </c>
      <c r="H52" s="40">
        <v>41500</v>
      </c>
      <c r="I52" s="40">
        <v>6640</v>
      </c>
      <c r="J52" s="40">
        <f t="shared" si="1"/>
        <v>48140</v>
      </c>
      <c r="K52" s="40">
        <v>0</v>
      </c>
      <c r="L52" s="40">
        <f t="shared" si="2"/>
        <v>48140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4000</v>
      </c>
      <c r="T52" s="40">
        <v>0</v>
      </c>
      <c r="U52" s="40">
        <v>0</v>
      </c>
      <c r="V52" s="40">
        <v>0</v>
      </c>
      <c r="W52" s="40">
        <v>37500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36">
        <f t="shared" si="4"/>
        <v>0</v>
      </c>
      <c r="AE52"/>
      <c r="AF52" s="37"/>
      <c r="AH52" s="1"/>
      <c r="AI52" s="1"/>
    </row>
    <row r="53" spans="1:35" x14ac:dyDescent="0.3">
      <c r="A53" s="38">
        <v>2</v>
      </c>
      <c r="B53" s="2" t="s">
        <v>695</v>
      </c>
      <c r="C53" s="50" t="s">
        <v>729</v>
      </c>
      <c r="D53" s="39">
        <v>45775</v>
      </c>
      <c r="E53" s="38" t="s">
        <v>40</v>
      </c>
      <c r="F53" s="38" t="s">
        <v>41</v>
      </c>
      <c r="G53" s="40">
        <v>0</v>
      </c>
      <c r="H53" s="40">
        <v>5500</v>
      </c>
      <c r="I53" s="40">
        <v>880</v>
      </c>
      <c r="J53" s="40">
        <f t="shared" si="1"/>
        <v>6380</v>
      </c>
      <c r="K53" s="40">
        <v>0</v>
      </c>
      <c r="L53" s="40">
        <f t="shared" si="2"/>
        <v>6380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2900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1200</v>
      </c>
      <c r="AC53" s="40">
        <v>1400</v>
      </c>
      <c r="AD53" s="36">
        <f t="shared" si="4"/>
        <v>0</v>
      </c>
      <c r="AE53"/>
      <c r="AF53" s="37"/>
      <c r="AH53" s="1"/>
      <c r="AI53" s="1"/>
    </row>
    <row r="54" spans="1:35" x14ac:dyDescent="0.3">
      <c r="A54" s="38">
        <v>1</v>
      </c>
      <c r="B54" s="2" t="s">
        <v>696</v>
      </c>
      <c r="C54" s="38" t="s">
        <v>730</v>
      </c>
      <c r="D54" s="39">
        <v>45775</v>
      </c>
      <c r="E54" s="38" t="s">
        <v>40</v>
      </c>
      <c r="F54" s="38" t="s">
        <v>41</v>
      </c>
      <c r="G54" s="40">
        <v>0</v>
      </c>
      <c r="H54" s="40">
        <v>20879.54</v>
      </c>
      <c r="I54" s="40">
        <v>3340.72</v>
      </c>
      <c r="J54" s="40">
        <f t="shared" si="1"/>
        <v>24220.260000000002</v>
      </c>
      <c r="K54" s="40">
        <v>0</v>
      </c>
      <c r="L54" s="40">
        <f t="shared" si="2"/>
        <v>24220.260000000002</v>
      </c>
      <c r="M54" s="38" t="s">
        <v>35</v>
      </c>
      <c r="N54" s="54"/>
      <c r="O54" s="36"/>
      <c r="P54" s="40">
        <v>0</v>
      </c>
      <c r="Q54" s="40">
        <v>0</v>
      </c>
      <c r="R54" s="41"/>
      <c r="S54" s="40">
        <v>4153.0600000000004</v>
      </c>
      <c r="T54" s="40">
        <v>882.28</v>
      </c>
      <c r="U54" s="40">
        <v>3536.25</v>
      </c>
      <c r="V54" s="40">
        <v>832.95</v>
      </c>
      <c r="W54" s="40">
        <v>11475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36">
        <f t="shared" si="4"/>
        <v>0</v>
      </c>
      <c r="AE54"/>
      <c r="AF54" s="37"/>
      <c r="AH54" s="1"/>
      <c r="AI54" s="1"/>
    </row>
    <row r="55" spans="1:35" x14ac:dyDescent="0.3">
      <c r="A55" s="38">
        <v>2</v>
      </c>
      <c r="B55" s="2" t="s">
        <v>697</v>
      </c>
      <c r="C55" s="38" t="s">
        <v>731</v>
      </c>
      <c r="D55" s="39">
        <v>45775</v>
      </c>
      <c r="E55" s="38" t="s">
        <v>53</v>
      </c>
      <c r="F55" s="38" t="s">
        <v>199</v>
      </c>
      <c r="G55" s="40">
        <v>782</v>
      </c>
      <c r="H55" s="40">
        <v>7781.2</v>
      </c>
      <c r="I55" s="40">
        <v>1244.99</v>
      </c>
      <c r="J55" s="40">
        <f t="shared" si="1"/>
        <v>9808.19</v>
      </c>
      <c r="K55" s="40">
        <v>9808.19</v>
      </c>
      <c r="L55" s="40">
        <f t="shared" si="2"/>
        <v>0</v>
      </c>
      <c r="M55" s="38" t="s">
        <v>35</v>
      </c>
      <c r="N55" s="54"/>
      <c r="O55" s="36"/>
      <c r="P55" s="40">
        <v>0</v>
      </c>
      <c r="Q55" s="40">
        <v>782</v>
      </c>
      <c r="R55" s="41"/>
      <c r="S55" s="40">
        <v>7781.2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36">
        <f t="shared" si="4"/>
        <v>0</v>
      </c>
      <c r="AE55"/>
      <c r="AF55" s="37"/>
      <c r="AH55" s="1"/>
      <c r="AI55" s="1"/>
    </row>
    <row r="56" spans="1:35" x14ac:dyDescent="0.3">
      <c r="A56" s="38">
        <v>2</v>
      </c>
      <c r="B56" s="2" t="s">
        <v>698</v>
      </c>
      <c r="C56" s="50" t="s">
        <v>732</v>
      </c>
      <c r="D56" s="39">
        <v>45775</v>
      </c>
      <c r="E56" s="38" t="s">
        <v>198</v>
      </c>
      <c r="F56" t="s">
        <v>200</v>
      </c>
      <c r="G56" s="40">
        <v>0</v>
      </c>
      <c r="H56" s="40">
        <v>22000</v>
      </c>
      <c r="I56" s="40">
        <v>3520</v>
      </c>
      <c r="J56" s="40">
        <f t="shared" si="1"/>
        <v>25520</v>
      </c>
      <c r="K56" s="40">
        <v>25520</v>
      </c>
      <c r="L56" s="40">
        <f t="shared" si="2"/>
        <v>0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0</v>
      </c>
      <c r="T56" s="40">
        <v>0</v>
      </c>
      <c r="U56" s="40">
        <v>0</v>
      </c>
      <c r="V56" s="40">
        <v>0</v>
      </c>
      <c r="W56" s="40">
        <v>22000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36">
        <f t="shared" si="4"/>
        <v>0</v>
      </c>
      <c r="AE56"/>
      <c r="AF56" s="37"/>
      <c r="AH56" s="1"/>
      <c r="AI56" s="1"/>
    </row>
    <row r="57" spans="1:35" x14ac:dyDescent="0.3">
      <c r="A57" s="38">
        <v>2</v>
      </c>
      <c r="B57" s="2" t="s">
        <v>699</v>
      </c>
      <c r="C57" s="50" t="s">
        <v>733</v>
      </c>
      <c r="D57" s="39">
        <v>45775</v>
      </c>
      <c r="E57" s="38" t="s">
        <v>198</v>
      </c>
      <c r="F57" t="s">
        <v>200</v>
      </c>
      <c r="G57" s="40">
        <v>0</v>
      </c>
      <c r="H57" s="40">
        <v>22000</v>
      </c>
      <c r="I57" s="40">
        <v>3520</v>
      </c>
      <c r="J57" s="40">
        <f t="shared" si="1"/>
        <v>25520</v>
      </c>
      <c r="K57" s="40">
        <v>25520</v>
      </c>
      <c r="L57" s="40">
        <f t="shared" si="2"/>
        <v>0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0</v>
      </c>
      <c r="T57" s="40">
        <v>0</v>
      </c>
      <c r="U57" s="40">
        <v>0</v>
      </c>
      <c r="V57" s="40">
        <v>0</v>
      </c>
      <c r="W57" s="40">
        <v>22000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36">
        <f t="shared" si="4"/>
        <v>0</v>
      </c>
      <c r="AE57"/>
      <c r="AF57" s="37"/>
      <c r="AH57" s="1"/>
      <c r="AI57" s="1"/>
    </row>
    <row r="58" spans="1:35" x14ac:dyDescent="0.3">
      <c r="A58" s="38">
        <v>2</v>
      </c>
      <c r="B58" s="2" t="s">
        <v>700</v>
      </c>
      <c r="C58" s="38" t="s">
        <v>734</v>
      </c>
      <c r="D58" s="39">
        <v>45775</v>
      </c>
      <c r="E58" s="38" t="s">
        <v>198</v>
      </c>
      <c r="F58" t="s">
        <v>200</v>
      </c>
      <c r="G58" s="40">
        <v>0</v>
      </c>
      <c r="H58" s="40">
        <v>22000</v>
      </c>
      <c r="I58" s="40">
        <v>3520</v>
      </c>
      <c r="J58" s="40">
        <f t="shared" si="1"/>
        <v>25520</v>
      </c>
      <c r="K58" s="40">
        <v>25520</v>
      </c>
      <c r="L58" s="40">
        <f t="shared" si="2"/>
        <v>0</v>
      </c>
      <c r="M58" s="38" t="s">
        <v>35</v>
      </c>
      <c r="N58" s="54"/>
      <c r="O58" s="36"/>
      <c r="P58" s="40">
        <v>0</v>
      </c>
      <c r="Q58" s="40">
        <v>0</v>
      </c>
      <c r="R58" s="41"/>
      <c r="S58" s="40">
        <v>0</v>
      </c>
      <c r="T58" s="40">
        <v>0</v>
      </c>
      <c r="U58" s="40">
        <v>0</v>
      </c>
      <c r="V58" s="40">
        <v>0</v>
      </c>
      <c r="W58" s="40">
        <v>22000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36">
        <f t="shared" si="4"/>
        <v>0</v>
      </c>
      <c r="AE58"/>
      <c r="AF58" s="37"/>
      <c r="AH58" s="1"/>
      <c r="AI58" s="1"/>
    </row>
    <row r="59" spans="1:35" x14ac:dyDescent="0.3">
      <c r="A59" s="38">
        <v>2</v>
      </c>
      <c r="B59" s="2" t="s">
        <v>701</v>
      </c>
      <c r="C59" s="38" t="s">
        <v>735</v>
      </c>
      <c r="D59" s="39">
        <v>45775</v>
      </c>
      <c r="E59" s="38" t="s">
        <v>198</v>
      </c>
      <c r="F59" t="s">
        <v>200</v>
      </c>
      <c r="G59" s="40">
        <v>0</v>
      </c>
      <c r="H59" s="40">
        <v>22000</v>
      </c>
      <c r="I59" s="40">
        <v>3520</v>
      </c>
      <c r="J59" s="40">
        <f t="shared" si="1"/>
        <v>25520</v>
      </c>
      <c r="K59" s="40">
        <v>25520</v>
      </c>
      <c r="L59" s="40">
        <f t="shared" si="2"/>
        <v>0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0</v>
      </c>
      <c r="T59" s="40">
        <v>0</v>
      </c>
      <c r="U59" s="40">
        <v>0</v>
      </c>
      <c r="V59" s="40">
        <v>0</v>
      </c>
      <c r="W59" s="40">
        <v>22000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36">
        <f t="shared" si="4"/>
        <v>0</v>
      </c>
      <c r="AE59"/>
      <c r="AF59" s="37"/>
      <c r="AH59" s="1"/>
      <c r="AI59" s="1"/>
    </row>
    <row r="60" spans="1:35" x14ac:dyDescent="0.3">
      <c r="A60" s="38">
        <v>2</v>
      </c>
      <c r="B60" s="2" t="s">
        <v>702</v>
      </c>
      <c r="C60" s="38" t="s">
        <v>736</v>
      </c>
      <c r="D60" s="39">
        <v>45776</v>
      </c>
      <c r="E60" s="38" t="s">
        <v>22</v>
      </c>
      <c r="F60" s="38" t="s">
        <v>403</v>
      </c>
      <c r="G60" s="40">
        <v>7685</v>
      </c>
      <c r="H60" s="40">
        <v>3925.56</v>
      </c>
      <c r="I60" s="40">
        <v>628.09</v>
      </c>
      <c r="J60" s="40">
        <f t="shared" si="1"/>
        <v>12238.65</v>
      </c>
      <c r="K60" s="40">
        <v>12238.65</v>
      </c>
      <c r="L60" s="40">
        <f t="shared" si="2"/>
        <v>0</v>
      </c>
      <c r="M60" s="38" t="s">
        <v>35</v>
      </c>
      <c r="N60" s="54"/>
      <c r="O60" s="36"/>
      <c r="P60" s="40">
        <v>0</v>
      </c>
      <c r="Q60" s="40">
        <v>7685</v>
      </c>
      <c r="R60" s="41"/>
      <c r="S60" s="40">
        <v>3925.56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36">
        <f t="shared" si="4"/>
        <v>0</v>
      </c>
      <c r="AE60"/>
      <c r="AF60" s="37"/>
      <c r="AH60" s="1"/>
      <c r="AI60" s="1"/>
    </row>
    <row r="61" spans="1:35" x14ac:dyDescent="0.3">
      <c r="A61" s="38">
        <v>2</v>
      </c>
      <c r="B61" s="2" t="s">
        <v>703</v>
      </c>
      <c r="C61" s="38" t="s">
        <v>737</v>
      </c>
      <c r="D61" s="39">
        <v>45776</v>
      </c>
      <c r="E61" s="38" t="s">
        <v>22</v>
      </c>
      <c r="F61" s="38" t="s">
        <v>403</v>
      </c>
      <c r="G61" s="40">
        <v>336</v>
      </c>
      <c r="H61" s="40">
        <v>8856.9500000000007</v>
      </c>
      <c r="I61" s="40">
        <v>1417.11</v>
      </c>
      <c r="J61" s="40">
        <f t="shared" si="1"/>
        <v>10610.060000000001</v>
      </c>
      <c r="K61" s="40">
        <v>10610.06</v>
      </c>
      <c r="L61" s="40">
        <f t="shared" si="2"/>
        <v>0</v>
      </c>
      <c r="M61" s="38" t="s">
        <v>35</v>
      </c>
      <c r="N61" s="54"/>
      <c r="O61" s="36"/>
      <c r="P61" s="40">
        <v>0</v>
      </c>
      <c r="Q61" s="40">
        <v>336</v>
      </c>
      <c r="R61" s="41"/>
      <c r="S61" s="40">
        <v>4906.95</v>
      </c>
      <c r="T61" s="40">
        <v>0</v>
      </c>
      <c r="U61" s="40">
        <v>0</v>
      </c>
      <c r="V61" s="40">
        <v>0</v>
      </c>
      <c r="W61" s="40">
        <v>3950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36">
        <f t="shared" si="4"/>
        <v>0</v>
      </c>
      <c r="AE61"/>
      <c r="AF61" s="37"/>
      <c r="AH61" s="1"/>
      <c r="AI61" s="1"/>
    </row>
    <row r="62" spans="1:35" x14ac:dyDescent="0.3">
      <c r="A62" s="38">
        <v>1</v>
      </c>
      <c r="B62" s="2" t="s">
        <v>704</v>
      </c>
      <c r="C62" s="38" t="s">
        <v>738</v>
      </c>
      <c r="D62" s="39">
        <v>45776</v>
      </c>
      <c r="E62" s="38" t="s">
        <v>42</v>
      </c>
      <c r="F62" t="s">
        <v>49</v>
      </c>
      <c r="G62" s="40">
        <v>781</v>
      </c>
      <c r="H62" s="40">
        <v>101762.78</v>
      </c>
      <c r="I62" s="40">
        <v>16282.04</v>
      </c>
      <c r="J62" s="40">
        <f t="shared" si="1"/>
        <v>118825.82</v>
      </c>
      <c r="K62" s="40">
        <v>118825.82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781</v>
      </c>
      <c r="R62" s="41"/>
      <c r="S62" s="40">
        <v>9337.7800000000007</v>
      </c>
      <c r="T62" s="40">
        <v>0</v>
      </c>
      <c r="U62" s="40">
        <v>34500</v>
      </c>
      <c r="V62" s="40">
        <v>1225</v>
      </c>
      <c r="W62" s="40">
        <v>56700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36">
        <f t="shared" si="4"/>
        <v>0</v>
      </c>
      <c r="AE62"/>
      <c r="AF62" s="37"/>
      <c r="AH62" s="1"/>
      <c r="AI62" s="1"/>
    </row>
    <row r="63" spans="1:35" x14ac:dyDescent="0.3">
      <c r="A63" s="38">
        <v>2</v>
      </c>
      <c r="B63" s="2" t="s">
        <v>739</v>
      </c>
      <c r="C63" s="38" t="s">
        <v>752</v>
      </c>
      <c r="D63" s="39">
        <v>45777</v>
      </c>
      <c r="E63" s="38" t="s">
        <v>22</v>
      </c>
      <c r="F63" s="38" t="s">
        <v>403</v>
      </c>
      <c r="G63" s="40">
        <v>49767</v>
      </c>
      <c r="H63" s="84">
        <v>14480.93</v>
      </c>
      <c r="I63" s="40">
        <v>2316.9499999999998</v>
      </c>
      <c r="J63" s="40">
        <f t="shared" si="1"/>
        <v>66564.88</v>
      </c>
      <c r="K63" s="40">
        <v>67314.880000000005</v>
      </c>
      <c r="L63" s="40">
        <f t="shared" si="2"/>
        <v>-750</v>
      </c>
      <c r="M63" s="38" t="s">
        <v>35</v>
      </c>
      <c r="N63" s="54"/>
      <c r="O63" s="36"/>
      <c r="P63" s="40">
        <v>0</v>
      </c>
      <c r="Q63" s="40">
        <v>49767</v>
      </c>
      <c r="R63" s="41"/>
      <c r="S63" s="40">
        <v>3994.74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10486.19</v>
      </c>
      <c r="AA63" s="40">
        <v>0</v>
      </c>
      <c r="AB63" s="40">
        <v>0</v>
      </c>
      <c r="AC63" s="40">
        <v>0</v>
      </c>
      <c r="AD63" s="36">
        <f t="shared" si="4"/>
        <v>0</v>
      </c>
      <c r="AE63"/>
      <c r="AF63" s="37"/>
      <c r="AH63" s="1"/>
      <c r="AI63" s="1"/>
    </row>
    <row r="64" spans="1:35" x14ac:dyDescent="0.3">
      <c r="A64" s="38">
        <v>2</v>
      </c>
      <c r="B64" s="2" t="s">
        <v>740</v>
      </c>
      <c r="C64" s="38" t="s">
        <v>753</v>
      </c>
      <c r="D64" s="39">
        <v>45777</v>
      </c>
      <c r="E64" s="38" t="s">
        <v>198</v>
      </c>
      <c r="F64" t="s">
        <v>200</v>
      </c>
      <c r="G64" s="40">
        <v>0</v>
      </c>
      <c r="H64" s="84">
        <v>22000</v>
      </c>
      <c r="I64" s="40">
        <v>3520</v>
      </c>
      <c r="J64" s="40">
        <f t="shared" si="1"/>
        <v>25520</v>
      </c>
      <c r="K64" s="40">
        <v>25520</v>
      </c>
      <c r="L64" s="40">
        <f t="shared" si="2"/>
        <v>0</v>
      </c>
      <c r="M64" s="38" t="s">
        <v>35</v>
      </c>
      <c r="N64" s="54"/>
      <c r="O64" s="36"/>
      <c r="P64" s="40">
        <v>0</v>
      </c>
      <c r="Q64" s="40">
        <v>0</v>
      </c>
      <c r="R64" s="41"/>
      <c r="S64" s="40">
        <v>0</v>
      </c>
      <c r="T64" s="40">
        <v>0</v>
      </c>
      <c r="U64" s="40">
        <v>0</v>
      </c>
      <c r="V64" s="40">
        <v>0</v>
      </c>
      <c r="W64" s="40">
        <v>22000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36">
        <f t="shared" si="4"/>
        <v>0</v>
      </c>
      <c r="AE64"/>
      <c r="AF64" s="37"/>
      <c r="AH64" s="1"/>
      <c r="AI64" s="1"/>
    </row>
    <row r="65" spans="1:35" x14ac:dyDescent="0.3">
      <c r="A65" s="38">
        <v>2</v>
      </c>
      <c r="B65" s="2" t="s">
        <v>741</v>
      </c>
      <c r="C65" s="38" t="s">
        <v>754</v>
      </c>
      <c r="D65" s="39">
        <v>45777</v>
      </c>
      <c r="E65" s="38" t="s">
        <v>198</v>
      </c>
      <c r="F65" t="s">
        <v>200</v>
      </c>
      <c r="G65" s="40">
        <v>0</v>
      </c>
      <c r="H65" s="84">
        <v>22000</v>
      </c>
      <c r="I65" s="40">
        <v>3520</v>
      </c>
      <c r="J65" s="40">
        <f t="shared" si="1"/>
        <v>25520</v>
      </c>
      <c r="K65" s="40">
        <v>25520</v>
      </c>
      <c r="L65" s="40">
        <f t="shared" si="2"/>
        <v>0</v>
      </c>
      <c r="M65" s="38" t="s">
        <v>35</v>
      </c>
      <c r="N65" s="54"/>
      <c r="O65" s="36"/>
      <c r="P65" s="40">
        <v>0</v>
      </c>
      <c r="Q65" s="40">
        <v>0</v>
      </c>
      <c r="R65" s="41"/>
      <c r="S65" s="40">
        <v>0</v>
      </c>
      <c r="T65" s="40">
        <v>0</v>
      </c>
      <c r="U65" s="40">
        <v>0</v>
      </c>
      <c r="V65" s="40">
        <v>0</v>
      </c>
      <c r="W65" s="40">
        <v>22000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36">
        <f t="shared" si="4"/>
        <v>0</v>
      </c>
      <c r="AE65"/>
      <c r="AF65" s="37"/>
      <c r="AH65" s="1"/>
      <c r="AI65" s="1"/>
    </row>
    <row r="66" spans="1:35" x14ac:dyDescent="0.3">
      <c r="A66" s="38">
        <v>2</v>
      </c>
      <c r="B66" s="38" t="s">
        <v>742</v>
      </c>
      <c r="C66" s="38" t="s">
        <v>755</v>
      </c>
      <c r="D66" s="39">
        <v>45777</v>
      </c>
      <c r="E66" s="38" t="s">
        <v>198</v>
      </c>
      <c r="F66" t="s">
        <v>200</v>
      </c>
      <c r="G66" s="40">
        <v>0</v>
      </c>
      <c r="H66" s="84">
        <v>22000</v>
      </c>
      <c r="I66" s="40">
        <v>3520</v>
      </c>
      <c r="J66" s="40">
        <f t="shared" ref="J66:J75" si="5">SUM(G66:I66)</f>
        <v>25520</v>
      </c>
      <c r="K66" s="40">
        <v>25520</v>
      </c>
      <c r="L66" s="40">
        <f t="shared" ref="L66:L75" si="6">+J66-K66</f>
        <v>0</v>
      </c>
      <c r="M66" s="38" t="s">
        <v>35</v>
      </c>
      <c r="N66" s="54"/>
      <c r="O66" s="36"/>
      <c r="P66" s="40">
        <v>0</v>
      </c>
      <c r="Q66" s="40">
        <v>0</v>
      </c>
      <c r="R66" s="41"/>
      <c r="S66" s="40">
        <v>0</v>
      </c>
      <c r="T66" s="40">
        <v>0</v>
      </c>
      <c r="U66" s="40">
        <v>0</v>
      </c>
      <c r="V66" s="40">
        <v>0</v>
      </c>
      <c r="W66" s="40">
        <v>22000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36">
        <f t="shared" ref="AD66:AD75" si="7">+SUM(S66:AC66)-H66</f>
        <v>0</v>
      </c>
      <c r="AE66"/>
      <c r="AF66" s="37"/>
      <c r="AH66" s="1"/>
      <c r="AI66" s="1"/>
    </row>
    <row r="67" spans="1:35" x14ac:dyDescent="0.3">
      <c r="A67" s="38">
        <v>1</v>
      </c>
      <c r="B67" s="38" t="s">
        <v>743</v>
      </c>
      <c r="C67" s="38" t="s">
        <v>756</v>
      </c>
      <c r="D67" s="39">
        <v>45777</v>
      </c>
      <c r="E67" s="38" t="s">
        <v>53</v>
      </c>
      <c r="F67" s="38" t="s">
        <v>199</v>
      </c>
      <c r="G67" s="40">
        <v>781</v>
      </c>
      <c r="H67" s="84">
        <v>13954.05</v>
      </c>
      <c r="I67" s="40">
        <v>2232.65</v>
      </c>
      <c r="J67" s="40">
        <f t="shared" si="5"/>
        <v>16967.7</v>
      </c>
      <c r="K67" s="40">
        <v>18953.96</v>
      </c>
      <c r="L67" s="40">
        <f t="shared" si="6"/>
        <v>-1986.2599999999984</v>
      </c>
      <c r="M67" s="38" t="s">
        <v>35</v>
      </c>
      <c r="N67" s="54"/>
      <c r="O67" s="36"/>
      <c r="P67" s="40">
        <v>0</v>
      </c>
      <c r="Q67" s="40">
        <v>781</v>
      </c>
      <c r="R67" s="41"/>
      <c r="S67" s="40">
        <v>7380.36</v>
      </c>
      <c r="T67" s="40">
        <v>608.91999999999996</v>
      </c>
      <c r="U67" s="40">
        <v>2049.77</v>
      </c>
      <c r="V67" s="40">
        <v>0</v>
      </c>
      <c r="W67" s="40">
        <v>3915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36">
        <f t="shared" si="7"/>
        <v>0</v>
      </c>
      <c r="AE67"/>
      <c r="AF67" s="37"/>
      <c r="AH67" s="1"/>
      <c r="AI67" s="1"/>
    </row>
    <row r="68" spans="1:35" x14ac:dyDescent="0.3">
      <c r="A68" s="38">
        <v>1</v>
      </c>
      <c r="B68" s="38" t="s">
        <v>744</v>
      </c>
      <c r="C68" s="38" t="s">
        <v>757</v>
      </c>
      <c r="D68" s="39">
        <v>45777</v>
      </c>
      <c r="E68" s="38" t="s">
        <v>22</v>
      </c>
      <c r="F68" s="38" t="s">
        <v>403</v>
      </c>
      <c r="G68" s="40">
        <v>336</v>
      </c>
      <c r="H68" s="84">
        <v>15500</v>
      </c>
      <c r="I68" s="40">
        <v>2480</v>
      </c>
      <c r="J68" s="40">
        <f t="shared" si="5"/>
        <v>18316</v>
      </c>
      <c r="K68" s="40">
        <v>18316</v>
      </c>
      <c r="L68" s="40">
        <f t="shared" si="6"/>
        <v>0</v>
      </c>
      <c r="M68" s="38" t="s">
        <v>35</v>
      </c>
      <c r="N68" s="54"/>
      <c r="O68" s="36"/>
      <c r="P68" s="40">
        <v>0</v>
      </c>
      <c r="Q68" s="40">
        <v>336</v>
      </c>
      <c r="R68" s="41"/>
      <c r="S68" s="40">
        <v>12000</v>
      </c>
      <c r="T68" s="40">
        <v>0</v>
      </c>
      <c r="U68" s="40">
        <v>3500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36">
        <f t="shared" si="7"/>
        <v>0</v>
      </c>
      <c r="AE68"/>
      <c r="AF68" s="37"/>
      <c r="AH68" s="1"/>
      <c r="AI68" s="1"/>
    </row>
    <row r="69" spans="1:35" x14ac:dyDescent="0.3">
      <c r="A69" s="38">
        <v>1</v>
      </c>
      <c r="B69" s="38" t="s">
        <v>745</v>
      </c>
      <c r="C69" s="38" t="s">
        <v>758</v>
      </c>
      <c r="D69" s="39">
        <v>45777</v>
      </c>
      <c r="E69" s="38" t="s">
        <v>42</v>
      </c>
      <c r="F69" t="s">
        <v>49</v>
      </c>
      <c r="G69" s="40">
        <v>454514</v>
      </c>
      <c r="H69" s="84">
        <v>42440.32</v>
      </c>
      <c r="I69" s="40">
        <v>6790.45</v>
      </c>
      <c r="J69" s="40">
        <f t="shared" si="5"/>
        <v>503744.77</v>
      </c>
      <c r="K69" s="40">
        <v>532555.12</v>
      </c>
      <c r="L69" s="40">
        <f t="shared" si="6"/>
        <v>-28810.349999999977</v>
      </c>
      <c r="M69" s="38" t="s">
        <v>35</v>
      </c>
      <c r="N69" s="54"/>
      <c r="O69" s="36"/>
      <c r="P69" s="40">
        <v>0</v>
      </c>
      <c r="Q69" s="40">
        <v>454514</v>
      </c>
      <c r="R69" s="41"/>
      <c r="S69" s="40">
        <v>7940.32</v>
      </c>
      <c r="T69" s="40">
        <v>0</v>
      </c>
      <c r="U69" s="40">
        <v>34500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36">
        <f t="shared" si="7"/>
        <v>0</v>
      </c>
      <c r="AE69"/>
      <c r="AF69" s="37"/>
      <c r="AH69" s="1"/>
      <c r="AI69" s="1"/>
    </row>
    <row r="70" spans="1:35" x14ac:dyDescent="0.3">
      <c r="A70" s="38">
        <v>2</v>
      </c>
      <c r="B70" s="38" t="s">
        <v>746</v>
      </c>
      <c r="C70" s="38" t="s">
        <v>759</v>
      </c>
      <c r="D70" s="39">
        <v>45777</v>
      </c>
      <c r="E70" s="38" t="s">
        <v>22</v>
      </c>
      <c r="F70" s="38" t="s">
        <v>403</v>
      </c>
      <c r="G70" s="40">
        <v>336</v>
      </c>
      <c r="H70" s="84">
        <v>3916.5</v>
      </c>
      <c r="I70" s="40">
        <v>626.64</v>
      </c>
      <c r="J70" s="40">
        <f t="shared" si="5"/>
        <v>4879.1400000000003</v>
      </c>
      <c r="K70" s="40">
        <v>4879.1400000000003</v>
      </c>
      <c r="L70" s="40">
        <f t="shared" si="6"/>
        <v>0</v>
      </c>
      <c r="M70" s="38" t="s">
        <v>35</v>
      </c>
      <c r="N70" s="54"/>
      <c r="O70" s="36"/>
      <c r="P70" s="40">
        <v>0</v>
      </c>
      <c r="Q70" s="40">
        <v>336</v>
      </c>
      <c r="R70" s="41"/>
      <c r="S70" s="40">
        <v>3916.5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36">
        <f t="shared" si="7"/>
        <v>0</v>
      </c>
      <c r="AE70"/>
      <c r="AF70" s="37"/>
      <c r="AH70" s="1"/>
      <c r="AI70" s="1"/>
    </row>
    <row r="71" spans="1:35" x14ac:dyDescent="0.3">
      <c r="A71" s="38">
        <v>1</v>
      </c>
      <c r="B71" s="38" t="s">
        <v>747</v>
      </c>
      <c r="C71" s="38" t="s">
        <v>760</v>
      </c>
      <c r="D71" s="39">
        <v>45777</v>
      </c>
      <c r="E71" s="38" t="s">
        <v>42</v>
      </c>
      <c r="F71" t="s">
        <v>49</v>
      </c>
      <c r="G71" s="40">
        <v>485399</v>
      </c>
      <c r="H71" s="84">
        <v>42980.81</v>
      </c>
      <c r="I71" s="40">
        <v>6876.93</v>
      </c>
      <c r="J71" s="40">
        <f t="shared" si="5"/>
        <v>535256.74000000011</v>
      </c>
      <c r="K71" s="40">
        <v>531217.74</v>
      </c>
      <c r="L71" s="40">
        <f t="shared" si="6"/>
        <v>4039.0000000001164</v>
      </c>
      <c r="M71" s="38" t="s">
        <v>35</v>
      </c>
      <c r="N71" s="54"/>
      <c r="O71" s="36"/>
      <c r="P71" s="40">
        <v>0</v>
      </c>
      <c r="Q71" s="40">
        <v>485399</v>
      </c>
      <c r="R71" s="41"/>
      <c r="S71" s="40">
        <v>8480.81</v>
      </c>
      <c r="T71" s="40">
        <v>0</v>
      </c>
      <c r="U71" s="40">
        <v>34500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36">
        <f t="shared" si="7"/>
        <v>0</v>
      </c>
      <c r="AE71"/>
      <c r="AF71" s="37"/>
      <c r="AH71" s="1"/>
      <c r="AI71" s="1"/>
    </row>
    <row r="72" spans="1:35" x14ac:dyDescent="0.3">
      <c r="A72" s="38">
        <v>1</v>
      </c>
      <c r="B72" s="38" t="s">
        <v>748</v>
      </c>
      <c r="C72" s="38" t="s">
        <v>761</v>
      </c>
      <c r="D72" s="39">
        <v>45777</v>
      </c>
      <c r="E72" s="38" t="s">
        <v>42</v>
      </c>
      <c r="F72" t="s">
        <v>49</v>
      </c>
      <c r="G72" s="40">
        <v>336</v>
      </c>
      <c r="H72" s="84">
        <v>17870.64</v>
      </c>
      <c r="I72" s="40">
        <v>2859.3</v>
      </c>
      <c r="J72" s="40">
        <f t="shared" si="5"/>
        <v>21065.94</v>
      </c>
      <c r="K72" s="40">
        <v>21668.400000000001</v>
      </c>
      <c r="L72" s="40">
        <f t="shared" si="6"/>
        <v>-602.46000000000276</v>
      </c>
      <c r="M72" s="38" t="s">
        <v>35</v>
      </c>
      <c r="N72" s="54"/>
      <c r="O72" s="36"/>
      <c r="P72" s="40">
        <v>0</v>
      </c>
      <c r="Q72" s="40">
        <v>336</v>
      </c>
      <c r="R72" s="41"/>
      <c r="S72" s="40">
        <v>5870.64</v>
      </c>
      <c r="T72" s="40">
        <v>0</v>
      </c>
      <c r="U72" s="40">
        <v>12000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36">
        <f t="shared" si="7"/>
        <v>0</v>
      </c>
      <c r="AE72"/>
      <c r="AF72" s="37"/>
      <c r="AH72" s="1"/>
      <c r="AI72" s="1"/>
    </row>
    <row r="73" spans="1:35" x14ac:dyDescent="0.3">
      <c r="A73" s="38">
        <v>1</v>
      </c>
      <c r="B73" s="38" t="s">
        <v>749</v>
      </c>
      <c r="C73" s="38" t="s">
        <v>481</v>
      </c>
      <c r="D73" s="39">
        <v>45777</v>
      </c>
      <c r="E73" s="38" t="s">
        <v>157</v>
      </c>
      <c r="F73" s="38" t="s">
        <v>155</v>
      </c>
      <c r="G73" s="40">
        <v>105098</v>
      </c>
      <c r="H73" s="84">
        <v>3045.89</v>
      </c>
      <c r="I73" s="40">
        <v>487.34</v>
      </c>
      <c r="J73" s="40">
        <f t="shared" si="5"/>
        <v>108631.23</v>
      </c>
      <c r="K73" s="40">
        <v>108631.24</v>
      </c>
      <c r="L73" s="40">
        <f t="shared" si="6"/>
        <v>-1.0000000009313226E-2</v>
      </c>
      <c r="M73" s="38" t="s">
        <v>35</v>
      </c>
      <c r="N73" s="54"/>
      <c r="O73" s="36"/>
      <c r="P73" s="40">
        <v>0</v>
      </c>
      <c r="Q73" s="40">
        <v>105098</v>
      </c>
      <c r="R73" s="41"/>
      <c r="S73" s="40">
        <v>0</v>
      </c>
      <c r="T73" s="40">
        <v>3045.89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36">
        <f t="shared" si="7"/>
        <v>0</v>
      </c>
      <c r="AE73"/>
      <c r="AF73" s="37"/>
      <c r="AH73" s="1"/>
      <c r="AI73" s="1"/>
    </row>
    <row r="74" spans="1:35" ht="15.6" customHeight="1" x14ac:dyDescent="0.3">
      <c r="A74" s="38">
        <v>1</v>
      </c>
      <c r="B74" s="38" t="s">
        <v>750</v>
      </c>
      <c r="C74" s="38" t="s">
        <v>762</v>
      </c>
      <c r="D74" s="39">
        <v>45777</v>
      </c>
      <c r="E74" s="38" t="s">
        <v>42</v>
      </c>
      <c r="F74" t="s">
        <v>49</v>
      </c>
      <c r="G74" s="40">
        <v>781</v>
      </c>
      <c r="H74" s="84">
        <v>34491.24</v>
      </c>
      <c r="I74" s="40">
        <v>5518.6</v>
      </c>
      <c r="J74" s="40">
        <f t="shared" si="5"/>
        <v>40790.839999999997</v>
      </c>
      <c r="K74" s="40">
        <v>41253.4</v>
      </c>
      <c r="L74" s="40">
        <f t="shared" si="6"/>
        <v>-462.56000000000495</v>
      </c>
      <c r="M74" s="38" t="s">
        <v>35</v>
      </c>
      <c r="N74" s="54"/>
      <c r="O74" s="36"/>
      <c r="P74" s="40">
        <v>0</v>
      </c>
      <c r="Q74" s="40">
        <v>781</v>
      </c>
      <c r="R74" s="41"/>
      <c r="S74" s="40">
        <v>5991.24</v>
      </c>
      <c r="T74" s="40">
        <v>0</v>
      </c>
      <c r="U74" s="40">
        <v>20000</v>
      </c>
      <c r="V74" s="40">
        <v>0</v>
      </c>
      <c r="W74" s="40">
        <v>8500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36">
        <f t="shared" si="7"/>
        <v>0</v>
      </c>
      <c r="AE74"/>
      <c r="AF74" s="37"/>
      <c r="AH74" s="1"/>
      <c r="AI74" s="1"/>
    </row>
    <row r="75" spans="1:35" x14ac:dyDescent="0.3">
      <c r="A75" s="50"/>
      <c r="B75" s="38"/>
      <c r="C75" s="50"/>
      <c r="D75" s="39"/>
      <c r="E75" s="38"/>
      <c r="F75" s="38"/>
      <c r="G75" s="40"/>
      <c r="H75" s="40"/>
      <c r="I75" s="40"/>
      <c r="J75" s="40">
        <f t="shared" si="5"/>
        <v>0</v>
      </c>
      <c r="K75" s="40"/>
      <c r="L75" s="40">
        <f t="shared" si="6"/>
        <v>0</v>
      </c>
      <c r="M75" s="38" t="s">
        <v>35</v>
      </c>
      <c r="N75" s="54"/>
      <c r="O75" s="36"/>
      <c r="P75" s="40"/>
      <c r="Q75" s="40"/>
      <c r="R75" s="41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36">
        <f t="shared" si="7"/>
        <v>0</v>
      </c>
      <c r="AE75"/>
    </row>
    <row r="76" spans="1:35" ht="15" thickBot="1" x14ac:dyDescent="0.35">
      <c r="G76" s="16">
        <f t="shared" ref="G76:L76" si="8">+SUM(G2:G75)</f>
        <v>2633921</v>
      </c>
      <c r="H76" s="16">
        <f t="shared" si="8"/>
        <v>1640750.8000000003</v>
      </c>
      <c r="I76" s="16">
        <f t="shared" si="8"/>
        <v>262520.12</v>
      </c>
      <c r="J76" s="16">
        <f t="shared" si="8"/>
        <v>4537191.92</v>
      </c>
      <c r="K76" s="16">
        <f t="shared" si="8"/>
        <v>3993284.88</v>
      </c>
      <c r="L76" s="16">
        <f t="shared" si="8"/>
        <v>543907.04000000015</v>
      </c>
      <c r="P76" s="16">
        <f>+SUM(P2:P75)</f>
        <v>295</v>
      </c>
      <c r="Q76" s="16">
        <f>+SUM(Q2:Q75)</f>
        <v>2633626</v>
      </c>
      <c r="S76" s="16">
        <f t="shared" ref="S76:AD76" si="9">+SUM(S2:S75)</f>
        <v>375773.69000000006</v>
      </c>
      <c r="T76" s="16">
        <f t="shared" si="9"/>
        <v>12696.88</v>
      </c>
      <c r="U76" s="16">
        <f t="shared" si="9"/>
        <v>453529</v>
      </c>
      <c r="V76" s="16">
        <f t="shared" si="9"/>
        <v>24105.19</v>
      </c>
      <c r="W76" s="16">
        <f t="shared" si="9"/>
        <v>729288.79</v>
      </c>
      <c r="X76" s="16">
        <f t="shared" si="9"/>
        <v>1050</v>
      </c>
      <c r="Y76" s="16">
        <f t="shared" si="9"/>
        <v>5110.76</v>
      </c>
      <c r="Z76" s="16">
        <f t="shared" si="9"/>
        <v>21916.489999999998</v>
      </c>
      <c r="AA76" s="16">
        <f t="shared" si="9"/>
        <v>7080</v>
      </c>
      <c r="AB76" s="16">
        <f t="shared" si="9"/>
        <v>8800</v>
      </c>
      <c r="AC76" s="16">
        <f t="shared" si="9"/>
        <v>1400</v>
      </c>
      <c r="AD76" s="47">
        <f t="shared" si="9"/>
        <v>0</v>
      </c>
      <c r="AE76"/>
    </row>
    <row r="77" spans="1:35" ht="15" thickTop="1" x14ac:dyDescent="0.3"/>
    <row r="78" spans="1:35" x14ac:dyDescent="0.3">
      <c r="Q78" s="1">
        <f>+G76-P76-Q76</f>
        <v>0</v>
      </c>
    </row>
    <row r="79" spans="1:35" x14ac:dyDescent="0.3">
      <c r="M79" s="46"/>
    </row>
    <row r="80" spans="1:35" x14ac:dyDescent="0.3">
      <c r="D80"/>
      <c r="E80" s="49"/>
      <c r="F80" s="14"/>
      <c r="H80" s="21" t="s">
        <v>25</v>
      </c>
      <c r="I80" s="21" t="s">
        <v>26</v>
      </c>
      <c r="J80" s="21" t="s">
        <v>27</v>
      </c>
      <c r="K80" s="21" t="s">
        <v>28</v>
      </c>
    </row>
    <row r="81" spans="1:37" x14ac:dyDescent="0.3">
      <c r="B81" s="14" t="s">
        <v>30</v>
      </c>
      <c r="D81" s="15">
        <f>+H76+'ABR USD '!N19</f>
        <v>2048128.9333200003</v>
      </c>
      <c r="G81" s="14" t="s">
        <v>23</v>
      </c>
      <c r="H81" s="1">
        <f>+H76-I81</f>
        <v>1640750.8000000003</v>
      </c>
      <c r="I81" s="1">
        <v>0</v>
      </c>
      <c r="J81" s="1">
        <f>+H81*0.16</f>
        <v>262520.12800000003</v>
      </c>
      <c r="K81" s="1">
        <f>+SUM(H81:J81)</f>
        <v>1903270.9280000003</v>
      </c>
      <c r="M81" s="46"/>
    </row>
    <row r="82" spans="1:37" x14ac:dyDescent="0.3">
      <c r="A82" s="22" t="s">
        <v>32</v>
      </c>
      <c r="B82" s="14" t="s">
        <v>31</v>
      </c>
      <c r="D82" s="15">
        <f>+H85</f>
        <v>2048128.9333200003</v>
      </c>
      <c r="G82" s="14" t="s">
        <v>24</v>
      </c>
      <c r="H82" s="1">
        <f>+'ABR USD '!N22</f>
        <v>93702.305199999988</v>
      </c>
      <c r="I82" s="1">
        <f>+'ABR USD '!N23</f>
        <v>313675.82811999996</v>
      </c>
      <c r="J82" s="1">
        <f>+H82*0.16</f>
        <v>14992.368831999998</v>
      </c>
      <c r="K82" s="1">
        <f>+SUM(H82:J82)</f>
        <v>422370.50215199997</v>
      </c>
    </row>
    <row r="83" spans="1:37" ht="15" thickBot="1" x14ac:dyDescent="0.35">
      <c r="A83" s="22" t="s">
        <v>33</v>
      </c>
      <c r="B83" s="14" t="s">
        <v>34</v>
      </c>
      <c r="D83" s="20">
        <f>+D81-D82</f>
        <v>0</v>
      </c>
      <c r="E83" s="35"/>
      <c r="H83" s="20">
        <f>+SUM(H81:H82)</f>
        <v>1734453.1052000003</v>
      </c>
      <c r="I83" s="20">
        <f t="shared" ref="I83:J83" si="10">+SUM(I81:I82)</f>
        <v>313675.82811999996</v>
      </c>
      <c r="J83" s="20">
        <f t="shared" si="10"/>
        <v>277512.49683200003</v>
      </c>
      <c r="K83" s="20">
        <f>+SUM(K81:K82)</f>
        <v>2325641.4301520004</v>
      </c>
      <c r="AK83" s="1"/>
    </row>
    <row r="84" spans="1:37" ht="15" thickTop="1" x14ac:dyDescent="0.3">
      <c r="D84"/>
      <c r="AK84" s="1"/>
    </row>
    <row r="85" spans="1:37" x14ac:dyDescent="0.3">
      <c r="D85" s="33"/>
      <c r="G85" s="14" t="s">
        <v>29</v>
      </c>
      <c r="H85" s="15">
        <f>+H83+I83</f>
        <v>2048128.9333200003</v>
      </c>
      <c r="AK85" s="1"/>
    </row>
    <row r="86" spans="1:37" x14ac:dyDescent="0.3">
      <c r="D86" s="33"/>
      <c r="G86" s="14"/>
      <c r="H86" s="15"/>
      <c r="AK86" s="1"/>
    </row>
    <row r="87" spans="1:37" x14ac:dyDescent="0.3">
      <c r="D87" s="33"/>
      <c r="G87" s="14"/>
      <c r="H87" s="15"/>
    </row>
    <row r="88" spans="1:37" x14ac:dyDescent="0.3">
      <c r="D88" s="33"/>
      <c r="G88" s="14"/>
      <c r="H88" s="15"/>
    </row>
    <row r="89" spans="1:37" x14ac:dyDescent="0.3">
      <c r="D89" s="33"/>
      <c r="G89" s="14"/>
      <c r="H89" s="15"/>
    </row>
    <row r="90" spans="1:37" s="1" customFormat="1" x14ac:dyDescent="0.3">
      <c r="A90"/>
      <c r="B90"/>
      <c r="C90"/>
      <c r="D90" s="33"/>
      <c r="E90"/>
      <c r="F90"/>
      <c r="G90" s="14"/>
      <c r="H90" s="15"/>
      <c r="M90"/>
      <c r="N90"/>
      <c r="O90"/>
      <c r="R90"/>
      <c r="AH90"/>
      <c r="AI90"/>
      <c r="AJ90"/>
      <c r="AK90"/>
    </row>
    <row r="91" spans="1:37" s="1" customFormat="1" x14ac:dyDescent="0.3">
      <c r="A91"/>
      <c r="B91"/>
      <c r="C91"/>
      <c r="D91" s="33"/>
      <c r="E91"/>
      <c r="F91"/>
      <c r="G91" s="14"/>
      <c r="H91" s="15"/>
      <c r="M91"/>
      <c r="N91"/>
      <c r="O91"/>
      <c r="R91"/>
      <c r="AH91"/>
      <c r="AI91"/>
      <c r="AJ91"/>
      <c r="AK91"/>
    </row>
    <row r="92" spans="1:37" s="1" customFormat="1" x14ac:dyDescent="0.3">
      <c r="A92"/>
      <c r="B92"/>
      <c r="C92"/>
      <c r="D92" s="33"/>
      <c r="E92"/>
      <c r="F92"/>
      <c r="G92" s="14"/>
      <c r="H92" s="15"/>
      <c r="M92"/>
      <c r="N92"/>
      <c r="O92"/>
      <c r="R92"/>
      <c r="AH92"/>
      <c r="AI92"/>
      <c r="AJ92"/>
      <c r="AK92"/>
    </row>
    <row r="93" spans="1:37" s="1" customFormat="1" x14ac:dyDescent="0.3">
      <c r="A93"/>
      <c r="B93"/>
      <c r="C93"/>
      <c r="D93" s="33"/>
      <c r="E93"/>
      <c r="F93"/>
      <c r="G93" s="14"/>
      <c r="H93" s="15"/>
      <c r="M93"/>
      <c r="N93"/>
      <c r="O93"/>
      <c r="R93"/>
      <c r="AH93"/>
      <c r="AI93"/>
      <c r="AJ93"/>
      <c r="AK93"/>
    </row>
    <row r="1048552" spans="5:5" x14ac:dyDescent="0.3">
      <c r="E1048552" s="38"/>
    </row>
  </sheetData>
  <autoFilter ref="A1:AH76" xr:uid="{6D9A6E66-117A-42D1-8872-A55637CA45F1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21DD-ACAA-4E19-A472-65BF13ADAEFB}">
  <sheetPr>
    <tabColor rgb="FF0070C0"/>
  </sheetPr>
  <dimension ref="A1:AH27"/>
  <sheetViews>
    <sheetView zoomScale="90" zoomScaleNormal="90" workbookViewId="0">
      <pane xSplit="2" ySplit="2" topLeftCell="D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8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241</v>
      </c>
      <c r="W2" s="5" t="s">
        <v>54</v>
      </c>
      <c r="X2" s="5" t="s">
        <v>1</v>
      </c>
      <c r="Y2" s="5" t="s">
        <v>769</v>
      </c>
      <c r="Z2" s="5" t="s">
        <v>396</v>
      </c>
      <c r="AA2" s="8"/>
      <c r="AB2" s="5" t="s">
        <v>60</v>
      </c>
      <c r="AC2" s="5" t="s">
        <v>241</v>
      </c>
      <c r="AD2" s="5" t="s">
        <v>54</v>
      </c>
      <c r="AE2" s="5" t="s">
        <v>1</v>
      </c>
      <c r="AF2" s="5" t="s">
        <v>769</v>
      </c>
      <c r="AG2" s="5" t="s">
        <v>396</v>
      </c>
    </row>
    <row r="3" spans="1:34" x14ac:dyDescent="0.3">
      <c r="A3" s="82">
        <v>1</v>
      </c>
      <c r="B3" s="19" t="s">
        <v>639</v>
      </c>
      <c r="C3" s="2" t="s">
        <v>638</v>
      </c>
      <c r="D3" s="27">
        <v>45756</v>
      </c>
      <c r="E3" s="19" t="s">
        <v>40</v>
      </c>
      <c r="F3" s="2" t="s">
        <v>41</v>
      </c>
      <c r="G3" s="13">
        <v>0</v>
      </c>
      <c r="H3" s="13">
        <f>2051+1482.6</f>
        <v>3533.6</v>
      </c>
      <c r="I3" s="13">
        <v>0</v>
      </c>
      <c r="J3" s="13">
        <f>SUM(G3:I3)</f>
        <v>3533.6</v>
      </c>
      <c r="K3" s="13">
        <v>0</v>
      </c>
      <c r="L3" s="13">
        <f>J3-K3</f>
        <v>3533.6</v>
      </c>
      <c r="M3" s="18">
        <v>20.686699999999998</v>
      </c>
      <c r="N3" s="3">
        <f t="shared" ref="N3:N18" si="0">H3*M3</f>
        <v>73098.523119999998</v>
      </c>
      <c r="O3" s="3">
        <f>I3*M3</f>
        <v>0</v>
      </c>
      <c r="P3" s="3">
        <f>J3*M3</f>
        <v>73098.523119999998</v>
      </c>
      <c r="Q3" s="3">
        <f>M3*K3</f>
        <v>0</v>
      </c>
      <c r="R3" s="3">
        <f>L3*M3</f>
        <v>73098.523119999998</v>
      </c>
      <c r="S3" s="48"/>
      <c r="T3" s="44"/>
      <c r="U3" s="3">
        <v>2051</v>
      </c>
      <c r="V3" s="3">
        <v>0</v>
      </c>
      <c r="W3" s="3">
        <v>0</v>
      </c>
      <c r="X3" s="3">
        <v>0</v>
      </c>
      <c r="Y3" s="3">
        <v>1482.6</v>
      </c>
      <c r="Z3" s="3">
        <v>0</v>
      </c>
      <c r="AB3" s="3">
        <f>U3*M3</f>
        <v>42428.421699999999</v>
      </c>
      <c r="AC3" s="3">
        <f>+V3*M3</f>
        <v>0</v>
      </c>
      <c r="AD3" s="60">
        <f>+M3*W3</f>
        <v>0</v>
      </c>
      <c r="AE3" s="3">
        <f>+X3*M3</f>
        <v>0</v>
      </c>
      <c r="AF3" s="3">
        <f>+Y3*M3</f>
        <v>30670.101419999995</v>
      </c>
      <c r="AG3" s="3">
        <f>+Z3*M3</f>
        <v>0</v>
      </c>
      <c r="AH3" s="46"/>
    </row>
    <row r="4" spans="1:34" x14ac:dyDescent="0.3">
      <c r="A4" s="82">
        <v>1</v>
      </c>
      <c r="B4" s="19" t="s">
        <v>764</v>
      </c>
      <c r="C4" s="2" t="s">
        <v>767</v>
      </c>
      <c r="D4" s="27">
        <v>45772</v>
      </c>
      <c r="E4" s="19" t="s">
        <v>330</v>
      </c>
      <c r="F4" s="2" t="s">
        <v>327</v>
      </c>
      <c r="G4" s="13">
        <v>0</v>
      </c>
      <c r="H4" s="13">
        <v>220</v>
      </c>
      <c r="I4" s="13">
        <v>35.200000000000003</v>
      </c>
      <c r="J4" s="13">
        <f t="shared" ref="J4:J18" si="1">SUM(G4:I4)</f>
        <v>255.2</v>
      </c>
      <c r="K4" s="13">
        <v>255.2</v>
      </c>
      <c r="L4" s="13">
        <f>J4-K4</f>
        <v>0</v>
      </c>
      <c r="M4" s="18">
        <v>19.5825</v>
      </c>
      <c r="N4" s="3">
        <f t="shared" si="0"/>
        <v>4308.1499999999996</v>
      </c>
      <c r="O4" s="3">
        <f>I4*M4</f>
        <v>689.30400000000009</v>
      </c>
      <c r="P4" s="3">
        <f>J4*M4</f>
        <v>4997.4539999999997</v>
      </c>
      <c r="Q4" s="3">
        <f>M4*K4</f>
        <v>4997.4539999999997</v>
      </c>
      <c r="R4" s="3">
        <f>L4*M4</f>
        <v>0</v>
      </c>
      <c r="S4" s="48"/>
      <c r="T4" s="44"/>
      <c r="U4" s="3">
        <v>0</v>
      </c>
      <c r="V4" s="3">
        <v>220</v>
      </c>
      <c r="W4" s="3">
        <v>0</v>
      </c>
      <c r="X4" s="3">
        <v>0</v>
      </c>
      <c r="Y4" s="3">
        <v>0</v>
      </c>
      <c r="Z4" s="3">
        <v>0</v>
      </c>
      <c r="AB4" s="3">
        <f>U4*M4</f>
        <v>0</v>
      </c>
      <c r="AC4" s="3">
        <f t="shared" ref="AC4:AC18" si="2">+V4*M4</f>
        <v>4308.1499999999996</v>
      </c>
      <c r="AD4" s="60">
        <f t="shared" ref="AD4:AD18" si="3">+M4*W4</f>
        <v>0</v>
      </c>
      <c r="AE4" s="3">
        <f>+X4*M4</f>
        <v>0</v>
      </c>
      <c r="AF4" s="3">
        <f t="shared" ref="AF4:AF18" si="4">+Y4*M4</f>
        <v>0</v>
      </c>
      <c r="AG4" s="3">
        <f>+Z4*M4</f>
        <v>0</v>
      </c>
      <c r="AH4" s="46"/>
    </row>
    <row r="5" spans="1:34" x14ac:dyDescent="0.3">
      <c r="A5" s="82">
        <v>1</v>
      </c>
      <c r="B5" s="19" t="s">
        <v>765</v>
      </c>
      <c r="C5" s="2" t="s">
        <v>767</v>
      </c>
      <c r="D5" s="27">
        <v>45772</v>
      </c>
      <c r="E5" s="19" t="s">
        <v>330</v>
      </c>
      <c r="F5" s="2" t="s">
        <v>327</v>
      </c>
      <c r="G5" s="13">
        <v>0</v>
      </c>
      <c r="H5" s="13">
        <v>154</v>
      </c>
      <c r="I5" s="13">
        <v>0</v>
      </c>
      <c r="J5" s="13">
        <f t="shared" si="1"/>
        <v>154</v>
      </c>
      <c r="K5" s="13">
        <v>154</v>
      </c>
      <c r="L5" s="13">
        <f t="shared" ref="L5:L18" si="5">J5-K5</f>
        <v>0</v>
      </c>
      <c r="M5" s="18">
        <v>19.5825</v>
      </c>
      <c r="N5" s="3">
        <f t="shared" si="0"/>
        <v>3015.7049999999999</v>
      </c>
      <c r="O5" s="3">
        <f>I5*M5</f>
        <v>0</v>
      </c>
      <c r="P5" s="3">
        <f>J5*M5</f>
        <v>3015.7049999999999</v>
      </c>
      <c r="Q5" s="3">
        <f>M5*K5</f>
        <v>3015.7049999999999</v>
      </c>
      <c r="R5" s="3">
        <f>L5*M5</f>
        <v>0</v>
      </c>
      <c r="S5" s="48"/>
      <c r="T5" s="44"/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154</v>
      </c>
      <c r="AB5" s="3">
        <f>U5*M5</f>
        <v>0</v>
      </c>
      <c r="AC5" s="3">
        <f t="shared" si="2"/>
        <v>0</v>
      </c>
      <c r="AD5" s="3">
        <f t="shared" si="3"/>
        <v>0</v>
      </c>
      <c r="AE5" s="3">
        <f>+X5*M5</f>
        <v>0</v>
      </c>
      <c r="AF5" s="3">
        <f t="shared" si="4"/>
        <v>0</v>
      </c>
      <c r="AG5" s="3">
        <f>+Z5*M5</f>
        <v>3015.7049999999999</v>
      </c>
      <c r="AH5" s="46"/>
    </row>
    <row r="6" spans="1:34" x14ac:dyDescent="0.3">
      <c r="A6" s="82">
        <v>2</v>
      </c>
      <c r="B6" s="19" t="s">
        <v>673</v>
      </c>
      <c r="C6" s="2" t="s">
        <v>707</v>
      </c>
      <c r="D6" s="27">
        <v>45763</v>
      </c>
      <c r="E6" s="19" t="s">
        <v>61</v>
      </c>
      <c r="F6" s="2" t="s">
        <v>222</v>
      </c>
      <c r="G6" s="13">
        <v>0</v>
      </c>
      <c r="H6" s="13">
        <v>6000</v>
      </c>
      <c r="I6" s="13">
        <v>0</v>
      </c>
      <c r="J6" s="13">
        <f t="shared" si="1"/>
        <v>6000</v>
      </c>
      <c r="K6" s="13">
        <v>0</v>
      </c>
      <c r="L6" s="13">
        <f t="shared" si="5"/>
        <v>6000</v>
      </c>
      <c r="M6" s="18">
        <v>20.0213</v>
      </c>
      <c r="N6" s="3">
        <f t="shared" si="0"/>
        <v>120127.8</v>
      </c>
      <c r="O6" s="3">
        <f t="shared" ref="O6:O18" si="6">I6*M6</f>
        <v>0</v>
      </c>
      <c r="P6" s="3">
        <f t="shared" ref="P6:P18" si="7">J6*M6</f>
        <v>120127.8</v>
      </c>
      <c r="Q6" s="3">
        <f t="shared" ref="Q6:Q18" si="8">M6*K6</f>
        <v>0</v>
      </c>
      <c r="R6" s="3">
        <f t="shared" ref="R6:R18" si="9">L6*M6</f>
        <v>120127.8</v>
      </c>
      <c r="S6" s="48"/>
      <c r="T6" s="44"/>
      <c r="U6" s="3">
        <v>6000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B6" s="3">
        <f>U6*M6</f>
        <v>120127.8</v>
      </c>
      <c r="AC6" s="3">
        <f t="shared" si="2"/>
        <v>0</v>
      </c>
      <c r="AD6" s="3">
        <f t="shared" si="3"/>
        <v>0</v>
      </c>
      <c r="AE6" s="3">
        <f>+X6*M6</f>
        <v>0</v>
      </c>
      <c r="AF6" s="3">
        <f t="shared" si="4"/>
        <v>0</v>
      </c>
      <c r="AG6" s="3">
        <f>+Z6*M6</f>
        <v>0</v>
      </c>
      <c r="AH6" s="46"/>
    </row>
    <row r="7" spans="1:34" x14ac:dyDescent="0.3">
      <c r="A7" s="82">
        <v>2</v>
      </c>
      <c r="B7" s="19" t="s">
        <v>766</v>
      </c>
      <c r="C7" s="2" t="s">
        <v>768</v>
      </c>
      <c r="D7" s="27">
        <v>45777</v>
      </c>
      <c r="E7" s="19" t="s">
        <v>61</v>
      </c>
      <c r="F7" s="2" t="s">
        <v>222</v>
      </c>
      <c r="G7" s="13">
        <v>0</v>
      </c>
      <c r="H7" s="13">
        <v>6000</v>
      </c>
      <c r="I7" s="13">
        <v>0</v>
      </c>
      <c r="J7" s="13">
        <f t="shared" si="1"/>
        <v>6000</v>
      </c>
      <c r="K7" s="13">
        <v>0</v>
      </c>
      <c r="L7" s="13">
        <f t="shared" si="5"/>
        <v>6000</v>
      </c>
      <c r="M7" s="18">
        <v>19.572299999999998</v>
      </c>
      <c r="N7" s="3">
        <f t="shared" si="0"/>
        <v>117433.79999999999</v>
      </c>
      <c r="O7" s="3">
        <f t="shared" si="6"/>
        <v>0</v>
      </c>
      <c r="P7" s="3">
        <f t="shared" si="7"/>
        <v>117433.79999999999</v>
      </c>
      <c r="Q7" s="3">
        <f t="shared" si="8"/>
        <v>0</v>
      </c>
      <c r="R7" s="3">
        <f t="shared" si="9"/>
        <v>117433.79999999999</v>
      </c>
      <c r="S7" s="48"/>
      <c r="T7" s="44"/>
      <c r="U7" s="3">
        <v>6000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B7" s="3">
        <f>U7*M7</f>
        <v>117433.79999999999</v>
      </c>
      <c r="AC7" s="3">
        <f t="shared" si="2"/>
        <v>0</v>
      </c>
      <c r="AD7" s="3">
        <f t="shared" si="3"/>
        <v>0</v>
      </c>
      <c r="AE7" s="3">
        <f>+X7*M7</f>
        <v>0</v>
      </c>
      <c r="AF7" s="3">
        <f t="shared" si="4"/>
        <v>0</v>
      </c>
      <c r="AG7" s="3">
        <f>+Z7*M7</f>
        <v>0</v>
      </c>
      <c r="AH7" s="46"/>
    </row>
    <row r="8" spans="1:34" x14ac:dyDescent="0.3">
      <c r="A8" s="82">
        <v>1</v>
      </c>
      <c r="B8" s="19" t="s">
        <v>751</v>
      </c>
      <c r="C8" s="2" t="s">
        <v>481</v>
      </c>
      <c r="D8" s="27">
        <v>45777</v>
      </c>
      <c r="E8" s="19" t="s">
        <v>157</v>
      </c>
      <c r="F8" s="2" t="s">
        <v>155</v>
      </c>
      <c r="G8" s="13">
        <v>0</v>
      </c>
      <c r="H8" s="13">
        <f>380+1000+3184</f>
        <v>4564</v>
      </c>
      <c r="I8" s="13">
        <v>730.24</v>
      </c>
      <c r="J8" s="13">
        <f t="shared" si="1"/>
        <v>5294.24</v>
      </c>
      <c r="K8" s="13">
        <v>4564</v>
      </c>
      <c r="L8" s="13">
        <f t="shared" si="5"/>
        <v>730.23999999999978</v>
      </c>
      <c r="M8" s="18">
        <v>19.5868</v>
      </c>
      <c r="N8" s="3">
        <f t="shared" si="0"/>
        <v>89394.155199999994</v>
      </c>
      <c r="O8" s="3">
        <f t="shared" si="6"/>
        <v>14303.064832</v>
      </c>
      <c r="P8" s="3">
        <f t="shared" si="7"/>
        <v>103697.220032</v>
      </c>
      <c r="Q8" s="3">
        <f t="shared" si="8"/>
        <v>89394.155199999994</v>
      </c>
      <c r="R8" s="3">
        <f t="shared" si="9"/>
        <v>14303.064831999996</v>
      </c>
      <c r="S8" s="48"/>
      <c r="T8" s="44"/>
      <c r="U8" s="3">
        <v>3184</v>
      </c>
      <c r="V8" s="3">
        <v>0</v>
      </c>
      <c r="W8" s="3">
        <v>1000</v>
      </c>
      <c r="X8" s="3">
        <v>380</v>
      </c>
      <c r="Y8" s="3">
        <v>0</v>
      </c>
      <c r="Z8" s="3">
        <v>0</v>
      </c>
      <c r="AB8" s="3">
        <f t="shared" ref="AB8:AB18" si="10">U8*M8</f>
        <v>62364.371200000001</v>
      </c>
      <c r="AC8" s="3">
        <f t="shared" si="2"/>
        <v>0</v>
      </c>
      <c r="AD8" s="3">
        <f t="shared" si="3"/>
        <v>19586.8</v>
      </c>
      <c r="AE8" s="3">
        <f t="shared" ref="AE8:AE18" si="11">+X8*M8</f>
        <v>7442.9840000000004</v>
      </c>
      <c r="AF8" s="3">
        <f t="shared" si="4"/>
        <v>0</v>
      </c>
      <c r="AG8" s="3">
        <f t="shared" ref="AG8:AG18" si="12">+Z8*M8</f>
        <v>0</v>
      </c>
      <c r="AH8" s="46"/>
    </row>
    <row r="9" spans="1:34" x14ac:dyDescent="0.3">
      <c r="A9" s="82"/>
      <c r="B9" s="19"/>
      <c r="C9" s="2"/>
      <c r="D9" s="27"/>
      <c r="E9" s="19"/>
      <c r="F9" s="2"/>
      <c r="G9" s="13"/>
      <c r="H9" s="13"/>
      <c r="I9" s="13"/>
      <c r="J9" s="13">
        <f t="shared" si="1"/>
        <v>0</v>
      </c>
      <c r="K9" s="13"/>
      <c r="L9" s="13">
        <f t="shared" si="5"/>
        <v>0</v>
      </c>
      <c r="M9" s="18"/>
      <c r="N9" s="3">
        <f t="shared" si="0"/>
        <v>0</v>
      </c>
      <c r="O9" s="3">
        <f t="shared" si="6"/>
        <v>0</v>
      </c>
      <c r="P9" s="3">
        <f t="shared" si="7"/>
        <v>0</v>
      </c>
      <c r="Q9" s="3">
        <f t="shared" si="8"/>
        <v>0</v>
      </c>
      <c r="R9" s="3">
        <f t="shared" si="9"/>
        <v>0</v>
      </c>
      <c r="S9" s="48"/>
      <c r="T9" s="44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B9" s="3">
        <f t="shared" si="10"/>
        <v>0</v>
      </c>
      <c r="AC9" s="3">
        <f t="shared" si="2"/>
        <v>0</v>
      </c>
      <c r="AD9" s="3">
        <f t="shared" si="3"/>
        <v>0</v>
      </c>
      <c r="AE9" s="3">
        <f t="shared" si="11"/>
        <v>0</v>
      </c>
      <c r="AF9" s="3">
        <f t="shared" si="4"/>
        <v>0</v>
      </c>
      <c r="AG9" s="3">
        <f t="shared" si="12"/>
        <v>0</v>
      </c>
      <c r="AH9" s="46"/>
    </row>
    <row r="10" spans="1:34" x14ac:dyDescent="0.3">
      <c r="A10" s="82"/>
      <c r="B10" s="19"/>
      <c r="C10" s="2"/>
      <c r="D10" s="27"/>
      <c r="E10" s="19"/>
      <c r="F10" s="2"/>
      <c r="G10" s="13"/>
      <c r="H10" s="13"/>
      <c r="I10" s="13"/>
      <c r="J10" s="13">
        <f t="shared" si="1"/>
        <v>0</v>
      </c>
      <c r="K10" s="13"/>
      <c r="L10" s="13">
        <f t="shared" si="5"/>
        <v>0</v>
      </c>
      <c r="M10" s="18"/>
      <c r="N10" s="3">
        <f t="shared" si="0"/>
        <v>0</v>
      </c>
      <c r="O10" s="3">
        <f t="shared" si="6"/>
        <v>0</v>
      </c>
      <c r="P10" s="3">
        <f t="shared" si="7"/>
        <v>0</v>
      </c>
      <c r="Q10" s="3">
        <f t="shared" si="8"/>
        <v>0</v>
      </c>
      <c r="R10" s="3">
        <f t="shared" si="9"/>
        <v>0</v>
      </c>
      <c r="S10" s="48"/>
      <c r="T10" s="44"/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B10" s="3">
        <f t="shared" si="10"/>
        <v>0</v>
      </c>
      <c r="AC10" s="3">
        <f t="shared" si="2"/>
        <v>0</v>
      </c>
      <c r="AD10" s="3">
        <f t="shared" si="3"/>
        <v>0</v>
      </c>
      <c r="AE10" s="3">
        <f t="shared" si="11"/>
        <v>0</v>
      </c>
      <c r="AF10" s="3">
        <f t="shared" si="4"/>
        <v>0</v>
      </c>
      <c r="AG10" s="3">
        <f t="shared" si="12"/>
        <v>0</v>
      </c>
      <c r="AH10" s="46"/>
    </row>
    <row r="11" spans="1:34" x14ac:dyDescent="0.3">
      <c r="A11" s="82"/>
      <c r="B11" s="19"/>
      <c r="C11" s="2"/>
      <c r="D11" s="27"/>
      <c r="E11" s="19"/>
      <c r="F11" s="2"/>
      <c r="G11" s="13"/>
      <c r="H11" s="13"/>
      <c r="I11" s="13"/>
      <c r="J11" s="13">
        <f t="shared" si="1"/>
        <v>0</v>
      </c>
      <c r="K11" s="13"/>
      <c r="L11" s="13">
        <f t="shared" si="5"/>
        <v>0</v>
      </c>
      <c r="M11" s="18"/>
      <c r="N11" s="3">
        <f t="shared" si="0"/>
        <v>0</v>
      </c>
      <c r="O11" s="3">
        <f t="shared" si="6"/>
        <v>0</v>
      </c>
      <c r="P11" s="3">
        <f t="shared" si="7"/>
        <v>0</v>
      </c>
      <c r="Q11" s="3">
        <f t="shared" si="8"/>
        <v>0</v>
      </c>
      <c r="R11" s="3">
        <f t="shared" si="9"/>
        <v>0</v>
      </c>
      <c r="S11" s="48"/>
      <c r="T11" s="44"/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B11" s="3">
        <f t="shared" si="10"/>
        <v>0</v>
      </c>
      <c r="AC11" s="3">
        <f t="shared" si="2"/>
        <v>0</v>
      </c>
      <c r="AD11" s="3">
        <f t="shared" si="3"/>
        <v>0</v>
      </c>
      <c r="AE11" s="3">
        <f t="shared" si="11"/>
        <v>0</v>
      </c>
      <c r="AF11" s="3">
        <f t="shared" si="4"/>
        <v>0</v>
      </c>
      <c r="AG11" s="3">
        <f t="shared" si="12"/>
        <v>0</v>
      </c>
      <c r="AH11" s="46"/>
    </row>
    <row r="12" spans="1:34" x14ac:dyDescent="0.3">
      <c r="A12" s="82"/>
      <c r="B12" s="19"/>
      <c r="C12" s="2"/>
      <c r="D12" s="27"/>
      <c r="E12" s="19"/>
      <c r="F12" s="2"/>
      <c r="G12" s="13"/>
      <c r="H12" s="13"/>
      <c r="I12" s="13"/>
      <c r="J12" s="13">
        <f t="shared" si="1"/>
        <v>0</v>
      </c>
      <c r="K12" s="13"/>
      <c r="L12" s="13">
        <f t="shared" si="5"/>
        <v>0</v>
      </c>
      <c r="M12" s="18"/>
      <c r="N12" s="3">
        <f t="shared" si="0"/>
        <v>0</v>
      </c>
      <c r="O12" s="3">
        <f t="shared" si="6"/>
        <v>0</v>
      </c>
      <c r="P12" s="3">
        <f t="shared" si="7"/>
        <v>0</v>
      </c>
      <c r="Q12" s="3">
        <f t="shared" si="8"/>
        <v>0</v>
      </c>
      <c r="R12" s="3">
        <f t="shared" si="9"/>
        <v>0</v>
      </c>
      <c r="S12" s="48"/>
      <c r="T12" s="44"/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B12" s="3">
        <f t="shared" si="10"/>
        <v>0</v>
      </c>
      <c r="AC12" s="3">
        <f t="shared" si="2"/>
        <v>0</v>
      </c>
      <c r="AD12" s="3">
        <f t="shared" si="3"/>
        <v>0</v>
      </c>
      <c r="AE12" s="3">
        <f t="shared" si="11"/>
        <v>0</v>
      </c>
      <c r="AF12" s="3">
        <f t="shared" si="4"/>
        <v>0</v>
      </c>
      <c r="AG12" s="3">
        <f t="shared" si="12"/>
        <v>0</v>
      </c>
      <c r="AH12" s="46"/>
    </row>
    <row r="13" spans="1:34" x14ac:dyDescent="0.3">
      <c r="A13" s="82"/>
      <c r="B13" s="19"/>
      <c r="C13" s="2"/>
      <c r="D13" s="27"/>
      <c r="E13" s="19"/>
      <c r="F13" s="2"/>
      <c r="G13" s="13"/>
      <c r="H13" s="13"/>
      <c r="I13" s="13"/>
      <c r="J13" s="13">
        <f t="shared" si="1"/>
        <v>0</v>
      </c>
      <c r="K13" s="13"/>
      <c r="L13" s="13">
        <f t="shared" si="5"/>
        <v>0</v>
      </c>
      <c r="M13" s="18"/>
      <c r="N13" s="3">
        <f t="shared" si="0"/>
        <v>0</v>
      </c>
      <c r="O13" s="3">
        <f t="shared" si="6"/>
        <v>0</v>
      </c>
      <c r="P13" s="3">
        <f t="shared" si="7"/>
        <v>0</v>
      </c>
      <c r="Q13" s="3">
        <f t="shared" si="8"/>
        <v>0</v>
      </c>
      <c r="R13" s="3">
        <f t="shared" si="9"/>
        <v>0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B13" s="3">
        <f t="shared" si="10"/>
        <v>0</v>
      </c>
      <c r="AC13" s="3">
        <f t="shared" si="2"/>
        <v>0</v>
      </c>
      <c r="AD13" s="3">
        <f t="shared" si="3"/>
        <v>0</v>
      </c>
      <c r="AE13" s="3">
        <f t="shared" si="11"/>
        <v>0</v>
      </c>
      <c r="AF13" s="3">
        <f t="shared" si="4"/>
        <v>0</v>
      </c>
      <c r="AG13" s="3">
        <f t="shared" si="12"/>
        <v>0</v>
      </c>
      <c r="AH13" s="46"/>
    </row>
    <row r="14" spans="1:34" x14ac:dyDescent="0.3">
      <c r="A14" s="82"/>
      <c r="B14" s="19"/>
      <c r="C14" s="2"/>
      <c r="D14" s="27"/>
      <c r="E14" s="19"/>
      <c r="F14" s="2"/>
      <c r="G14" s="13"/>
      <c r="H14" s="13"/>
      <c r="I14" s="13"/>
      <c r="J14" s="13">
        <f t="shared" si="1"/>
        <v>0</v>
      </c>
      <c r="K14" s="13"/>
      <c r="L14" s="13">
        <f t="shared" si="5"/>
        <v>0</v>
      </c>
      <c r="M14" s="18"/>
      <c r="N14" s="3">
        <f t="shared" si="0"/>
        <v>0</v>
      </c>
      <c r="O14" s="3">
        <f t="shared" si="6"/>
        <v>0</v>
      </c>
      <c r="P14" s="3">
        <f t="shared" si="7"/>
        <v>0</v>
      </c>
      <c r="Q14" s="3">
        <f t="shared" si="8"/>
        <v>0</v>
      </c>
      <c r="R14" s="3">
        <f t="shared" si="9"/>
        <v>0</v>
      </c>
      <c r="S14" s="48"/>
      <c r="T14" s="44"/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B14" s="3">
        <f t="shared" si="10"/>
        <v>0</v>
      </c>
      <c r="AC14" s="3">
        <f t="shared" si="2"/>
        <v>0</v>
      </c>
      <c r="AD14" s="3">
        <f t="shared" si="3"/>
        <v>0</v>
      </c>
      <c r="AE14" s="3">
        <f t="shared" si="11"/>
        <v>0</v>
      </c>
      <c r="AF14" s="3">
        <f t="shared" si="4"/>
        <v>0</v>
      </c>
      <c r="AG14" s="3">
        <f t="shared" si="12"/>
        <v>0</v>
      </c>
      <c r="AH14" s="46"/>
    </row>
    <row r="15" spans="1:34" x14ac:dyDescent="0.3">
      <c r="A15" s="82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5"/>
        <v>0</v>
      </c>
      <c r="M15" s="18"/>
      <c r="N15" s="3">
        <f t="shared" si="0"/>
        <v>0</v>
      </c>
      <c r="O15" s="3">
        <f t="shared" si="6"/>
        <v>0</v>
      </c>
      <c r="P15" s="3">
        <f t="shared" si="7"/>
        <v>0</v>
      </c>
      <c r="Q15" s="3">
        <f t="shared" si="8"/>
        <v>0</v>
      </c>
      <c r="R15" s="3">
        <f t="shared" si="9"/>
        <v>0</v>
      </c>
      <c r="S15" s="48"/>
      <c r="T15" s="44"/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B15" s="3">
        <f t="shared" si="10"/>
        <v>0</v>
      </c>
      <c r="AC15" s="3">
        <f t="shared" si="2"/>
        <v>0</v>
      </c>
      <c r="AD15" s="3">
        <f t="shared" si="3"/>
        <v>0</v>
      </c>
      <c r="AE15" s="3">
        <f t="shared" si="11"/>
        <v>0</v>
      </c>
      <c r="AF15" s="3">
        <f t="shared" si="4"/>
        <v>0</v>
      </c>
      <c r="AG15" s="3">
        <f t="shared" si="12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5"/>
        <v>0</v>
      </c>
      <c r="M16" s="18"/>
      <c r="N16" s="3">
        <f t="shared" si="0"/>
        <v>0</v>
      </c>
      <c r="O16" s="3">
        <f t="shared" si="6"/>
        <v>0</v>
      </c>
      <c r="P16" s="3">
        <f t="shared" si="7"/>
        <v>0</v>
      </c>
      <c r="Q16" s="3">
        <f t="shared" si="8"/>
        <v>0</v>
      </c>
      <c r="R16" s="3">
        <f t="shared" si="9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B16" s="3">
        <f t="shared" si="10"/>
        <v>0</v>
      </c>
      <c r="AC16" s="3">
        <f t="shared" si="2"/>
        <v>0</v>
      </c>
      <c r="AD16" s="3">
        <f t="shared" si="3"/>
        <v>0</v>
      </c>
      <c r="AE16" s="3">
        <f t="shared" si="11"/>
        <v>0</v>
      </c>
      <c r="AF16" s="3">
        <f t="shared" si="4"/>
        <v>0</v>
      </c>
      <c r="AG16" s="3">
        <f t="shared" si="12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5"/>
        <v>0</v>
      </c>
      <c r="M17" s="18"/>
      <c r="N17" s="3">
        <f t="shared" si="0"/>
        <v>0</v>
      </c>
      <c r="O17" s="3">
        <f t="shared" si="6"/>
        <v>0</v>
      </c>
      <c r="P17" s="3">
        <f t="shared" si="7"/>
        <v>0</v>
      </c>
      <c r="Q17" s="3">
        <f t="shared" si="8"/>
        <v>0</v>
      </c>
      <c r="R17" s="3">
        <f t="shared" si="9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B17" s="3">
        <f t="shared" si="10"/>
        <v>0</v>
      </c>
      <c r="AC17" s="3">
        <f t="shared" si="2"/>
        <v>0</v>
      </c>
      <c r="AD17" s="3">
        <f t="shared" si="3"/>
        <v>0</v>
      </c>
      <c r="AE17" s="3">
        <f t="shared" si="11"/>
        <v>0</v>
      </c>
      <c r="AF17" s="3">
        <f t="shared" si="4"/>
        <v>0</v>
      </c>
      <c r="AG17" s="3">
        <f t="shared" si="12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5"/>
        <v>0</v>
      </c>
      <c r="M18" s="18"/>
      <c r="N18" s="3">
        <f t="shared" si="0"/>
        <v>0</v>
      </c>
      <c r="O18" s="3">
        <f t="shared" si="6"/>
        <v>0</v>
      </c>
      <c r="P18" s="3">
        <f t="shared" si="7"/>
        <v>0</v>
      </c>
      <c r="Q18" s="3">
        <f t="shared" si="8"/>
        <v>0</v>
      </c>
      <c r="R18" s="3">
        <f t="shared" si="9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B18" s="3">
        <f t="shared" si="10"/>
        <v>0</v>
      </c>
      <c r="AC18" s="3">
        <f t="shared" si="2"/>
        <v>0</v>
      </c>
      <c r="AD18" s="3">
        <f t="shared" si="3"/>
        <v>0</v>
      </c>
      <c r="AE18" s="3">
        <f t="shared" si="11"/>
        <v>0</v>
      </c>
      <c r="AF18" s="3">
        <f t="shared" si="4"/>
        <v>0</v>
      </c>
      <c r="AG18" s="3">
        <f t="shared" si="12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13">+SUM(G3:G18)</f>
        <v>0</v>
      </c>
      <c r="H19" s="59">
        <f t="shared" si="13"/>
        <v>20471.599999999999</v>
      </c>
      <c r="I19" s="17">
        <f t="shared" si="13"/>
        <v>765.44</v>
      </c>
      <c r="J19" s="17">
        <f t="shared" si="13"/>
        <v>21237.040000000001</v>
      </c>
      <c r="K19" s="17">
        <f t="shared" si="13"/>
        <v>4973.2</v>
      </c>
      <c r="L19" s="17">
        <f t="shared" si="13"/>
        <v>16263.84</v>
      </c>
      <c r="M19" s="14"/>
      <c r="N19" s="55">
        <f>+SUM(N3:N18)</f>
        <v>407378.13331999996</v>
      </c>
      <c r="O19" s="16">
        <f>+SUM(O3:O18)</f>
        <v>14992.368832</v>
      </c>
      <c r="P19" s="16">
        <f>+SUM(P3:P18)</f>
        <v>422370.50215199997</v>
      </c>
      <c r="Q19" s="16">
        <f>+SUM(Q3:Q18)</f>
        <v>97407.314199999993</v>
      </c>
      <c r="R19" s="16">
        <f>+SUM(R3:R18)</f>
        <v>324963.18795200001</v>
      </c>
      <c r="S19" s="15"/>
      <c r="T19" s="15"/>
      <c r="U19" s="17">
        <f t="shared" ref="U19:Z19" si="14">+SUM(U3:U18)</f>
        <v>17235</v>
      </c>
      <c r="V19" s="17">
        <f t="shared" si="14"/>
        <v>220</v>
      </c>
      <c r="W19" s="17">
        <f t="shared" si="14"/>
        <v>1000</v>
      </c>
      <c r="X19" s="17">
        <f t="shared" si="14"/>
        <v>380</v>
      </c>
      <c r="Y19" s="17">
        <f t="shared" si="14"/>
        <v>1482.6</v>
      </c>
      <c r="Z19" s="17">
        <f t="shared" si="14"/>
        <v>154</v>
      </c>
      <c r="AA19" s="14"/>
      <c r="AB19" s="16">
        <f t="shared" ref="AB19:AG19" si="15">+SUM(AB3:AB18)</f>
        <v>342354.39289999998</v>
      </c>
      <c r="AC19" s="16">
        <f t="shared" si="15"/>
        <v>4308.1499999999996</v>
      </c>
      <c r="AD19" s="16">
        <f t="shared" si="15"/>
        <v>19586.8</v>
      </c>
      <c r="AE19" s="16">
        <f t="shared" si="15"/>
        <v>7442.9840000000004</v>
      </c>
      <c r="AF19" s="16">
        <f t="shared" si="15"/>
        <v>30670.101419999995</v>
      </c>
      <c r="AG19" s="16">
        <f t="shared" si="15"/>
        <v>3015.7049999999999</v>
      </c>
      <c r="AH19" s="14"/>
    </row>
    <row r="20" spans="1:34" ht="15" thickTop="1" x14ac:dyDescent="0.3">
      <c r="Z20" s="34">
        <f>+SUM(T19:Z19)</f>
        <v>20471.599999999999</v>
      </c>
      <c r="AG20" s="1">
        <f>+SUM(AB19:AG19)</f>
        <v>407378.13332000002</v>
      </c>
    </row>
    <row r="21" spans="1:34" x14ac:dyDescent="0.3">
      <c r="H21" s="23">
        <v>20471.599999999999</v>
      </c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I22" s="32"/>
      <c r="M22">
        <v>16</v>
      </c>
      <c r="N22" s="46">
        <f>+N4+N8</f>
        <v>93702.305199999988</v>
      </c>
      <c r="O22" s="81"/>
    </row>
    <row r="23" spans="1:34" x14ac:dyDescent="0.3">
      <c r="M23">
        <v>0</v>
      </c>
      <c r="N23" s="23">
        <f>+N3+N5+N6+N7</f>
        <v>313675.82811999996</v>
      </c>
      <c r="O23" s="81"/>
    </row>
    <row r="24" spans="1:34" x14ac:dyDescent="0.3">
      <c r="N24" s="23"/>
    </row>
    <row r="25" spans="1:34" x14ac:dyDescent="0.3">
      <c r="N25" s="23">
        <f>+N22+N23</f>
        <v>407378.13331999996</v>
      </c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134F-1CEC-4476-A397-52265B3654A5}">
  <sheetPr>
    <tabColor rgb="FF0070C0"/>
  </sheetPr>
  <dimension ref="A1:AN163"/>
  <sheetViews>
    <sheetView showGridLines="0" zoomScaleNormal="100" zoomScaleSheetLayoutView="50" workbookViewId="0">
      <pane xSplit="3" ySplit="1" topLeftCell="D125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33" width="15.6640625" style="1" customWidth="1"/>
    <col min="34" max="34" width="38.109375" style="1" bestFit="1" customWidth="1"/>
    <col min="35" max="35" width="35.6640625" style="1" customWidth="1"/>
    <col min="36" max="36" width="15.6640625" style="1" customWidth="1"/>
    <col min="37" max="37" width="12.33203125" bestFit="1" customWidth="1"/>
    <col min="38" max="38" width="13.88671875" bestFit="1" customWidth="1"/>
    <col min="39" max="39" width="12.5546875" bestFit="1" customWidth="1"/>
  </cols>
  <sheetData>
    <row r="1" spans="1:39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669</v>
      </c>
      <c r="Y1" s="5" t="s">
        <v>478</v>
      </c>
      <c r="Z1" s="5" t="s">
        <v>670</v>
      </c>
      <c r="AA1" s="5" t="s">
        <v>5</v>
      </c>
      <c r="AB1" s="5" t="s">
        <v>545</v>
      </c>
      <c r="AC1" s="5" t="s">
        <v>974</v>
      </c>
      <c r="AD1" s="5" t="s">
        <v>396</v>
      </c>
      <c r="AE1" s="5" t="s">
        <v>47</v>
      </c>
      <c r="AF1" s="5" t="s">
        <v>763</v>
      </c>
      <c r="AG1"/>
      <c r="AH1"/>
      <c r="AI1" s="7"/>
      <c r="AJ1" s="5" t="s">
        <v>35</v>
      </c>
      <c r="AK1" s="5" t="s">
        <v>36</v>
      </c>
      <c r="AL1" s="5" t="s">
        <v>17</v>
      </c>
      <c r="AM1" s="5" t="s">
        <v>59</v>
      </c>
    </row>
    <row r="2" spans="1:39" x14ac:dyDescent="0.3">
      <c r="A2" s="38">
        <v>2</v>
      </c>
      <c r="B2" s="38" t="s">
        <v>781</v>
      </c>
      <c r="C2" s="38" t="s">
        <v>770</v>
      </c>
      <c r="D2" s="39">
        <v>45784</v>
      </c>
      <c r="E2" s="38" t="s">
        <v>22</v>
      </c>
      <c r="F2" s="38" t="s">
        <v>45</v>
      </c>
      <c r="G2" s="40">
        <v>336</v>
      </c>
      <c r="H2" s="40">
        <v>6894.17</v>
      </c>
      <c r="I2" s="40">
        <v>1103.07</v>
      </c>
      <c r="J2" s="40">
        <f>SUM(G2:I2)</f>
        <v>8333.24</v>
      </c>
      <c r="K2" s="40">
        <v>8333.24</v>
      </c>
      <c r="L2" s="40">
        <f>+J2-K2</f>
        <v>0</v>
      </c>
      <c r="M2" s="38" t="s">
        <v>35</v>
      </c>
      <c r="N2" s="54"/>
      <c r="O2" s="36">
        <f>+H2*0.16-I2</f>
        <v>-2.7999999999792635E-3</v>
      </c>
      <c r="P2" s="40">
        <v>0</v>
      </c>
      <c r="Q2" s="40">
        <v>336</v>
      </c>
      <c r="R2" s="41"/>
      <c r="S2" s="40">
        <v>2944.17</v>
      </c>
      <c r="T2" s="40">
        <v>0</v>
      </c>
      <c r="U2" s="40">
        <v>0</v>
      </c>
      <c r="V2" s="40">
        <v>0</v>
      </c>
      <c r="W2" s="40">
        <v>3950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36">
        <f t="shared" ref="AG2:AG33" si="0">+SUM(S2:AF2)-H2</f>
        <v>0</v>
      </c>
      <c r="AH2"/>
      <c r="AI2" s="37" t="s">
        <v>1</v>
      </c>
      <c r="AJ2" s="1">
        <f>+S146</f>
        <v>878883.87999999989</v>
      </c>
      <c r="AK2" s="1">
        <v>0</v>
      </c>
      <c r="AL2" s="1">
        <f>SUM(AJ2:AK2)</f>
        <v>878883.87999999989</v>
      </c>
      <c r="AM2" s="56">
        <f>+AL2/AL17</f>
        <v>0.16811243618778499</v>
      </c>
    </row>
    <row r="3" spans="1:39" x14ac:dyDescent="0.3">
      <c r="A3" s="38">
        <v>2</v>
      </c>
      <c r="B3" s="38" t="s">
        <v>782</v>
      </c>
      <c r="C3" s="38" t="s">
        <v>771</v>
      </c>
      <c r="D3" s="39">
        <v>45784</v>
      </c>
      <c r="E3" s="38" t="s">
        <v>22</v>
      </c>
      <c r="F3" s="38" t="s">
        <v>45</v>
      </c>
      <c r="G3" s="40">
        <v>336</v>
      </c>
      <c r="H3" s="40">
        <v>6894.17</v>
      </c>
      <c r="I3" s="40">
        <v>1103.07</v>
      </c>
      <c r="J3" s="40">
        <f t="shared" ref="J3:J66" si="1">SUM(G3:I3)</f>
        <v>8333.24</v>
      </c>
      <c r="K3" s="40">
        <v>8333.24</v>
      </c>
      <c r="L3" s="40">
        <f t="shared" ref="L3:L66" si="2">+J3-K3</f>
        <v>0</v>
      </c>
      <c r="M3" s="38" t="s">
        <v>35</v>
      </c>
      <c r="N3" s="54"/>
      <c r="O3" s="36"/>
      <c r="P3" s="40">
        <v>0</v>
      </c>
      <c r="Q3" s="40">
        <v>336</v>
      </c>
      <c r="R3" s="40"/>
      <c r="S3" s="40">
        <v>2944.17</v>
      </c>
      <c r="T3" s="40">
        <v>0</v>
      </c>
      <c r="U3" s="40">
        <v>0</v>
      </c>
      <c r="V3" s="40">
        <v>0</v>
      </c>
      <c r="W3" s="40">
        <v>3950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36">
        <f t="shared" si="0"/>
        <v>0</v>
      </c>
      <c r="AH3"/>
      <c r="AI3" s="37" t="s">
        <v>50</v>
      </c>
      <c r="AJ3" s="1">
        <f>+T146</f>
        <v>11678.2</v>
      </c>
      <c r="AK3" s="1">
        <f>+'MAY USD '!AC19</f>
        <v>8582.119999999999</v>
      </c>
      <c r="AL3" s="1">
        <f t="shared" ref="AL3:AL16" si="3">SUM(AJ3:AK3)</f>
        <v>20260.32</v>
      </c>
      <c r="AM3" s="56">
        <f>+AL3/AL17</f>
        <v>3.875383120172945E-3</v>
      </c>
    </row>
    <row r="4" spans="1:39" x14ac:dyDescent="0.3">
      <c r="A4" s="38">
        <v>2</v>
      </c>
      <c r="B4" s="38" t="s">
        <v>783</v>
      </c>
      <c r="C4" s="38" t="s">
        <v>772</v>
      </c>
      <c r="D4" s="39">
        <v>45784</v>
      </c>
      <c r="E4" s="38" t="s">
        <v>22</v>
      </c>
      <c r="F4" s="38" t="s">
        <v>45</v>
      </c>
      <c r="G4" s="40">
        <v>336</v>
      </c>
      <c r="H4" s="40">
        <v>8856.9500000000007</v>
      </c>
      <c r="I4" s="40">
        <v>1417.11</v>
      </c>
      <c r="J4" s="40">
        <f t="shared" si="1"/>
        <v>10610.060000000001</v>
      </c>
      <c r="K4" s="40">
        <v>10610.06</v>
      </c>
      <c r="L4" s="40">
        <f t="shared" si="2"/>
        <v>0</v>
      </c>
      <c r="M4" s="38" t="s">
        <v>35</v>
      </c>
      <c r="N4" s="54"/>
      <c r="O4" s="36"/>
      <c r="P4" s="40">
        <v>0</v>
      </c>
      <c r="Q4" s="40">
        <v>336</v>
      </c>
      <c r="R4" s="40"/>
      <c r="S4" s="40">
        <v>4906.95</v>
      </c>
      <c r="T4" s="40">
        <v>0</v>
      </c>
      <c r="U4" s="40">
        <v>0</v>
      </c>
      <c r="V4" s="40">
        <v>0</v>
      </c>
      <c r="W4" s="40">
        <v>3950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36">
        <f t="shared" si="0"/>
        <v>0</v>
      </c>
      <c r="AH4"/>
      <c r="AI4" s="37" t="s">
        <v>54</v>
      </c>
      <c r="AJ4" s="1">
        <f>+U146</f>
        <v>2196733.4099999997</v>
      </c>
      <c r="AK4" s="1">
        <v>0</v>
      </c>
      <c r="AL4" s="1">
        <f t="shared" si="3"/>
        <v>2196733.4099999997</v>
      </c>
      <c r="AM4" s="56">
        <f>+AL4/AL17</f>
        <v>0.42018998597425666</v>
      </c>
    </row>
    <row r="5" spans="1:39" x14ac:dyDescent="0.3">
      <c r="A5" s="38">
        <v>2</v>
      </c>
      <c r="B5" s="38" t="s">
        <v>784</v>
      </c>
      <c r="C5" s="38" t="s">
        <v>773</v>
      </c>
      <c r="D5" s="39">
        <v>45784</v>
      </c>
      <c r="E5" s="38" t="s">
        <v>53</v>
      </c>
      <c r="F5" t="s">
        <v>199</v>
      </c>
      <c r="G5" s="40">
        <v>782</v>
      </c>
      <c r="H5" s="40">
        <v>7781.2</v>
      </c>
      <c r="I5" s="40">
        <v>1244.99</v>
      </c>
      <c r="J5" s="40">
        <f t="shared" si="1"/>
        <v>9808.19</v>
      </c>
      <c r="K5" s="40">
        <v>9808.19</v>
      </c>
      <c r="L5" s="40">
        <f t="shared" si="2"/>
        <v>0</v>
      </c>
      <c r="M5" s="38" t="s">
        <v>35</v>
      </c>
      <c r="N5" s="54"/>
      <c r="O5" s="36"/>
      <c r="P5" s="40">
        <v>0</v>
      </c>
      <c r="Q5" s="40">
        <v>782</v>
      </c>
      <c r="R5" s="41"/>
      <c r="S5" s="40">
        <v>7781.2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36">
        <f t="shared" si="0"/>
        <v>0</v>
      </c>
      <c r="AH5"/>
      <c r="AI5" s="37" t="s">
        <v>43</v>
      </c>
      <c r="AJ5" s="1">
        <f>+V146</f>
        <v>596041.34</v>
      </c>
      <c r="AK5" s="1">
        <v>0</v>
      </c>
      <c r="AL5" s="1">
        <f t="shared" si="3"/>
        <v>596041.34</v>
      </c>
      <c r="AM5" s="56">
        <f>+AL5/AL17</f>
        <v>0.1140104671575406</v>
      </c>
    </row>
    <row r="6" spans="1:39" x14ac:dyDescent="0.3">
      <c r="A6" s="38">
        <v>1</v>
      </c>
      <c r="B6" s="38" t="s">
        <v>785</v>
      </c>
      <c r="C6" s="38" t="s">
        <v>774</v>
      </c>
      <c r="D6" s="39">
        <v>45784</v>
      </c>
      <c r="E6" s="38" t="s">
        <v>40</v>
      </c>
      <c r="F6" s="38" t="s">
        <v>41</v>
      </c>
      <c r="G6" s="40">
        <v>0</v>
      </c>
      <c r="H6" s="40">
        <v>9074.25</v>
      </c>
      <c r="I6" s="40">
        <v>1451.88</v>
      </c>
      <c r="J6" s="40">
        <f t="shared" si="1"/>
        <v>10526.130000000001</v>
      </c>
      <c r="K6" s="40">
        <v>0</v>
      </c>
      <c r="L6" s="40">
        <f t="shared" si="2"/>
        <v>10526.130000000001</v>
      </c>
      <c r="M6" s="38" t="s">
        <v>35</v>
      </c>
      <c r="N6" s="54"/>
      <c r="O6" s="36"/>
      <c r="P6" s="40">
        <v>0</v>
      </c>
      <c r="Q6" s="40">
        <v>0</v>
      </c>
      <c r="R6" s="41"/>
      <c r="S6" s="40">
        <v>3909.56</v>
      </c>
      <c r="T6" s="40">
        <v>1500</v>
      </c>
      <c r="U6" s="40">
        <v>1164.69</v>
      </c>
      <c r="V6" s="40">
        <v>0</v>
      </c>
      <c r="W6" s="40">
        <v>2500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36">
        <f t="shared" si="0"/>
        <v>0</v>
      </c>
      <c r="AH6"/>
      <c r="AI6" s="37" t="s">
        <v>0</v>
      </c>
      <c r="AJ6" s="1">
        <f>+W146</f>
        <v>968259.44000000006</v>
      </c>
      <c r="AK6" s="1">
        <f>+'MAY USD '!AB19</f>
        <v>294647.59237999999</v>
      </c>
      <c r="AL6" s="1">
        <f t="shared" si="3"/>
        <v>1262907.03238</v>
      </c>
      <c r="AM6" s="56">
        <f>+AL6/AL17</f>
        <v>0.2415681783719684</v>
      </c>
    </row>
    <row r="7" spans="1:39" x14ac:dyDescent="0.3">
      <c r="A7" s="38">
        <v>1</v>
      </c>
      <c r="B7" s="38" t="s">
        <v>786</v>
      </c>
      <c r="C7" s="50" t="s">
        <v>775</v>
      </c>
      <c r="D7" s="39">
        <v>45784</v>
      </c>
      <c r="E7" s="38" t="s">
        <v>40</v>
      </c>
      <c r="F7" s="38" t="s">
        <v>41</v>
      </c>
      <c r="G7" s="40">
        <v>0</v>
      </c>
      <c r="H7" s="40">
        <v>73533.759999999995</v>
      </c>
      <c r="I7" s="40">
        <v>11765.41</v>
      </c>
      <c r="J7" s="40">
        <f t="shared" si="1"/>
        <v>85299.17</v>
      </c>
      <c r="K7" s="40">
        <v>0</v>
      </c>
      <c r="L7" s="40">
        <f t="shared" si="2"/>
        <v>85299.17</v>
      </c>
      <c r="M7" s="38" t="s">
        <v>35</v>
      </c>
      <c r="N7" s="54"/>
      <c r="O7" s="36"/>
      <c r="P7" s="40">
        <v>0</v>
      </c>
      <c r="Q7" s="40">
        <v>0</v>
      </c>
      <c r="R7" s="41"/>
      <c r="S7" s="40">
        <v>6087.66</v>
      </c>
      <c r="T7" s="40">
        <v>0</v>
      </c>
      <c r="U7" s="40">
        <v>25750</v>
      </c>
      <c r="V7" s="40">
        <v>0</v>
      </c>
      <c r="W7" s="40">
        <v>40837.5</v>
      </c>
      <c r="X7" s="40">
        <v>858.6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36">
        <f t="shared" si="0"/>
        <v>0</v>
      </c>
      <c r="AH7"/>
      <c r="AI7" s="37" t="s">
        <v>669</v>
      </c>
      <c r="AJ7" s="1">
        <f>+X146</f>
        <v>1550.25</v>
      </c>
      <c r="AK7" s="1">
        <v>0</v>
      </c>
      <c r="AL7" s="1">
        <f t="shared" si="3"/>
        <v>1550.25</v>
      </c>
      <c r="AM7" s="80">
        <f>+AL7/AL17</f>
        <v>2.9653098677849646E-4</v>
      </c>
    </row>
    <row r="8" spans="1:39" x14ac:dyDescent="0.3">
      <c r="A8" s="38">
        <v>1</v>
      </c>
      <c r="B8" s="38" t="s">
        <v>787</v>
      </c>
      <c r="C8" s="38" t="s">
        <v>776</v>
      </c>
      <c r="D8" s="39">
        <v>45784</v>
      </c>
      <c r="E8" s="38" t="s">
        <v>40</v>
      </c>
      <c r="F8" s="38" t="s">
        <v>41</v>
      </c>
      <c r="G8" s="40">
        <v>0</v>
      </c>
      <c r="H8" s="40">
        <v>73285.539999999994</v>
      </c>
      <c r="I8" s="40">
        <v>11725.68</v>
      </c>
      <c r="J8" s="40">
        <f t="shared" si="1"/>
        <v>85011.22</v>
      </c>
      <c r="K8" s="40">
        <v>0</v>
      </c>
      <c r="L8" s="40">
        <f t="shared" si="2"/>
        <v>85011.22</v>
      </c>
      <c r="M8" s="38" t="s">
        <v>35</v>
      </c>
      <c r="N8" s="54"/>
      <c r="O8" s="36"/>
      <c r="P8" s="40">
        <v>0</v>
      </c>
      <c r="Q8" s="40">
        <v>0</v>
      </c>
      <c r="R8" s="41"/>
      <c r="S8" s="40">
        <v>6006.39</v>
      </c>
      <c r="T8" s="40">
        <v>0</v>
      </c>
      <c r="U8" s="40">
        <v>25750</v>
      </c>
      <c r="V8" s="40">
        <v>0</v>
      </c>
      <c r="W8" s="40">
        <v>40837.5</v>
      </c>
      <c r="X8" s="40">
        <v>691.65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36">
        <f t="shared" si="0"/>
        <v>0</v>
      </c>
      <c r="AH8"/>
      <c r="AI8" s="37" t="s">
        <v>478</v>
      </c>
      <c r="AJ8" s="1">
        <f>+Y146</f>
        <v>6000</v>
      </c>
      <c r="AK8" s="1">
        <v>0</v>
      </c>
      <c r="AL8" s="1">
        <f t="shared" si="3"/>
        <v>6000</v>
      </c>
      <c r="AM8" s="56">
        <f>+AL8/AL17</f>
        <v>1.1476767751465757E-3</v>
      </c>
    </row>
    <row r="9" spans="1:39" x14ac:dyDescent="0.3">
      <c r="A9" s="38">
        <v>2</v>
      </c>
      <c r="B9" s="38" t="s">
        <v>788</v>
      </c>
      <c r="C9" s="38" t="s">
        <v>777</v>
      </c>
      <c r="D9" s="39">
        <v>45784</v>
      </c>
      <c r="E9" s="38" t="s">
        <v>53</v>
      </c>
      <c r="F9" t="s">
        <v>199</v>
      </c>
      <c r="G9" s="40">
        <v>1118</v>
      </c>
      <c r="H9" s="40">
        <v>15685</v>
      </c>
      <c r="I9" s="40">
        <v>2509.6</v>
      </c>
      <c r="J9" s="40">
        <f t="shared" si="1"/>
        <v>19312.599999999999</v>
      </c>
      <c r="K9" s="40">
        <v>19312.599999999999</v>
      </c>
      <c r="L9" s="40">
        <f t="shared" si="2"/>
        <v>0</v>
      </c>
      <c r="M9" s="38" t="s">
        <v>35</v>
      </c>
      <c r="N9" s="54"/>
      <c r="O9" s="36"/>
      <c r="P9" s="40">
        <v>0</v>
      </c>
      <c r="Q9" s="40">
        <f>782+336</f>
        <v>1118</v>
      </c>
      <c r="R9" s="41"/>
      <c r="S9" s="40">
        <f>7789+7896</f>
        <v>15685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36">
        <f t="shared" si="0"/>
        <v>0</v>
      </c>
      <c r="AH9"/>
      <c r="AI9" s="37" t="s">
        <v>670</v>
      </c>
      <c r="AJ9" s="1">
        <f>+Z146</f>
        <v>15750</v>
      </c>
      <c r="AK9" s="1">
        <v>0</v>
      </c>
      <c r="AL9" s="1">
        <f t="shared" si="3"/>
        <v>15750</v>
      </c>
      <c r="AM9" s="56">
        <f>+AL9/AL17</f>
        <v>3.0126515347597611E-3</v>
      </c>
    </row>
    <row r="10" spans="1:39" x14ac:dyDescent="0.3">
      <c r="A10" s="38">
        <v>2</v>
      </c>
      <c r="B10" s="38" t="s">
        <v>789</v>
      </c>
      <c r="C10" s="38" t="s">
        <v>778</v>
      </c>
      <c r="D10" s="39">
        <v>45785</v>
      </c>
      <c r="E10" s="38" t="s">
        <v>224</v>
      </c>
      <c r="F10" s="38" t="s">
        <v>221</v>
      </c>
      <c r="G10" s="40">
        <v>0</v>
      </c>
      <c r="H10" s="40">
        <v>57070.28</v>
      </c>
      <c r="I10" s="40">
        <v>9131.24</v>
      </c>
      <c r="J10" s="40">
        <f t="shared" si="1"/>
        <v>66201.52</v>
      </c>
      <c r="K10" s="40">
        <v>66201.52</v>
      </c>
      <c r="L10" s="40">
        <f t="shared" si="2"/>
        <v>0</v>
      </c>
      <c r="M10" s="38" t="s">
        <v>35</v>
      </c>
      <c r="N10" s="54"/>
      <c r="O10" s="36"/>
      <c r="P10" s="40">
        <v>0</v>
      </c>
      <c r="Q10" s="40">
        <v>0</v>
      </c>
      <c r="R10" s="41"/>
      <c r="S10" s="40">
        <v>0</v>
      </c>
      <c r="T10" s="40">
        <v>0</v>
      </c>
      <c r="U10" s="40">
        <v>0</v>
      </c>
      <c r="V10" s="40">
        <v>0</v>
      </c>
      <c r="W10" s="40">
        <v>57070.28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36">
        <f t="shared" si="0"/>
        <v>0</v>
      </c>
      <c r="AH10"/>
      <c r="AI10" s="37" t="s">
        <v>5</v>
      </c>
      <c r="AJ10" s="1">
        <f>+AA146</f>
        <v>110000</v>
      </c>
      <c r="AK10" s="1">
        <v>0</v>
      </c>
      <c r="AL10" s="1">
        <f t="shared" si="3"/>
        <v>110000</v>
      </c>
      <c r="AM10" s="56">
        <f>+AL10/AL17</f>
        <v>2.104074087768722E-2</v>
      </c>
    </row>
    <row r="11" spans="1:39" x14ac:dyDescent="0.3">
      <c r="A11" s="38">
        <v>2</v>
      </c>
      <c r="B11" s="38" t="s">
        <v>790</v>
      </c>
      <c r="C11" s="2" t="s">
        <v>779</v>
      </c>
      <c r="D11" s="39">
        <v>45785</v>
      </c>
      <c r="E11" s="38" t="s">
        <v>22</v>
      </c>
      <c r="F11" s="38" t="s">
        <v>45</v>
      </c>
      <c r="G11" s="40">
        <v>781</v>
      </c>
      <c r="H11" s="40">
        <v>8150</v>
      </c>
      <c r="I11" s="40">
        <v>1304</v>
      </c>
      <c r="J11" s="40">
        <f t="shared" si="1"/>
        <v>10235</v>
      </c>
      <c r="K11" s="40">
        <v>10235</v>
      </c>
      <c r="L11" s="40">
        <f t="shared" si="2"/>
        <v>0</v>
      </c>
      <c r="M11" s="38" t="s">
        <v>35</v>
      </c>
      <c r="N11" s="54"/>
      <c r="O11" s="36"/>
      <c r="P11" s="40">
        <v>0</v>
      </c>
      <c r="Q11" s="40">
        <v>781</v>
      </c>
      <c r="R11" s="41"/>
      <c r="S11" s="40">
        <v>4200</v>
      </c>
      <c r="T11" s="40">
        <v>0</v>
      </c>
      <c r="U11" s="40">
        <v>0</v>
      </c>
      <c r="V11" s="40">
        <v>0</v>
      </c>
      <c r="W11" s="40">
        <v>3950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36">
        <f t="shared" si="0"/>
        <v>0</v>
      </c>
      <c r="AH11"/>
      <c r="AI11" s="37" t="s">
        <v>545</v>
      </c>
      <c r="AJ11" s="1">
        <f>+AB146</f>
        <v>45715</v>
      </c>
      <c r="AK11" s="1">
        <v>0</v>
      </c>
      <c r="AL11" s="1">
        <f t="shared" si="3"/>
        <v>45715</v>
      </c>
      <c r="AM11" s="56">
        <f>+AL11/AL17</f>
        <v>8.7443406293042838E-3</v>
      </c>
    </row>
    <row r="12" spans="1:39" ht="14.4" customHeight="1" x14ac:dyDescent="0.3">
      <c r="A12" s="38">
        <v>1</v>
      </c>
      <c r="B12" s="38" t="s">
        <v>791</v>
      </c>
      <c r="C12" s="2" t="s">
        <v>780</v>
      </c>
      <c r="D12" s="39">
        <v>45785</v>
      </c>
      <c r="E12" s="38" t="s">
        <v>22</v>
      </c>
      <c r="F12" s="38" t="s">
        <v>45</v>
      </c>
      <c r="G12" s="40">
        <v>336</v>
      </c>
      <c r="H12" s="40">
        <v>9300</v>
      </c>
      <c r="I12" s="40">
        <v>1488</v>
      </c>
      <c r="J12" s="40">
        <f t="shared" si="1"/>
        <v>11124</v>
      </c>
      <c r="K12" s="40">
        <v>11124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336</v>
      </c>
      <c r="R12" s="41"/>
      <c r="S12" s="40">
        <v>6000</v>
      </c>
      <c r="T12" s="40">
        <v>0</v>
      </c>
      <c r="U12" s="40">
        <v>3300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36">
        <f t="shared" si="0"/>
        <v>0</v>
      </c>
      <c r="AH12"/>
      <c r="AI12" s="37" t="s">
        <v>974</v>
      </c>
      <c r="AJ12" s="1">
        <f>+AC146</f>
        <v>25285.31</v>
      </c>
      <c r="AK12" s="1">
        <v>0</v>
      </c>
      <c r="AL12" s="1">
        <f t="shared" si="3"/>
        <v>25285.31</v>
      </c>
      <c r="AM12" s="56">
        <f>+AL12/AL17</f>
        <v>4.8365605065635768E-3</v>
      </c>
    </row>
    <row r="13" spans="1:39" x14ac:dyDescent="0.3">
      <c r="A13" s="38">
        <v>1</v>
      </c>
      <c r="B13" s="38" t="s">
        <v>832</v>
      </c>
      <c r="C13" s="2" t="s">
        <v>797</v>
      </c>
      <c r="D13" s="39">
        <v>45790</v>
      </c>
      <c r="E13" s="38" t="s">
        <v>22</v>
      </c>
      <c r="F13" s="38" t="s">
        <v>45</v>
      </c>
      <c r="G13" s="40">
        <v>2413</v>
      </c>
      <c r="H13" s="40">
        <v>16050</v>
      </c>
      <c r="I13" s="40">
        <v>2568</v>
      </c>
      <c r="J13" s="40">
        <f t="shared" si="1"/>
        <v>21031</v>
      </c>
      <c r="K13" s="40">
        <v>20335</v>
      </c>
      <c r="L13" s="40">
        <f t="shared" si="2"/>
        <v>696</v>
      </c>
      <c r="M13" s="38" t="s">
        <v>35</v>
      </c>
      <c r="N13" s="54"/>
      <c r="O13" s="36"/>
      <c r="P13" s="40">
        <v>0</v>
      </c>
      <c r="Q13" s="40">
        <v>2413</v>
      </c>
      <c r="R13" s="41"/>
      <c r="S13" s="40">
        <v>6000</v>
      </c>
      <c r="T13" s="40">
        <v>0</v>
      </c>
      <c r="U13" s="40">
        <v>5500</v>
      </c>
      <c r="V13" s="40">
        <v>0</v>
      </c>
      <c r="W13" s="40">
        <v>3950</v>
      </c>
      <c r="X13" s="40">
        <v>0</v>
      </c>
      <c r="Y13" s="40">
        <v>0</v>
      </c>
      <c r="Z13" s="40">
        <v>0</v>
      </c>
      <c r="AA13" s="40">
        <v>0</v>
      </c>
      <c r="AB13" s="40">
        <v>600</v>
      </c>
      <c r="AC13" s="40">
        <v>0</v>
      </c>
      <c r="AD13" s="40">
        <v>0</v>
      </c>
      <c r="AE13" s="40">
        <v>0</v>
      </c>
      <c r="AF13" s="40">
        <v>0</v>
      </c>
      <c r="AG13" s="36">
        <f t="shared" si="0"/>
        <v>0</v>
      </c>
      <c r="AH13"/>
      <c r="AI13" s="37" t="s">
        <v>396</v>
      </c>
      <c r="AJ13" s="1">
        <f>+AD146</f>
        <v>13055.65</v>
      </c>
      <c r="AK13" s="1">
        <f>+'MAY USD '!AG19</f>
        <v>3885.1000000000004</v>
      </c>
      <c r="AL13" s="1">
        <f t="shared" si="3"/>
        <v>16940.75</v>
      </c>
      <c r="AM13" s="80">
        <f>+AL13/AL17</f>
        <v>3.2404175547607254E-3</v>
      </c>
    </row>
    <row r="14" spans="1:39" x14ac:dyDescent="0.3">
      <c r="A14" s="38">
        <v>2</v>
      </c>
      <c r="B14" s="38" t="s">
        <v>833</v>
      </c>
      <c r="C14" s="2" t="s">
        <v>798</v>
      </c>
      <c r="D14" s="39">
        <v>45790</v>
      </c>
      <c r="E14" s="38" t="s">
        <v>22</v>
      </c>
      <c r="F14" s="38" t="s">
        <v>45</v>
      </c>
      <c r="G14" s="40">
        <v>336</v>
      </c>
      <c r="H14" s="40">
        <v>13803.55</v>
      </c>
      <c r="I14" s="40">
        <v>2208.5700000000002</v>
      </c>
      <c r="J14" s="40">
        <f t="shared" si="1"/>
        <v>16348.119999999999</v>
      </c>
      <c r="K14" s="40">
        <v>16348.12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336</v>
      </c>
      <c r="R14" s="41"/>
      <c r="S14" s="40">
        <v>5903.55</v>
      </c>
      <c r="T14" s="40">
        <v>0</v>
      </c>
      <c r="U14" s="40">
        <v>0</v>
      </c>
      <c r="V14" s="40">
        <v>0</v>
      </c>
      <c r="W14" s="40">
        <v>7900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36">
        <f t="shared" si="0"/>
        <v>0</v>
      </c>
      <c r="AH14"/>
      <c r="AI14" s="37" t="s">
        <v>47</v>
      </c>
      <c r="AJ14" s="1">
        <f>+AE146</f>
        <v>1425</v>
      </c>
      <c r="AK14" s="1">
        <v>0</v>
      </c>
      <c r="AL14" s="1">
        <f t="shared" si="3"/>
        <v>1425</v>
      </c>
      <c r="AM14" s="56">
        <f>+AL14/AL17</f>
        <v>2.7257323409731171E-4</v>
      </c>
    </row>
    <row r="15" spans="1:39" x14ac:dyDescent="0.3">
      <c r="A15" s="38">
        <v>2</v>
      </c>
      <c r="B15" s="38" t="s">
        <v>834</v>
      </c>
      <c r="C15" s="2" t="s">
        <v>799</v>
      </c>
      <c r="D15" s="39">
        <v>45790</v>
      </c>
      <c r="E15" s="38" t="s">
        <v>22</v>
      </c>
      <c r="F15" s="38" t="s">
        <v>45</v>
      </c>
      <c r="G15" s="40">
        <v>781</v>
      </c>
      <c r="H15" s="40">
        <v>8150</v>
      </c>
      <c r="I15" s="40">
        <v>1304</v>
      </c>
      <c r="J15" s="40">
        <f t="shared" si="1"/>
        <v>10235</v>
      </c>
      <c r="K15" s="40">
        <v>10235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781</v>
      </c>
      <c r="R15" s="41"/>
      <c r="S15" s="40">
        <v>4200</v>
      </c>
      <c r="T15" s="40">
        <v>0</v>
      </c>
      <c r="U15" s="40">
        <v>0</v>
      </c>
      <c r="V15" s="40">
        <v>0</v>
      </c>
      <c r="W15" s="40">
        <v>3950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36">
        <f t="shared" si="0"/>
        <v>0</v>
      </c>
      <c r="AH15"/>
      <c r="AI15" s="37" t="s">
        <v>763</v>
      </c>
      <c r="AJ15" s="1">
        <f>+AF146</f>
        <v>1800</v>
      </c>
      <c r="AK15" s="1">
        <v>0</v>
      </c>
      <c r="AL15" s="1">
        <f t="shared" si="3"/>
        <v>1800</v>
      </c>
      <c r="AM15" s="56">
        <f>+AL15/AL17</f>
        <v>3.4430303254397268E-4</v>
      </c>
    </row>
    <row r="16" spans="1:39" x14ac:dyDescent="0.3">
      <c r="A16" s="38">
        <v>2</v>
      </c>
      <c r="B16" s="38" t="s">
        <v>835</v>
      </c>
      <c r="C16" s="2" t="s">
        <v>800</v>
      </c>
      <c r="D16" s="39">
        <v>45790</v>
      </c>
      <c r="E16" s="38" t="s">
        <v>22</v>
      </c>
      <c r="F16" s="38" t="s">
        <v>45</v>
      </c>
      <c r="G16" s="40">
        <v>16790</v>
      </c>
      <c r="H16" s="40">
        <v>11268.96</v>
      </c>
      <c r="I16" s="40">
        <v>1803.03</v>
      </c>
      <c r="J16" s="40">
        <f t="shared" si="1"/>
        <v>29861.989999999998</v>
      </c>
      <c r="K16" s="40">
        <v>29862</v>
      </c>
      <c r="L16" s="40">
        <f t="shared" si="2"/>
        <v>-1.0000000002037268E-2</v>
      </c>
      <c r="M16" s="38" t="s">
        <v>35</v>
      </c>
      <c r="N16" s="54"/>
      <c r="O16" s="36"/>
      <c r="P16" s="40">
        <v>0</v>
      </c>
      <c r="Q16" s="40">
        <v>16790</v>
      </c>
      <c r="R16" s="41"/>
      <c r="S16" s="40">
        <v>4168.96</v>
      </c>
      <c r="T16" s="40">
        <v>0</v>
      </c>
      <c r="U16" s="40">
        <v>0</v>
      </c>
      <c r="V16" s="40">
        <v>0</v>
      </c>
      <c r="W16" s="40">
        <v>3950</v>
      </c>
      <c r="X16" s="40">
        <v>0</v>
      </c>
      <c r="Y16" s="40">
        <v>0</v>
      </c>
      <c r="Z16" s="40">
        <v>3150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36">
        <f t="shared" si="0"/>
        <v>0</v>
      </c>
      <c r="AH16"/>
      <c r="AI16" s="58" t="s">
        <v>1066</v>
      </c>
      <c r="AJ16" s="1">
        <v>0</v>
      </c>
      <c r="AK16" s="1">
        <f>+'MAY USD '!AF19</f>
        <v>48660.498800000001</v>
      </c>
      <c r="AL16" s="1">
        <f t="shared" si="3"/>
        <v>48660.498800000001</v>
      </c>
      <c r="AM16" s="56">
        <f>+AL16/AL17</f>
        <v>9.3077540566346359E-3</v>
      </c>
    </row>
    <row r="17" spans="1:39" x14ac:dyDescent="0.3">
      <c r="A17" s="38">
        <v>2</v>
      </c>
      <c r="B17" s="38" t="s">
        <v>836</v>
      </c>
      <c r="C17" s="2" t="s">
        <v>801</v>
      </c>
      <c r="D17" s="39">
        <v>45790</v>
      </c>
      <c r="E17" s="38" t="s">
        <v>22</v>
      </c>
      <c r="F17" s="38" t="s">
        <v>45</v>
      </c>
      <c r="G17" s="40">
        <v>781</v>
      </c>
      <c r="H17" s="40">
        <v>8150</v>
      </c>
      <c r="I17" s="40">
        <v>1304</v>
      </c>
      <c r="J17" s="40">
        <f t="shared" si="1"/>
        <v>10235</v>
      </c>
      <c r="K17" s="40">
        <v>10235</v>
      </c>
      <c r="L17" s="40">
        <f t="shared" si="2"/>
        <v>0</v>
      </c>
      <c r="M17" s="38" t="s">
        <v>35</v>
      </c>
      <c r="N17" s="54"/>
      <c r="O17" s="36"/>
      <c r="P17" s="40">
        <v>0</v>
      </c>
      <c r="Q17" s="40">
        <v>781</v>
      </c>
      <c r="R17" s="41"/>
      <c r="S17" s="40">
        <v>4200</v>
      </c>
      <c r="T17" s="40">
        <v>0</v>
      </c>
      <c r="U17" s="40">
        <v>0</v>
      </c>
      <c r="V17" s="40">
        <v>0</v>
      </c>
      <c r="W17" s="40">
        <v>3950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36">
        <f t="shared" si="0"/>
        <v>0</v>
      </c>
      <c r="AH17"/>
      <c r="AI17" s="37"/>
      <c r="AJ17" s="45">
        <f>+SUM(AJ2:AJ16)</f>
        <v>4872177.4799999995</v>
      </c>
      <c r="AK17" s="45">
        <f>+SUM(AK2:AK16)</f>
        <v>355775.31117999996</v>
      </c>
      <c r="AL17" s="45">
        <f>+SUM(AL2:AL16)</f>
        <v>5227952.7911799988</v>
      </c>
      <c r="AM17" s="57">
        <f>+SUM(AM2:AM16)</f>
        <v>1.0000000000000002</v>
      </c>
    </row>
    <row r="18" spans="1:39" x14ac:dyDescent="0.3">
      <c r="A18" s="38">
        <v>2</v>
      </c>
      <c r="B18" s="38" t="s">
        <v>837</v>
      </c>
      <c r="C18" s="2" t="s">
        <v>802</v>
      </c>
      <c r="D18" s="39">
        <v>45790</v>
      </c>
      <c r="E18" s="38" t="s">
        <v>22</v>
      </c>
      <c r="F18" s="38" t="s">
        <v>45</v>
      </c>
      <c r="G18" s="40">
        <v>781</v>
      </c>
      <c r="H18" s="40">
        <v>8150</v>
      </c>
      <c r="I18" s="40">
        <v>1304</v>
      </c>
      <c r="J18" s="40">
        <f t="shared" si="1"/>
        <v>10235</v>
      </c>
      <c r="K18" s="40">
        <v>10235</v>
      </c>
      <c r="L18" s="40">
        <f t="shared" si="2"/>
        <v>0</v>
      </c>
      <c r="M18" s="38" t="s">
        <v>35</v>
      </c>
      <c r="N18" s="54"/>
      <c r="O18" s="36"/>
      <c r="P18" s="40">
        <v>0</v>
      </c>
      <c r="Q18" s="40">
        <v>781</v>
      </c>
      <c r="R18" s="41"/>
      <c r="S18" s="40">
        <v>4200</v>
      </c>
      <c r="T18" s="40">
        <v>0</v>
      </c>
      <c r="U18" s="40">
        <v>0</v>
      </c>
      <c r="V18" s="40">
        <v>0</v>
      </c>
      <c r="W18" s="40">
        <v>3950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36">
        <f t="shared" si="0"/>
        <v>0</v>
      </c>
      <c r="AH18"/>
      <c r="AJ18" s="36"/>
      <c r="AK18" s="36"/>
      <c r="AL18" s="1"/>
    </row>
    <row r="19" spans="1:39" x14ac:dyDescent="0.3">
      <c r="A19" s="38">
        <v>1</v>
      </c>
      <c r="B19" s="38" t="s">
        <v>838</v>
      </c>
      <c r="C19" s="2" t="s">
        <v>803</v>
      </c>
      <c r="D19" s="39">
        <v>45790</v>
      </c>
      <c r="E19" s="38" t="s">
        <v>40</v>
      </c>
      <c r="F19" s="38" t="s">
        <v>41</v>
      </c>
      <c r="G19" s="40">
        <v>0</v>
      </c>
      <c r="H19" s="40">
        <v>38270.11</v>
      </c>
      <c r="I19" s="40">
        <v>6123.21</v>
      </c>
      <c r="J19" s="40">
        <f t="shared" si="1"/>
        <v>44393.32</v>
      </c>
      <c r="K19" s="40">
        <v>0</v>
      </c>
      <c r="L19" s="40">
        <f t="shared" si="2"/>
        <v>44393.32</v>
      </c>
      <c r="M19" s="38" t="s">
        <v>35</v>
      </c>
      <c r="N19" s="54"/>
      <c r="O19" s="36"/>
      <c r="P19" s="40">
        <v>0</v>
      </c>
      <c r="Q19" s="40">
        <v>0</v>
      </c>
      <c r="R19" s="41"/>
      <c r="S19" s="40">
        <v>3925.56</v>
      </c>
      <c r="T19" s="40">
        <v>3880.02</v>
      </c>
      <c r="U19" s="40">
        <v>8284.0300000000007</v>
      </c>
      <c r="V19" s="40">
        <v>2065.5</v>
      </c>
      <c r="W19" s="40">
        <v>20115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36">
        <f t="shared" si="0"/>
        <v>0</v>
      </c>
      <c r="AH19"/>
      <c r="AI19" s="37"/>
      <c r="AK19" s="1"/>
      <c r="AL19" s="1"/>
    </row>
    <row r="20" spans="1:39" x14ac:dyDescent="0.3">
      <c r="A20" s="38">
        <v>2</v>
      </c>
      <c r="B20" s="38" t="s">
        <v>839</v>
      </c>
      <c r="C20" s="50" t="s">
        <v>804</v>
      </c>
      <c r="D20" s="39">
        <v>45790</v>
      </c>
      <c r="E20" s="38" t="s">
        <v>40</v>
      </c>
      <c r="F20" s="38" t="s">
        <v>41</v>
      </c>
      <c r="G20" s="40">
        <v>0</v>
      </c>
      <c r="H20" s="40">
        <v>35000</v>
      </c>
      <c r="I20" s="40">
        <v>5600</v>
      </c>
      <c r="J20" s="40">
        <f t="shared" si="1"/>
        <v>40600</v>
      </c>
      <c r="K20" s="40">
        <v>0</v>
      </c>
      <c r="L20" s="40">
        <f t="shared" si="2"/>
        <v>40600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4000</v>
      </c>
      <c r="T20" s="40">
        <v>0</v>
      </c>
      <c r="U20" s="40">
        <v>0</v>
      </c>
      <c r="V20" s="40">
        <v>0</v>
      </c>
      <c r="W20" s="40">
        <v>31000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36">
        <f t="shared" si="0"/>
        <v>0</v>
      </c>
      <c r="AH20"/>
      <c r="AI20" s="37"/>
      <c r="AK20" s="1"/>
      <c r="AL20" s="1"/>
    </row>
    <row r="21" spans="1:39" x14ac:dyDescent="0.3">
      <c r="A21" s="38">
        <v>1</v>
      </c>
      <c r="B21" s="38" t="s">
        <v>840</v>
      </c>
      <c r="C21" s="50" t="s">
        <v>805</v>
      </c>
      <c r="D21" s="39">
        <v>45790</v>
      </c>
      <c r="E21" s="38" t="s">
        <v>53</v>
      </c>
      <c r="F21" s="38" t="s">
        <v>199</v>
      </c>
      <c r="G21" s="40">
        <v>6674</v>
      </c>
      <c r="H21" s="40">
        <v>41643.42</v>
      </c>
      <c r="I21" s="40">
        <v>6662.95</v>
      </c>
      <c r="J21" s="40">
        <f t="shared" si="1"/>
        <v>54980.369999999995</v>
      </c>
      <c r="K21" s="40">
        <v>118287.12</v>
      </c>
      <c r="L21" s="40">
        <f t="shared" si="2"/>
        <v>-63306.75</v>
      </c>
      <c r="M21" s="38" t="s">
        <v>35</v>
      </c>
      <c r="N21" s="54"/>
      <c r="O21" s="36"/>
      <c r="P21" s="40">
        <v>0</v>
      </c>
      <c r="Q21" s="40">
        <v>6674</v>
      </c>
      <c r="R21" s="41"/>
      <c r="S21" s="40">
        <v>14132.01</v>
      </c>
      <c r="T21" s="40">
        <v>0</v>
      </c>
      <c r="U21" s="40">
        <v>23011.41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4500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36">
        <f t="shared" si="0"/>
        <v>0</v>
      </c>
      <c r="AH21"/>
      <c r="AI21" s="37"/>
      <c r="AJ21" s="52"/>
      <c r="AK21" s="1"/>
      <c r="AL21" s="1"/>
    </row>
    <row r="22" spans="1:39" x14ac:dyDescent="0.3">
      <c r="A22" s="38">
        <v>1</v>
      </c>
      <c r="B22" s="38" t="s">
        <v>841</v>
      </c>
      <c r="C22" s="50" t="s">
        <v>806</v>
      </c>
      <c r="D22" s="39">
        <v>45790</v>
      </c>
      <c r="E22" s="38" t="s">
        <v>53</v>
      </c>
      <c r="F22" s="38" t="s">
        <v>199</v>
      </c>
      <c r="G22" s="40">
        <v>781</v>
      </c>
      <c r="H22" s="40">
        <v>24730.23</v>
      </c>
      <c r="I22" s="40">
        <v>3956.83</v>
      </c>
      <c r="J22" s="40">
        <f>SUM(G22:I22)</f>
        <v>29468.059999999998</v>
      </c>
      <c r="K22" s="40">
        <v>102438.65</v>
      </c>
      <c r="L22" s="40">
        <f t="shared" si="2"/>
        <v>-72970.59</v>
      </c>
      <c r="M22" s="38" t="s">
        <v>35</v>
      </c>
      <c r="N22" s="54"/>
      <c r="O22" s="36"/>
      <c r="P22" s="40">
        <v>0</v>
      </c>
      <c r="Q22" s="40">
        <v>781</v>
      </c>
      <c r="R22" s="41"/>
      <c r="S22" s="40">
        <v>7076.52</v>
      </c>
      <c r="T22" s="40">
        <v>0</v>
      </c>
      <c r="U22" s="40">
        <v>14653.71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3000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36">
        <f t="shared" si="0"/>
        <v>0</v>
      </c>
      <c r="AH22"/>
      <c r="AI22" s="37"/>
      <c r="AJ22" s="52"/>
      <c r="AK22" s="1"/>
      <c r="AL22" s="1"/>
    </row>
    <row r="23" spans="1:39" x14ac:dyDescent="0.3">
      <c r="A23" s="38">
        <v>1</v>
      </c>
      <c r="B23" s="38" t="s">
        <v>842</v>
      </c>
      <c r="C23" s="38" t="s">
        <v>807</v>
      </c>
      <c r="D23" s="39">
        <v>45790</v>
      </c>
      <c r="E23" s="38" t="s">
        <v>53</v>
      </c>
      <c r="F23" s="38" t="s">
        <v>199</v>
      </c>
      <c r="G23" s="40">
        <v>781</v>
      </c>
      <c r="H23" s="40">
        <v>42302.16</v>
      </c>
      <c r="I23" s="40">
        <v>6768.34</v>
      </c>
      <c r="J23" s="40">
        <f t="shared" si="1"/>
        <v>49851.5</v>
      </c>
      <c r="K23" s="40">
        <v>132438.65</v>
      </c>
      <c r="L23" s="40">
        <f t="shared" si="2"/>
        <v>-82587.149999999994</v>
      </c>
      <c r="M23" s="38" t="s">
        <v>35</v>
      </c>
      <c r="N23" s="54"/>
      <c r="O23" s="36"/>
      <c r="P23" s="40">
        <v>0</v>
      </c>
      <c r="Q23" s="40">
        <v>781</v>
      </c>
      <c r="R23" s="41"/>
      <c r="S23" s="40">
        <v>7049.7</v>
      </c>
      <c r="T23" s="40">
        <v>0</v>
      </c>
      <c r="U23" s="40">
        <v>32252.46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3000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36">
        <f t="shared" si="0"/>
        <v>0</v>
      </c>
      <c r="AH23"/>
      <c r="AI23" s="37"/>
      <c r="AK23" s="1"/>
      <c r="AL23" s="1"/>
    </row>
    <row r="24" spans="1:39" x14ac:dyDescent="0.3">
      <c r="A24" s="38">
        <v>1</v>
      </c>
      <c r="B24" s="38" t="s">
        <v>843</v>
      </c>
      <c r="C24" s="38" t="s">
        <v>808</v>
      </c>
      <c r="D24" s="39">
        <v>45790</v>
      </c>
      <c r="E24" s="38" t="s">
        <v>53</v>
      </c>
      <c r="F24" s="38" t="s">
        <v>199</v>
      </c>
      <c r="G24" s="40">
        <v>781</v>
      </c>
      <c r="H24" s="40">
        <v>32050.720000000001</v>
      </c>
      <c r="I24" s="40">
        <v>5128.12</v>
      </c>
      <c r="J24" s="40">
        <f t="shared" si="1"/>
        <v>37959.840000000004</v>
      </c>
      <c r="K24" s="40">
        <v>90000</v>
      </c>
      <c r="L24" s="40">
        <f t="shared" si="2"/>
        <v>-52040.159999999996</v>
      </c>
      <c r="M24" s="38" t="s">
        <v>35</v>
      </c>
      <c r="N24" s="54"/>
      <c r="O24" s="36"/>
      <c r="P24" s="40">
        <v>0</v>
      </c>
      <c r="Q24" s="40">
        <v>781</v>
      </c>
      <c r="R24" s="41"/>
      <c r="S24" s="40">
        <v>7059.42</v>
      </c>
      <c r="T24" s="40">
        <v>0</v>
      </c>
      <c r="U24" s="40">
        <v>21491.3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3500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36">
        <f t="shared" si="0"/>
        <v>0</v>
      </c>
      <c r="AH24"/>
      <c r="AI24" s="37"/>
      <c r="AJ24" s="53"/>
      <c r="AK24" s="1"/>
      <c r="AL24" s="1"/>
    </row>
    <row r="25" spans="1:39" x14ac:dyDescent="0.3">
      <c r="A25" s="38">
        <v>2</v>
      </c>
      <c r="B25" s="38" t="s">
        <v>844</v>
      </c>
      <c r="C25" s="38" t="s">
        <v>809</v>
      </c>
      <c r="D25" s="39">
        <v>45791</v>
      </c>
      <c r="E25" s="38" t="s">
        <v>53</v>
      </c>
      <c r="F25" s="38" t="s">
        <v>199</v>
      </c>
      <c r="G25" s="40">
        <v>336</v>
      </c>
      <c r="H25" s="40">
        <v>7500</v>
      </c>
      <c r="I25" s="40">
        <v>1200</v>
      </c>
      <c r="J25" s="40">
        <f t="shared" si="1"/>
        <v>9036</v>
      </c>
      <c r="K25" s="40">
        <v>9036</v>
      </c>
      <c r="L25" s="40">
        <f t="shared" si="2"/>
        <v>0</v>
      </c>
      <c r="M25" s="38" t="s">
        <v>35</v>
      </c>
      <c r="N25" s="54"/>
      <c r="O25" s="36"/>
      <c r="P25" s="40">
        <v>0</v>
      </c>
      <c r="Q25" s="40">
        <v>336</v>
      </c>
      <c r="R25" s="41"/>
      <c r="S25" s="40">
        <v>7500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36">
        <f t="shared" si="0"/>
        <v>0</v>
      </c>
      <c r="AH25"/>
      <c r="AI25" s="37"/>
      <c r="AK25" s="1"/>
      <c r="AL25" s="1"/>
    </row>
    <row r="26" spans="1:39" x14ac:dyDescent="0.3">
      <c r="A26" s="38">
        <v>2</v>
      </c>
      <c r="B26" s="38" t="s">
        <v>845</v>
      </c>
      <c r="C26" s="38" t="s">
        <v>810</v>
      </c>
      <c r="D26" s="39">
        <v>45791</v>
      </c>
      <c r="E26" s="38" t="s">
        <v>22</v>
      </c>
      <c r="F26" s="38" t="s">
        <v>45</v>
      </c>
      <c r="G26" s="40">
        <v>53317</v>
      </c>
      <c r="H26" s="40">
        <v>20750</v>
      </c>
      <c r="I26" s="40">
        <v>3320</v>
      </c>
      <c r="J26" s="40">
        <f t="shared" si="1"/>
        <v>77387</v>
      </c>
      <c r="K26" s="40">
        <v>77630</v>
      </c>
      <c r="L26" s="40">
        <f t="shared" si="2"/>
        <v>-243</v>
      </c>
      <c r="M26" s="38" t="s">
        <v>35</v>
      </c>
      <c r="N26" s="54"/>
      <c r="O26" s="36"/>
      <c r="P26" s="40">
        <v>0</v>
      </c>
      <c r="Q26" s="40">
        <v>53317</v>
      </c>
      <c r="R26" s="41"/>
      <c r="S26" s="40">
        <v>4200</v>
      </c>
      <c r="T26" s="40">
        <v>0</v>
      </c>
      <c r="U26" s="40">
        <v>0</v>
      </c>
      <c r="V26" s="40">
        <v>0</v>
      </c>
      <c r="W26" s="40">
        <v>3950</v>
      </c>
      <c r="X26" s="40">
        <v>0</v>
      </c>
      <c r="Y26" s="40">
        <v>0</v>
      </c>
      <c r="Z26" s="40">
        <v>12600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36">
        <f t="shared" si="0"/>
        <v>0</v>
      </c>
      <c r="AH26"/>
      <c r="AI26" s="37"/>
      <c r="AK26" s="1"/>
      <c r="AL26" s="1"/>
    </row>
    <row r="27" spans="1:39" x14ac:dyDescent="0.3">
      <c r="A27" s="38">
        <v>1</v>
      </c>
      <c r="B27" s="38" t="s">
        <v>846</v>
      </c>
      <c r="C27" s="38" t="s">
        <v>227</v>
      </c>
      <c r="D27" s="39">
        <v>45791</v>
      </c>
      <c r="E27" s="38" t="s">
        <v>869</v>
      </c>
      <c r="F27" s="38" t="s">
        <v>868</v>
      </c>
      <c r="G27" s="40">
        <v>0</v>
      </c>
      <c r="H27" s="40">
        <v>583471.44999999995</v>
      </c>
      <c r="I27" s="40">
        <v>0</v>
      </c>
      <c r="J27" s="40">
        <f t="shared" si="1"/>
        <v>583471.44999999995</v>
      </c>
      <c r="K27" s="40">
        <v>0</v>
      </c>
      <c r="L27" s="40">
        <f t="shared" si="2"/>
        <v>583471.44999999995</v>
      </c>
      <c r="M27" s="38" t="s">
        <v>35</v>
      </c>
      <c r="N27" s="54"/>
      <c r="O27" s="36"/>
      <c r="P27" s="40">
        <v>0</v>
      </c>
      <c r="Q27" s="40">
        <v>0</v>
      </c>
      <c r="R27" s="41"/>
      <c r="S27" s="40">
        <v>0</v>
      </c>
      <c r="T27" s="40">
        <v>0</v>
      </c>
      <c r="U27" s="40">
        <v>0</v>
      </c>
      <c r="V27" s="40">
        <v>583471.44999999995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36">
        <f t="shared" si="0"/>
        <v>0</v>
      </c>
      <c r="AH27"/>
      <c r="AI27" s="37"/>
      <c r="AK27" s="1"/>
      <c r="AL27" s="1"/>
    </row>
    <row r="28" spans="1:39" x14ac:dyDescent="0.3">
      <c r="A28" s="38">
        <v>1</v>
      </c>
      <c r="B28" s="38" t="s">
        <v>847</v>
      </c>
      <c r="C28" s="38" t="s">
        <v>811</v>
      </c>
      <c r="D28" s="39">
        <v>45792</v>
      </c>
      <c r="E28" s="38" t="s">
        <v>42</v>
      </c>
      <c r="F28" s="38" t="s">
        <v>49</v>
      </c>
      <c r="G28" s="40">
        <v>781</v>
      </c>
      <c r="H28" s="40">
        <v>125996</v>
      </c>
      <c r="I28" s="40">
        <v>20159.36</v>
      </c>
      <c r="J28" s="40">
        <f t="shared" si="1"/>
        <v>146936.35999999999</v>
      </c>
      <c r="K28" s="40">
        <v>146936.35999999999</v>
      </c>
      <c r="L28" s="40">
        <f t="shared" si="2"/>
        <v>0</v>
      </c>
      <c r="M28" s="38" t="s">
        <v>35</v>
      </c>
      <c r="N28" s="54"/>
      <c r="O28" s="36"/>
      <c r="P28" s="40">
        <v>0</v>
      </c>
      <c r="Q28" s="40">
        <v>781</v>
      </c>
      <c r="R28" s="41"/>
      <c r="S28" s="40">
        <v>32796</v>
      </c>
      <c r="T28" s="40">
        <v>0</v>
      </c>
      <c r="U28" s="40">
        <v>34500</v>
      </c>
      <c r="V28" s="40">
        <v>2000</v>
      </c>
      <c r="W28" s="40">
        <v>56700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36">
        <f t="shared" si="0"/>
        <v>0</v>
      </c>
      <c r="AH28"/>
      <c r="AI28" s="37"/>
      <c r="AK28" s="1"/>
      <c r="AL28" s="1"/>
    </row>
    <row r="29" spans="1:39" x14ac:dyDescent="0.3">
      <c r="A29" s="38">
        <v>2</v>
      </c>
      <c r="B29" s="38" t="s">
        <v>848</v>
      </c>
      <c r="C29" s="38" t="s">
        <v>812</v>
      </c>
      <c r="D29" s="39">
        <v>45792</v>
      </c>
      <c r="E29" s="38" t="s">
        <v>40</v>
      </c>
      <c r="F29" s="38" t="s">
        <v>41</v>
      </c>
      <c r="G29" s="40">
        <v>0</v>
      </c>
      <c r="H29" s="40">
        <v>42040</v>
      </c>
      <c r="I29" s="40">
        <v>6726.4</v>
      </c>
      <c r="J29" s="40">
        <f t="shared" si="1"/>
        <v>48766.400000000001</v>
      </c>
      <c r="K29" s="40">
        <v>0</v>
      </c>
      <c r="L29" s="40">
        <f t="shared" si="2"/>
        <v>48766.400000000001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4040</v>
      </c>
      <c r="T29" s="40">
        <v>0</v>
      </c>
      <c r="U29" s="40">
        <v>0</v>
      </c>
      <c r="V29" s="40">
        <v>0</v>
      </c>
      <c r="W29" s="40">
        <v>38000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36">
        <f t="shared" si="0"/>
        <v>0</v>
      </c>
      <c r="AH29"/>
      <c r="AI29" s="37"/>
      <c r="AK29" s="1"/>
      <c r="AL29" s="1"/>
    </row>
    <row r="30" spans="1:39" x14ac:dyDescent="0.3">
      <c r="A30" s="38">
        <v>2</v>
      </c>
      <c r="B30" s="38" t="s">
        <v>849</v>
      </c>
      <c r="C30" s="38" t="s">
        <v>813</v>
      </c>
      <c r="D30" s="39">
        <v>45792</v>
      </c>
      <c r="E30" s="38" t="s">
        <v>53</v>
      </c>
      <c r="F30" t="s">
        <v>199</v>
      </c>
      <c r="G30" s="40">
        <v>782</v>
      </c>
      <c r="H30" s="40">
        <v>7520</v>
      </c>
      <c r="I30" s="40">
        <v>1203.2</v>
      </c>
      <c r="J30" s="40">
        <f t="shared" si="1"/>
        <v>9505.2000000000007</v>
      </c>
      <c r="K30" s="40">
        <v>9505.2000000000007</v>
      </c>
      <c r="L30" s="40">
        <f t="shared" si="2"/>
        <v>0</v>
      </c>
      <c r="M30" s="38" t="s">
        <v>35</v>
      </c>
      <c r="N30" s="54"/>
      <c r="O30" s="36"/>
      <c r="P30" s="40">
        <v>0</v>
      </c>
      <c r="Q30" s="40">
        <v>782</v>
      </c>
      <c r="R30" s="41"/>
      <c r="S30" s="40">
        <v>7520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36">
        <f t="shared" si="0"/>
        <v>0</v>
      </c>
      <c r="AH30"/>
      <c r="AI30" s="37"/>
      <c r="AK30" s="1"/>
      <c r="AL30" s="1"/>
    </row>
    <row r="31" spans="1:39" x14ac:dyDescent="0.3">
      <c r="A31" s="38">
        <v>1</v>
      </c>
      <c r="B31" s="38" t="s">
        <v>850</v>
      </c>
      <c r="C31" s="38" t="s">
        <v>814</v>
      </c>
      <c r="D31" s="39">
        <v>45793</v>
      </c>
      <c r="E31" s="38" t="s">
        <v>22</v>
      </c>
      <c r="F31" s="38" t="s">
        <v>45</v>
      </c>
      <c r="G31" s="40">
        <v>336</v>
      </c>
      <c r="H31" s="40">
        <v>14000</v>
      </c>
      <c r="I31" s="40">
        <v>2240</v>
      </c>
      <c r="J31" s="40">
        <f t="shared" si="1"/>
        <v>16576</v>
      </c>
      <c r="K31" s="40">
        <v>16576</v>
      </c>
      <c r="L31" s="40">
        <f t="shared" si="2"/>
        <v>0</v>
      </c>
      <c r="M31" s="38" t="s">
        <v>35</v>
      </c>
      <c r="N31" s="54"/>
      <c r="O31" s="36"/>
      <c r="P31" s="40">
        <v>0</v>
      </c>
      <c r="Q31" s="40">
        <v>336</v>
      </c>
      <c r="R31" s="41"/>
      <c r="S31" s="40">
        <v>6000</v>
      </c>
      <c r="T31" s="40">
        <v>0</v>
      </c>
      <c r="U31" s="40">
        <v>4000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4000</v>
      </c>
      <c r="AC31" s="40">
        <v>0</v>
      </c>
      <c r="AD31" s="40">
        <v>0</v>
      </c>
      <c r="AE31" s="40">
        <v>0</v>
      </c>
      <c r="AF31" s="40">
        <v>0</v>
      </c>
      <c r="AG31" s="36">
        <f t="shared" si="0"/>
        <v>0</v>
      </c>
      <c r="AH31"/>
      <c r="AI31" s="37"/>
      <c r="AK31" s="1"/>
      <c r="AL31" s="1"/>
    </row>
    <row r="32" spans="1:39" x14ac:dyDescent="0.3">
      <c r="A32" s="38">
        <v>2</v>
      </c>
      <c r="B32" s="38" t="s">
        <v>851</v>
      </c>
      <c r="C32" s="38" t="s">
        <v>815</v>
      </c>
      <c r="D32" s="39">
        <v>45793</v>
      </c>
      <c r="E32" s="38" t="s">
        <v>22</v>
      </c>
      <c r="F32" s="38" t="s">
        <v>45</v>
      </c>
      <c r="G32" s="40">
        <v>336</v>
      </c>
      <c r="H32" s="40">
        <v>10898.55</v>
      </c>
      <c r="I32" s="40">
        <v>1743.77</v>
      </c>
      <c r="J32" s="40">
        <f t="shared" si="1"/>
        <v>12978.32</v>
      </c>
      <c r="K32" s="40">
        <v>12978.32</v>
      </c>
      <c r="L32" s="40">
        <f t="shared" si="2"/>
        <v>0</v>
      </c>
      <c r="M32" s="38" t="s">
        <v>35</v>
      </c>
      <c r="N32" s="54"/>
      <c r="O32" s="36"/>
      <c r="P32" s="40">
        <v>0</v>
      </c>
      <c r="Q32" s="40">
        <v>336</v>
      </c>
      <c r="R32" s="41"/>
      <c r="S32" s="40">
        <v>2948.55</v>
      </c>
      <c r="T32" s="40">
        <v>0</v>
      </c>
      <c r="U32" s="40">
        <v>2500</v>
      </c>
      <c r="V32" s="40">
        <v>0</v>
      </c>
      <c r="W32" s="40">
        <v>3950</v>
      </c>
      <c r="X32" s="40">
        <v>0</v>
      </c>
      <c r="Y32" s="40">
        <v>1500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36">
        <f t="shared" si="0"/>
        <v>0</v>
      </c>
      <c r="AH32"/>
      <c r="AI32" s="37"/>
      <c r="AK32" s="1"/>
      <c r="AL32" s="1"/>
    </row>
    <row r="33" spans="1:38" x14ac:dyDescent="0.3">
      <c r="A33" s="38">
        <v>2</v>
      </c>
      <c r="B33" s="38" t="s">
        <v>852</v>
      </c>
      <c r="C33" s="38" t="s">
        <v>816</v>
      </c>
      <c r="D33" s="39">
        <v>45793</v>
      </c>
      <c r="E33" s="38" t="s">
        <v>22</v>
      </c>
      <c r="F33" s="38" t="s">
        <v>45</v>
      </c>
      <c r="G33" s="40">
        <v>781</v>
      </c>
      <c r="H33" s="40">
        <v>4200</v>
      </c>
      <c r="I33" s="40">
        <v>672</v>
      </c>
      <c r="J33" s="40">
        <f t="shared" si="1"/>
        <v>5653</v>
      </c>
      <c r="K33" s="40">
        <v>5653</v>
      </c>
      <c r="L33" s="40">
        <f t="shared" si="2"/>
        <v>0</v>
      </c>
      <c r="M33" s="38" t="s">
        <v>35</v>
      </c>
      <c r="N33" s="54"/>
      <c r="O33" s="36"/>
      <c r="P33" s="40">
        <v>0</v>
      </c>
      <c r="Q33" s="40">
        <v>781</v>
      </c>
      <c r="R33" s="41"/>
      <c r="S33" s="40">
        <v>4200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36">
        <f t="shared" si="0"/>
        <v>0</v>
      </c>
      <c r="AH33"/>
      <c r="AI33" s="37"/>
      <c r="AK33" s="1"/>
      <c r="AL33" s="1"/>
    </row>
    <row r="34" spans="1:38" x14ac:dyDescent="0.3">
      <c r="A34" s="38">
        <v>1</v>
      </c>
      <c r="B34" s="38" t="s">
        <v>853</v>
      </c>
      <c r="C34" s="38" t="s">
        <v>817</v>
      </c>
      <c r="D34" s="39">
        <v>45793</v>
      </c>
      <c r="E34" s="38" t="s">
        <v>42</v>
      </c>
      <c r="F34" s="38" t="s">
        <v>49</v>
      </c>
      <c r="G34" s="40">
        <v>0</v>
      </c>
      <c r="H34" s="40">
        <v>7945.84</v>
      </c>
      <c r="I34" s="40">
        <v>1271.33</v>
      </c>
      <c r="J34" s="40">
        <f t="shared" si="1"/>
        <v>9217.17</v>
      </c>
      <c r="K34" s="40">
        <v>9217.17</v>
      </c>
      <c r="L34" s="40">
        <f t="shared" si="2"/>
        <v>0</v>
      </c>
      <c r="M34" s="38" t="s">
        <v>35</v>
      </c>
      <c r="N34" s="54"/>
      <c r="O34" s="36"/>
      <c r="P34" s="40">
        <v>0</v>
      </c>
      <c r="Q34" s="40">
        <v>0</v>
      </c>
      <c r="R34" s="41"/>
      <c r="S34" s="40">
        <v>7945.84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36">
        <f t="shared" ref="AG34:AG145" si="4">+SUM(S34:AF34)-H34</f>
        <v>0</v>
      </c>
      <c r="AH34"/>
      <c r="AI34" s="37"/>
      <c r="AK34" s="1"/>
      <c r="AL34" s="1"/>
    </row>
    <row r="35" spans="1:38" x14ac:dyDescent="0.3">
      <c r="A35" s="38">
        <v>1</v>
      </c>
      <c r="B35" s="38" t="s">
        <v>854</v>
      </c>
      <c r="C35" s="38" t="s">
        <v>818</v>
      </c>
      <c r="D35" s="39">
        <v>45793</v>
      </c>
      <c r="E35" s="38" t="s">
        <v>42</v>
      </c>
      <c r="F35" s="38" t="s">
        <v>49</v>
      </c>
      <c r="G35" s="40">
        <v>0</v>
      </c>
      <c r="H35" s="40">
        <v>30260.36</v>
      </c>
      <c r="I35" s="40">
        <v>4841.6499999999996</v>
      </c>
      <c r="J35" s="40">
        <f t="shared" si="1"/>
        <v>35102.01</v>
      </c>
      <c r="K35" s="40">
        <v>35102.01</v>
      </c>
      <c r="L35" s="40">
        <f t="shared" si="2"/>
        <v>0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7469.71</v>
      </c>
      <c r="T35" s="40">
        <v>0</v>
      </c>
      <c r="U35" s="40">
        <v>22790.65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36">
        <f t="shared" si="4"/>
        <v>0</v>
      </c>
      <c r="AH35"/>
      <c r="AI35" s="37"/>
      <c r="AK35" s="1"/>
      <c r="AL35" s="1"/>
    </row>
    <row r="36" spans="1:38" x14ac:dyDescent="0.3">
      <c r="A36" s="38">
        <v>2</v>
      </c>
      <c r="B36" s="38" t="s">
        <v>855</v>
      </c>
      <c r="C36" s="38" t="s">
        <v>819</v>
      </c>
      <c r="D36" s="39">
        <v>45793</v>
      </c>
      <c r="E36" s="38" t="s">
        <v>198</v>
      </c>
      <c r="F36" t="s">
        <v>200</v>
      </c>
      <c r="G36" s="40">
        <v>0</v>
      </c>
      <c r="H36" s="40">
        <v>22000</v>
      </c>
      <c r="I36" s="40">
        <v>3520</v>
      </c>
      <c r="J36" s="40">
        <f t="shared" si="1"/>
        <v>25520</v>
      </c>
      <c r="K36" s="40">
        <v>25520</v>
      </c>
      <c r="L36" s="40">
        <f t="shared" si="2"/>
        <v>0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0</v>
      </c>
      <c r="T36" s="40">
        <v>0</v>
      </c>
      <c r="U36" s="40">
        <v>0</v>
      </c>
      <c r="V36" s="40">
        <v>0</v>
      </c>
      <c r="W36" s="40">
        <v>22000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36">
        <f t="shared" si="4"/>
        <v>0</v>
      </c>
      <c r="AH36"/>
      <c r="AI36" s="37"/>
      <c r="AK36" s="1"/>
      <c r="AL36" s="1"/>
    </row>
    <row r="37" spans="1:38" x14ac:dyDescent="0.3">
      <c r="A37" s="38">
        <v>1</v>
      </c>
      <c r="B37" s="38" t="s">
        <v>856</v>
      </c>
      <c r="C37" s="38" t="s">
        <v>820</v>
      </c>
      <c r="D37" s="39">
        <v>45793</v>
      </c>
      <c r="E37" s="38" t="s">
        <v>40</v>
      </c>
      <c r="F37" s="38" t="s">
        <v>41</v>
      </c>
      <c r="G37" s="40">
        <v>0</v>
      </c>
      <c r="H37" s="40">
        <v>107117.88</v>
      </c>
      <c r="I37" s="40">
        <v>17138.87</v>
      </c>
      <c r="J37" s="40">
        <f t="shared" si="1"/>
        <v>124256.75</v>
      </c>
      <c r="K37" s="40">
        <v>0</v>
      </c>
      <c r="L37" s="40">
        <f t="shared" si="2"/>
        <v>124256.75</v>
      </c>
      <c r="M37" s="38" t="s">
        <v>35</v>
      </c>
      <c r="N37" s="54"/>
      <c r="O37" s="36"/>
      <c r="P37" s="40">
        <v>0</v>
      </c>
      <c r="Q37" s="40">
        <v>0</v>
      </c>
      <c r="R37" s="41"/>
      <c r="S37" s="40">
        <v>5876.04</v>
      </c>
      <c r="T37" s="40">
        <v>0</v>
      </c>
      <c r="U37" s="40">
        <v>29072.04</v>
      </c>
      <c r="V37" s="40">
        <v>2834.8</v>
      </c>
      <c r="W37" s="40">
        <v>69335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36">
        <f t="shared" si="4"/>
        <v>0</v>
      </c>
      <c r="AH37"/>
      <c r="AI37" s="37"/>
      <c r="AK37" s="1"/>
      <c r="AL37" s="1"/>
    </row>
    <row r="38" spans="1:38" x14ac:dyDescent="0.3">
      <c r="A38" s="38">
        <v>1</v>
      </c>
      <c r="B38" s="38" t="s">
        <v>857</v>
      </c>
      <c r="C38" s="50" t="s">
        <v>821</v>
      </c>
      <c r="D38" s="39">
        <v>45796</v>
      </c>
      <c r="E38" s="38" t="s">
        <v>22</v>
      </c>
      <c r="F38" s="38" t="s">
        <v>45</v>
      </c>
      <c r="G38" s="40">
        <v>1459</v>
      </c>
      <c r="H38" s="40">
        <v>24700</v>
      </c>
      <c r="I38" s="40">
        <v>3952</v>
      </c>
      <c r="J38" s="40">
        <f t="shared" si="1"/>
        <v>30111</v>
      </c>
      <c r="K38" s="40">
        <v>30111</v>
      </c>
      <c r="L38" s="40">
        <f t="shared" si="2"/>
        <v>0</v>
      </c>
      <c r="M38" s="38" t="s">
        <v>35</v>
      </c>
      <c r="N38" s="54"/>
      <c r="O38" s="36"/>
      <c r="P38" s="40">
        <v>0</v>
      </c>
      <c r="Q38" s="40">
        <v>1459</v>
      </c>
      <c r="R38" s="41"/>
      <c r="S38" s="40">
        <v>6000</v>
      </c>
      <c r="T38" s="40">
        <v>0</v>
      </c>
      <c r="U38" s="40">
        <v>5500</v>
      </c>
      <c r="V38" s="40">
        <v>0</v>
      </c>
      <c r="W38" s="40">
        <v>9200</v>
      </c>
      <c r="X38" s="40">
        <v>0</v>
      </c>
      <c r="Y38" s="40">
        <v>0</v>
      </c>
      <c r="Z38" s="40">
        <v>0</v>
      </c>
      <c r="AA38" s="40">
        <v>0</v>
      </c>
      <c r="AB38" s="40">
        <v>4000</v>
      </c>
      <c r="AC38" s="40">
        <v>0</v>
      </c>
      <c r="AD38" s="40">
        <v>0</v>
      </c>
      <c r="AE38" s="40">
        <v>0</v>
      </c>
      <c r="AF38" s="40">
        <v>0</v>
      </c>
      <c r="AG38" s="36">
        <f t="shared" si="4"/>
        <v>0</v>
      </c>
      <c r="AH38"/>
      <c r="AI38" s="37"/>
      <c r="AK38" s="1"/>
      <c r="AL38" s="1"/>
    </row>
    <row r="39" spans="1:38" x14ac:dyDescent="0.3">
      <c r="A39" s="38">
        <v>2</v>
      </c>
      <c r="B39" s="38" t="s">
        <v>858</v>
      </c>
      <c r="C39" s="50" t="s">
        <v>822</v>
      </c>
      <c r="D39" s="39">
        <v>45796</v>
      </c>
      <c r="E39" s="38" t="s">
        <v>22</v>
      </c>
      <c r="F39" s="38" t="s">
        <v>45</v>
      </c>
      <c r="G39" s="40">
        <v>781</v>
      </c>
      <c r="H39" s="40">
        <v>4200</v>
      </c>
      <c r="I39" s="40">
        <v>672</v>
      </c>
      <c r="J39" s="40">
        <f t="shared" si="1"/>
        <v>5653</v>
      </c>
      <c r="K39" s="40">
        <v>5653</v>
      </c>
      <c r="L39" s="40">
        <f t="shared" si="2"/>
        <v>0</v>
      </c>
      <c r="M39" s="38" t="s">
        <v>35</v>
      </c>
      <c r="N39" s="54"/>
      <c r="O39" s="36"/>
      <c r="P39" s="40">
        <v>0</v>
      </c>
      <c r="Q39" s="40">
        <v>781</v>
      </c>
      <c r="R39" s="41"/>
      <c r="S39" s="40">
        <v>4200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36">
        <f t="shared" si="4"/>
        <v>0</v>
      </c>
      <c r="AH39"/>
      <c r="AI39" s="37"/>
      <c r="AK39" s="1"/>
      <c r="AL39" s="1"/>
    </row>
    <row r="40" spans="1:38" x14ac:dyDescent="0.3">
      <c r="A40" s="38">
        <v>2</v>
      </c>
      <c r="B40" s="38" t="s">
        <v>859</v>
      </c>
      <c r="C40" s="50" t="s">
        <v>823</v>
      </c>
      <c r="D40" s="39">
        <v>45796</v>
      </c>
      <c r="E40" s="38" t="s">
        <v>22</v>
      </c>
      <c r="F40" s="38" t="s">
        <v>45</v>
      </c>
      <c r="G40" s="40">
        <v>781</v>
      </c>
      <c r="H40" s="40">
        <v>4200</v>
      </c>
      <c r="I40" s="40">
        <v>672</v>
      </c>
      <c r="J40" s="40">
        <f t="shared" si="1"/>
        <v>5653</v>
      </c>
      <c r="K40" s="40">
        <v>5653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781</v>
      </c>
      <c r="R40" s="41"/>
      <c r="S40" s="40">
        <v>4200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36">
        <f t="shared" si="4"/>
        <v>0</v>
      </c>
      <c r="AH40"/>
      <c r="AI40" s="37"/>
      <c r="AK40" s="1"/>
      <c r="AL40" s="1"/>
    </row>
    <row r="41" spans="1:38" x14ac:dyDescent="0.3">
      <c r="A41" s="38">
        <v>2</v>
      </c>
      <c r="B41" s="38" t="s">
        <v>860</v>
      </c>
      <c r="C41" s="38" t="s">
        <v>824</v>
      </c>
      <c r="D41" s="39">
        <v>45796</v>
      </c>
      <c r="E41" s="38" t="s">
        <v>22</v>
      </c>
      <c r="F41" s="38" t="s">
        <v>45</v>
      </c>
      <c r="G41" s="40">
        <v>781</v>
      </c>
      <c r="H41" s="40">
        <v>4200</v>
      </c>
      <c r="I41" s="40">
        <v>672</v>
      </c>
      <c r="J41" s="40">
        <f t="shared" si="1"/>
        <v>5653</v>
      </c>
      <c r="K41" s="40">
        <v>5653</v>
      </c>
      <c r="L41" s="40">
        <f t="shared" si="2"/>
        <v>0</v>
      </c>
      <c r="M41" s="38" t="s">
        <v>35</v>
      </c>
      <c r="N41" s="54"/>
      <c r="O41" s="36"/>
      <c r="P41" s="40">
        <v>0</v>
      </c>
      <c r="Q41" s="40">
        <v>781</v>
      </c>
      <c r="R41" s="41"/>
      <c r="S41" s="40">
        <v>4200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36">
        <f t="shared" si="4"/>
        <v>0</v>
      </c>
      <c r="AH41"/>
      <c r="AI41" s="37"/>
      <c r="AK41" s="1"/>
      <c r="AL41" s="1"/>
    </row>
    <row r="42" spans="1:38" x14ac:dyDescent="0.3">
      <c r="A42" s="38">
        <v>1</v>
      </c>
      <c r="B42" s="38" t="s">
        <v>861</v>
      </c>
      <c r="C42" s="50" t="s">
        <v>825</v>
      </c>
      <c r="D42" s="39">
        <v>45796</v>
      </c>
      <c r="E42" s="38" t="s">
        <v>40</v>
      </c>
      <c r="F42" s="38" t="s">
        <v>41</v>
      </c>
      <c r="G42" s="40">
        <v>0</v>
      </c>
      <c r="H42" s="40">
        <v>72470.350000000006</v>
      </c>
      <c r="I42" s="40">
        <v>11595.26</v>
      </c>
      <c r="J42" s="40">
        <f t="shared" si="1"/>
        <v>84065.61</v>
      </c>
      <c r="K42" s="40">
        <v>0</v>
      </c>
      <c r="L42" s="40">
        <f t="shared" si="2"/>
        <v>84065.61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5882.85</v>
      </c>
      <c r="T42" s="40">
        <v>0</v>
      </c>
      <c r="U42" s="40">
        <v>25750</v>
      </c>
      <c r="V42" s="40">
        <v>0</v>
      </c>
      <c r="W42" s="40">
        <v>40837.5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36">
        <f t="shared" si="4"/>
        <v>0</v>
      </c>
      <c r="AH42"/>
      <c r="AI42" s="37"/>
      <c r="AK42" s="1"/>
      <c r="AL42" s="1"/>
    </row>
    <row r="43" spans="1:38" x14ac:dyDescent="0.3">
      <c r="A43" s="38">
        <v>1</v>
      </c>
      <c r="B43" s="38" t="s">
        <v>862</v>
      </c>
      <c r="C43" s="38" t="s">
        <v>826</v>
      </c>
      <c r="D43" s="39">
        <v>45796</v>
      </c>
      <c r="E43" s="38" t="s">
        <v>40</v>
      </c>
      <c r="F43" s="38" t="s">
        <v>41</v>
      </c>
      <c r="G43" s="40">
        <v>0</v>
      </c>
      <c r="H43" s="40">
        <v>72470.350000000006</v>
      </c>
      <c r="I43" s="40">
        <v>11595.26</v>
      </c>
      <c r="J43" s="40">
        <f t="shared" si="1"/>
        <v>84065.61</v>
      </c>
      <c r="K43" s="40">
        <v>0</v>
      </c>
      <c r="L43" s="40">
        <f t="shared" si="2"/>
        <v>84065.61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5882.85</v>
      </c>
      <c r="T43" s="40">
        <v>0</v>
      </c>
      <c r="U43" s="40">
        <v>25750</v>
      </c>
      <c r="V43" s="40">
        <v>0</v>
      </c>
      <c r="W43" s="40">
        <v>40837.5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36">
        <f t="shared" si="4"/>
        <v>0</v>
      </c>
      <c r="AH43"/>
      <c r="AI43" s="37"/>
      <c r="AK43" s="1"/>
      <c r="AL43" s="1"/>
    </row>
    <row r="44" spans="1:38" x14ac:dyDescent="0.3">
      <c r="A44" s="38">
        <v>2</v>
      </c>
      <c r="B44" s="38" t="s">
        <v>863</v>
      </c>
      <c r="C44" s="38" t="s">
        <v>827</v>
      </c>
      <c r="D44" s="39">
        <v>45796</v>
      </c>
      <c r="E44" s="38" t="s">
        <v>53</v>
      </c>
      <c r="F44" s="38" t="s">
        <v>199</v>
      </c>
      <c r="G44" s="40">
        <v>1210</v>
      </c>
      <c r="H44" s="40">
        <v>9504.99</v>
      </c>
      <c r="I44" s="40">
        <v>1520.8</v>
      </c>
      <c r="J44" s="40">
        <f t="shared" si="1"/>
        <v>12235.789999999999</v>
      </c>
      <c r="K44" s="40">
        <v>12235.79</v>
      </c>
      <c r="L44" s="40">
        <f t="shared" si="2"/>
        <v>0</v>
      </c>
      <c r="M44" s="38" t="s">
        <v>35</v>
      </c>
      <c r="N44" s="54"/>
      <c r="O44" s="36"/>
      <c r="P44" s="40">
        <v>0</v>
      </c>
      <c r="Q44" s="40">
        <v>1210</v>
      </c>
      <c r="R44" s="41"/>
      <c r="S44" s="40">
        <v>9504.99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36">
        <f t="shared" si="4"/>
        <v>0</v>
      </c>
      <c r="AH44"/>
      <c r="AI44" s="37"/>
      <c r="AK44" s="1"/>
      <c r="AL44" s="1"/>
    </row>
    <row r="45" spans="1:38" x14ac:dyDescent="0.3">
      <c r="A45" s="38">
        <v>2</v>
      </c>
      <c r="B45" s="38" t="s">
        <v>864</v>
      </c>
      <c r="C45" s="38" t="s">
        <v>828</v>
      </c>
      <c r="D45" s="39">
        <v>45796</v>
      </c>
      <c r="E45" s="38" t="s">
        <v>53</v>
      </c>
      <c r="F45" s="38" t="s">
        <v>199</v>
      </c>
      <c r="G45" s="40">
        <v>1118</v>
      </c>
      <c r="H45" s="40">
        <v>37781.199999999997</v>
      </c>
      <c r="I45" s="40">
        <v>6044.99</v>
      </c>
      <c r="J45" s="40">
        <f t="shared" si="1"/>
        <v>44944.189999999995</v>
      </c>
      <c r="K45" s="40">
        <v>44944.19</v>
      </c>
      <c r="L45" s="40">
        <f t="shared" si="2"/>
        <v>0</v>
      </c>
      <c r="M45" s="38" t="s">
        <v>35</v>
      </c>
      <c r="N45" s="54"/>
      <c r="O45" s="36"/>
      <c r="P45" s="40">
        <v>0</v>
      </c>
      <c r="Q45" s="40">
        <v>1118</v>
      </c>
      <c r="R45" s="41"/>
      <c r="S45" s="40">
        <v>37781.199999999997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36">
        <f t="shared" si="4"/>
        <v>0</v>
      </c>
      <c r="AH45"/>
      <c r="AI45" s="37"/>
      <c r="AK45" s="1"/>
      <c r="AL45" s="1"/>
    </row>
    <row r="46" spans="1:38" x14ac:dyDescent="0.3">
      <c r="A46" s="38">
        <v>2</v>
      </c>
      <c r="B46" s="38" t="s">
        <v>865</v>
      </c>
      <c r="C46" s="38" t="s">
        <v>829</v>
      </c>
      <c r="D46" s="39">
        <v>45796</v>
      </c>
      <c r="E46" s="38" t="s">
        <v>53</v>
      </c>
      <c r="F46" s="38" t="s">
        <v>199</v>
      </c>
      <c r="G46" s="40">
        <v>1546</v>
      </c>
      <c r="H46" s="40">
        <v>31860</v>
      </c>
      <c r="I46" s="40">
        <v>5097.6000000000004</v>
      </c>
      <c r="J46" s="40">
        <f t="shared" si="1"/>
        <v>38503.599999999999</v>
      </c>
      <c r="K46" s="40">
        <v>40591.599999999999</v>
      </c>
      <c r="L46" s="40">
        <f t="shared" si="2"/>
        <v>-2088</v>
      </c>
      <c r="M46" s="38" t="s">
        <v>35</v>
      </c>
      <c r="N46" s="54"/>
      <c r="O46" s="36"/>
      <c r="P46" s="40">
        <v>0</v>
      </c>
      <c r="Q46" s="40">
        <v>1546</v>
      </c>
      <c r="R46" s="41"/>
      <c r="S46" s="40">
        <v>31860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36">
        <f t="shared" si="4"/>
        <v>0</v>
      </c>
      <c r="AH46"/>
      <c r="AI46" s="37"/>
      <c r="AK46" s="1"/>
      <c r="AL46" s="1"/>
    </row>
    <row r="47" spans="1:38" x14ac:dyDescent="0.3">
      <c r="A47" s="38">
        <v>2</v>
      </c>
      <c r="B47" s="38" t="s">
        <v>866</v>
      </c>
      <c r="C47" s="50" t="s">
        <v>830</v>
      </c>
      <c r="D47" s="39">
        <v>45796</v>
      </c>
      <c r="E47" s="38" t="s">
        <v>53</v>
      </c>
      <c r="F47" s="38" t="s">
        <v>199</v>
      </c>
      <c r="G47" s="40">
        <v>782</v>
      </c>
      <c r="H47" s="40">
        <v>7475.86</v>
      </c>
      <c r="I47" s="40">
        <v>1196.1400000000001</v>
      </c>
      <c r="J47" s="40">
        <f t="shared" si="1"/>
        <v>9454</v>
      </c>
      <c r="K47" s="40">
        <v>9454</v>
      </c>
      <c r="L47" s="40">
        <f t="shared" si="2"/>
        <v>0</v>
      </c>
      <c r="M47" s="38" t="s">
        <v>35</v>
      </c>
      <c r="N47" s="54"/>
      <c r="O47" s="36"/>
      <c r="P47" s="40">
        <v>0</v>
      </c>
      <c r="Q47" s="40">
        <v>782</v>
      </c>
      <c r="R47" s="41"/>
      <c r="S47" s="40">
        <v>7475.86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36">
        <f t="shared" si="4"/>
        <v>0</v>
      </c>
      <c r="AH47"/>
      <c r="AI47" s="37"/>
      <c r="AK47" s="1"/>
      <c r="AL47" s="1"/>
    </row>
    <row r="48" spans="1:38" x14ac:dyDescent="0.3">
      <c r="A48" s="38">
        <v>2</v>
      </c>
      <c r="B48" s="38" t="s">
        <v>867</v>
      </c>
      <c r="C48" s="38" t="s">
        <v>831</v>
      </c>
      <c r="D48" s="39">
        <v>45796</v>
      </c>
      <c r="E48" s="38" t="s">
        <v>53</v>
      </c>
      <c r="F48" s="38" t="s">
        <v>199</v>
      </c>
      <c r="G48" s="40">
        <v>782</v>
      </c>
      <c r="H48" s="40">
        <v>7520</v>
      </c>
      <c r="I48" s="40">
        <v>1203.2</v>
      </c>
      <c r="J48" s="40">
        <f t="shared" si="1"/>
        <v>9505.2000000000007</v>
      </c>
      <c r="K48" s="40">
        <v>9505.2000000000007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782</v>
      </c>
      <c r="R48" s="41"/>
      <c r="S48" s="40">
        <v>7520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36">
        <f t="shared" si="4"/>
        <v>0</v>
      </c>
      <c r="AH48"/>
      <c r="AI48" s="37"/>
      <c r="AK48" s="1"/>
      <c r="AL48" s="1"/>
    </row>
    <row r="49" spans="1:38" x14ac:dyDescent="0.3">
      <c r="A49" s="38">
        <v>1</v>
      </c>
      <c r="B49" s="38" t="s">
        <v>870</v>
      </c>
      <c r="C49" s="38" t="s">
        <v>901</v>
      </c>
      <c r="D49" s="39">
        <v>45797</v>
      </c>
      <c r="E49" s="38" t="s">
        <v>53</v>
      </c>
      <c r="F49" s="38" t="s">
        <v>199</v>
      </c>
      <c r="G49" s="40">
        <v>0</v>
      </c>
      <c r="H49" s="40">
        <v>42145.11</v>
      </c>
      <c r="I49" s="40">
        <v>6743.22</v>
      </c>
      <c r="J49" s="40">
        <f t="shared" si="1"/>
        <v>48888.33</v>
      </c>
      <c r="K49" s="40">
        <v>101832</v>
      </c>
      <c r="L49" s="40">
        <f t="shared" si="2"/>
        <v>-52943.67</v>
      </c>
      <c r="M49" s="38" t="s">
        <v>35</v>
      </c>
      <c r="N49" s="54"/>
      <c r="O49" s="36"/>
      <c r="P49" s="40">
        <v>0</v>
      </c>
      <c r="Q49" s="40">
        <v>0</v>
      </c>
      <c r="R49" s="41"/>
      <c r="S49" s="40">
        <v>7200</v>
      </c>
      <c r="T49" s="40">
        <v>0</v>
      </c>
      <c r="U49" s="40">
        <v>31945.11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3000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36">
        <f t="shared" si="4"/>
        <v>0</v>
      </c>
      <c r="AH49"/>
      <c r="AI49" s="37"/>
      <c r="AK49" s="1"/>
      <c r="AL49" s="1"/>
    </row>
    <row r="50" spans="1:38" x14ac:dyDescent="0.3">
      <c r="A50" s="38">
        <v>1</v>
      </c>
      <c r="B50" s="38" t="s">
        <v>871</v>
      </c>
      <c r="C50" s="50" t="s">
        <v>902</v>
      </c>
      <c r="D50" s="39">
        <v>45797</v>
      </c>
      <c r="E50" s="38" t="s">
        <v>53</v>
      </c>
      <c r="F50" s="38" t="s">
        <v>199</v>
      </c>
      <c r="G50" s="40">
        <v>0</v>
      </c>
      <c r="H50" s="40">
        <v>74559.91</v>
      </c>
      <c r="I50" s="40">
        <v>11929.59</v>
      </c>
      <c r="J50" s="40">
        <f t="shared" si="1"/>
        <v>86489.5</v>
      </c>
      <c r="K50" s="40">
        <v>101832</v>
      </c>
      <c r="L50" s="40">
        <f t="shared" si="2"/>
        <v>-15342.5</v>
      </c>
      <c r="M50" s="38" t="s">
        <v>35</v>
      </c>
      <c r="N50" s="54"/>
      <c r="O50" s="36"/>
      <c r="P50" s="40">
        <v>0</v>
      </c>
      <c r="Q50" s="40">
        <v>0</v>
      </c>
      <c r="R50" s="41"/>
      <c r="S50" s="40">
        <v>7200</v>
      </c>
      <c r="T50" s="40">
        <v>0</v>
      </c>
      <c r="U50" s="40">
        <v>64359.91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3000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36">
        <f t="shared" si="4"/>
        <v>0</v>
      </c>
      <c r="AH50"/>
      <c r="AI50" s="37"/>
      <c r="AK50" s="1"/>
      <c r="AL50" s="1"/>
    </row>
    <row r="51" spans="1:38" x14ac:dyDescent="0.3">
      <c r="A51" s="38">
        <v>1</v>
      </c>
      <c r="B51" s="38" t="s">
        <v>872</v>
      </c>
      <c r="C51" s="50" t="s">
        <v>903</v>
      </c>
      <c r="D51" s="39">
        <v>45797</v>
      </c>
      <c r="E51" s="38" t="s">
        <v>53</v>
      </c>
      <c r="F51" s="38" t="s">
        <v>199</v>
      </c>
      <c r="G51" s="40">
        <v>0</v>
      </c>
      <c r="H51" s="40">
        <v>56616.25</v>
      </c>
      <c r="I51" s="40">
        <v>9058.6</v>
      </c>
      <c r="J51" s="40">
        <f t="shared" si="1"/>
        <v>65674.850000000006</v>
      </c>
      <c r="K51" s="40">
        <v>101832</v>
      </c>
      <c r="L51" s="40">
        <f t="shared" si="2"/>
        <v>-36157.149999999994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7200</v>
      </c>
      <c r="T51" s="40">
        <v>0</v>
      </c>
      <c r="U51" s="40">
        <v>46416.25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3000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36">
        <f t="shared" si="4"/>
        <v>0</v>
      </c>
      <c r="AH51"/>
      <c r="AI51" s="37"/>
      <c r="AK51" s="1"/>
      <c r="AL51" s="1"/>
    </row>
    <row r="52" spans="1:38" x14ac:dyDescent="0.3">
      <c r="A52" s="38">
        <v>1</v>
      </c>
      <c r="B52" s="38" t="s">
        <v>873</v>
      </c>
      <c r="C52" s="38" t="s">
        <v>904</v>
      </c>
      <c r="D52" s="39">
        <v>45797</v>
      </c>
      <c r="E52" s="38" t="s">
        <v>53</v>
      </c>
      <c r="F52" s="38" t="s">
        <v>199</v>
      </c>
      <c r="G52" s="40">
        <v>0</v>
      </c>
      <c r="H52" s="40">
        <v>92750.26</v>
      </c>
      <c r="I52" s="40">
        <v>14840.04</v>
      </c>
      <c r="J52" s="40">
        <f t="shared" si="1"/>
        <v>107590.29999999999</v>
      </c>
      <c r="K52" s="40">
        <v>111753.71</v>
      </c>
      <c r="L52" s="40">
        <f t="shared" si="2"/>
        <v>-4163.410000000018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7200</v>
      </c>
      <c r="T52" s="40">
        <v>0</v>
      </c>
      <c r="U52" s="40">
        <v>82550.259999999995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3000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36">
        <f t="shared" si="4"/>
        <v>0</v>
      </c>
      <c r="AH52"/>
      <c r="AI52" s="37"/>
      <c r="AK52" s="1"/>
      <c r="AL52" s="1"/>
    </row>
    <row r="53" spans="1:38" x14ac:dyDescent="0.3">
      <c r="A53" s="38">
        <v>1</v>
      </c>
      <c r="B53" s="2" t="s">
        <v>874</v>
      </c>
      <c r="C53" s="50" t="s">
        <v>905</v>
      </c>
      <c r="D53" s="39">
        <v>45797</v>
      </c>
      <c r="E53" s="38" t="s">
        <v>53</v>
      </c>
      <c r="F53" s="38" t="s">
        <v>199</v>
      </c>
      <c r="G53" s="40">
        <v>0</v>
      </c>
      <c r="H53" s="40">
        <v>56609.63</v>
      </c>
      <c r="I53" s="40">
        <v>9057.5400000000009</v>
      </c>
      <c r="J53" s="40">
        <f t="shared" si="1"/>
        <v>65667.17</v>
      </c>
      <c r="K53" s="40">
        <v>101832</v>
      </c>
      <c r="L53" s="40">
        <f t="shared" si="2"/>
        <v>-36164.83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7200</v>
      </c>
      <c r="T53" s="40">
        <v>0</v>
      </c>
      <c r="U53" s="40">
        <v>46409.63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3000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36">
        <f t="shared" si="4"/>
        <v>0</v>
      </c>
      <c r="AH53"/>
      <c r="AI53" s="37"/>
      <c r="AK53" s="1"/>
      <c r="AL53" s="1"/>
    </row>
    <row r="54" spans="1:38" x14ac:dyDescent="0.3">
      <c r="A54" s="38">
        <v>1</v>
      </c>
      <c r="B54" s="2" t="s">
        <v>875</v>
      </c>
      <c r="C54" s="38" t="s">
        <v>906</v>
      </c>
      <c r="D54" s="39">
        <v>45797</v>
      </c>
      <c r="E54" s="38" t="s">
        <v>53</v>
      </c>
      <c r="F54" s="38" t="s">
        <v>199</v>
      </c>
      <c r="G54" s="40">
        <v>0</v>
      </c>
      <c r="H54" s="40">
        <v>105443.56</v>
      </c>
      <c r="I54" s="40">
        <v>16870.97</v>
      </c>
      <c r="J54" s="40">
        <f t="shared" si="1"/>
        <v>122314.53</v>
      </c>
      <c r="K54" s="40">
        <v>127117.2</v>
      </c>
      <c r="L54" s="40">
        <f t="shared" si="2"/>
        <v>-4802.6699999999983</v>
      </c>
      <c r="M54" s="38" t="s">
        <v>35</v>
      </c>
      <c r="N54" s="54"/>
      <c r="O54" s="36"/>
      <c r="P54" s="40">
        <v>0</v>
      </c>
      <c r="Q54" s="40">
        <v>0</v>
      </c>
      <c r="R54" s="41"/>
      <c r="S54" s="40">
        <v>7200</v>
      </c>
      <c r="T54" s="40">
        <v>0</v>
      </c>
      <c r="U54" s="40">
        <v>95243.56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3000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36">
        <f t="shared" si="4"/>
        <v>0</v>
      </c>
      <c r="AH54"/>
      <c r="AI54" s="37"/>
      <c r="AK54" s="1"/>
      <c r="AL54" s="1"/>
    </row>
    <row r="55" spans="1:38" x14ac:dyDescent="0.3">
      <c r="A55" s="38">
        <v>1</v>
      </c>
      <c r="B55" s="2" t="s">
        <v>876</v>
      </c>
      <c r="C55" s="38" t="s">
        <v>907</v>
      </c>
      <c r="D55" s="39">
        <v>45797</v>
      </c>
      <c r="E55" s="38" t="s">
        <v>53</v>
      </c>
      <c r="F55" s="38" t="s">
        <v>199</v>
      </c>
      <c r="G55" s="40">
        <v>0</v>
      </c>
      <c r="H55" s="40">
        <v>22592.85</v>
      </c>
      <c r="I55" s="40">
        <v>3614.86</v>
      </c>
      <c r="J55" s="40">
        <f t="shared" si="1"/>
        <v>26207.71</v>
      </c>
      <c r="K55" s="40">
        <v>101832</v>
      </c>
      <c r="L55" s="40">
        <f t="shared" si="2"/>
        <v>-75624.290000000008</v>
      </c>
      <c r="M55" s="38" t="s">
        <v>35</v>
      </c>
      <c r="N55" s="54"/>
      <c r="O55" s="36"/>
      <c r="P55" s="40">
        <v>0</v>
      </c>
      <c r="Q55" s="40">
        <v>0</v>
      </c>
      <c r="R55" s="41"/>
      <c r="S55" s="40">
        <v>7200</v>
      </c>
      <c r="T55" s="40">
        <v>0</v>
      </c>
      <c r="U55" s="40">
        <v>12392.85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3000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36">
        <f t="shared" si="4"/>
        <v>0</v>
      </c>
      <c r="AH55"/>
      <c r="AI55" s="37"/>
      <c r="AK55" s="1"/>
      <c r="AL55" s="1"/>
    </row>
    <row r="56" spans="1:38" x14ac:dyDescent="0.3">
      <c r="A56" s="38">
        <v>1</v>
      </c>
      <c r="B56" s="2" t="s">
        <v>877</v>
      </c>
      <c r="C56" s="50" t="s">
        <v>908</v>
      </c>
      <c r="D56" s="39">
        <v>45797</v>
      </c>
      <c r="E56" s="38" t="s">
        <v>53</v>
      </c>
      <c r="F56" s="38" t="s">
        <v>199</v>
      </c>
      <c r="G56" s="40">
        <v>0</v>
      </c>
      <c r="H56" s="40">
        <v>36696.589999999997</v>
      </c>
      <c r="I56" s="40">
        <v>5871.45</v>
      </c>
      <c r="J56" s="40">
        <f t="shared" si="1"/>
        <v>42568.039999999994</v>
      </c>
      <c r="K56" s="40">
        <v>101832</v>
      </c>
      <c r="L56" s="40">
        <f t="shared" si="2"/>
        <v>-59263.960000000006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7200</v>
      </c>
      <c r="T56" s="40">
        <v>0</v>
      </c>
      <c r="U56" s="40">
        <v>26496.59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3000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36">
        <f t="shared" si="4"/>
        <v>0</v>
      </c>
      <c r="AH56"/>
      <c r="AI56" s="37"/>
      <c r="AK56" s="1"/>
      <c r="AL56" s="1"/>
    </row>
    <row r="57" spans="1:38" x14ac:dyDescent="0.3">
      <c r="A57" s="38">
        <v>1</v>
      </c>
      <c r="B57" s="2" t="s">
        <v>878</v>
      </c>
      <c r="C57" s="50" t="s">
        <v>909</v>
      </c>
      <c r="D57" s="39">
        <v>45797</v>
      </c>
      <c r="E57" s="38" t="s">
        <v>53</v>
      </c>
      <c r="F57" s="38" t="s">
        <v>199</v>
      </c>
      <c r="G57" s="40">
        <v>0</v>
      </c>
      <c r="H57" s="40">
        <v>48624.37</v>
      </c>
      <c r="I57" s="40">
        <v>7779.9</v>
      </c>
      <c r="J57" s="40">
        <f t="shared" si="1"/>
        <v>56404.270000000004</v>
      </c>
      <c r="K57" s="40">
        <v>91832</v>
      </c>
      <c r="L57" s="40">
        <f t="shared" si="2"/>
        <v>-35427.729999999996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7200</v>
      </c>
      <c r="T57" s="40">
        <v>0</v>
      </c>
      <c r="U57" s="40">
        <v>38424.370000000003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3000</v>
      </c>
      <c r="AC57" s="40">
        <v>0</v>
      </c>
      <c r="AD57" s="40">
        <v>0</v>
      </c>
      <c r="AE57" s="40">
        <v>0</v>
      </c>
      <c r="AF57" s="40">
        <v>0</v>
      </c>
      <c r="AG57" s="36">
        <f t="shared" si="4"/>
        <v>0</v>
      </c>
      <c r="AH57"/>
      <c r="AI57" s="37"/>
      <c r="AK57" s="1"/>
      <c r="AL57" s="1"/>
    </row>
    <row r="58" spans="1:38" x14ac:dyDescent="0.3">
      <c r="A58" s="38">
        <v>1</v>
      </c>
      <c r="B58" s="2" t="s">
        <v>879</v>
      </c>
      <c r="C58" s="38" t="s">
        <v>910</v>
      </c>
      <c r="D58" s="39">
        <v>45797</v>
      </c>
      <c r="E58" s="38" t="s">
        <v>53</v>
      </c>
      <c r="F58" s="38" t="s">
        <v>199</v>
      </c>
      <c r="G58" s="40">
        <v>0</v>
      </c>
      <c r="H58" s="40">
        <v>35654.82</v>
      </c>
      <c r="I58" s="40">
        <v>5704.77</v>
      </c>
      <c r="J58" s="40">
        <f t="shared" si="1"/>
        <v>41359.589999999997</v>
      </c>
      <c r="K58" s="40">
        <v>101832</v>
      </c>
      <c r="L58" s="40">
        <f t="shared" si="2"/>
        <v>-60472.41</v>
      </c>
      <c r="M58" s="38" t="s">
        <v>35</v>
      </c>
      <c r="N58" s="54"/>
      <c r="O58" s="36"/>
      <c r="P58" s="40">
        <v>0</v>
      </c>
      <c r="Q58" s="40">
        <v>0</v>
      </c>
      <c r="R58" s="41"/>
      <c r="S58" s="40">
        <v>7200</v>
      </c>
      <c r="T58" s="40">
        <v>0</v>
      </c>
      <c r="U58" s="40">
        <v>25454.82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3000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36">
        <f t="shared" si="4"/>
        <v>0</v>
      </c>
      <c r="AH58"/>
      <c r="AI58" s="37"/>
      <c r="AK58" s="1"/>
      <c r="AL58" s="1"/>
    </row>
    <row r="59" spans="1:38" x14ac:dyDescent="0.3">
      <c r="A59" s="38">
        <v>1</v>
      </c>
      <c r="B59" s="2" t="s">
        <v>880</v>
      </c>
      <c r="C59" s="38" t="s">
        <v>911</v>
      </c>
      <c r="D59" s="39">
        <v>45797</v>
      </c>
      <c r="E59" s="38" t="s">
        <v>53</v>
      </c>
      <c r="F59" s="38" t="s">
        <v>199</v>
      </c>
      <c r="G59" s="40">
        <v>0</v>
      </c>
      <c r="H59" s="40">
        <v>38385.199999999997</v>
      </c>
      <c r="I59" s="40">
        <v>6141.63</v>
      </c>
      <c r="J59" s="40">
        <f t="shared" si="1"/>
        <v>44526.829999999994</v>
      </c>
      <c r="K59" s="40">
        <v>101832</v>
      </c>
      <c r="L59" s="40">
        <f t="shared" si="2"/>
        <v>-57305.170000000006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7200</v>
      </c>
      <c r="T59" s="40">
        <v>0</v>
      </c>
      <c r="U59" s="40">
        <v>28185.200000000001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3000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36">
        <f t="shared" si="4"/>
        <v>0</v>
      </c>
      <c r="AH59"/>
      <c r="AI59" s="37"/>
      <c r="AK59" s="1"/>
      <c r="AL59" s="1"/>
    </row>
    <row r="60" spans="1:38" x14ac:dyDescent="0.3">
      <c r="A60" s="38">
        <v>1</v>
      </c>
      <c r="B60" s="2" t="s">
        <v>881</v>
      </c>
      <c r="C60" s="38" t="s">
        <v>912</v>
      </c>
      <c r="D60" s="39">
        <v>45797</v>
      </c>
      <c r="E60" s="38" t="s">
        <v>53</v>
      </c>
      <c r="F60" s="38" t="s">
        <v>199</v>
      </c>
      <c r="G60" s="40">
        <v>0</v>
      </c>
      <c r="H60" s="40">
        <v>52917.55</v>
      </c>
      <c r="I60" s="40">
        <v>8466.81</v>
      </c>
      <c r="J60" s="40">
        <f t="shared" si="1"/>
        <v>61384.36</v>
      </c>
      <c r="K60" s="40">
        <v>101832</v>
      </c>
      <c r="L60" s="40">
        <f t="shared" si="2"/>
        <v>-40447.64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7200</v>
      </c>
      <c r="T60" s="40">
        <v>0</v>
      </c>
      <c r="U60" s="40">
        <v>42717.55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3000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36">
        <f t="shared" si="4"/>
        <v>0</v>
      </c>
      <c r="AH60"/>
      <c r="AI60" s="37"/>
      <c r="AK60" s="1"/>
      <c r="AL60" s="1"/>
    </row>
    <row r="61" spans="1:38" x14ac:dyDescent="0.3">
      <c r="A61" s="38">
        <v>1</v>
      </c>
      <c r="B61" s="2" t="s">
        <v>882</v>
      </c>
      <c r="C61" s="38" t="s">
        <v>913</v>
      </c>
      <c r="D61" s="39">
        <v>45797</v>
      </c>
      <c r="E61" s="38" t="s">
        <v>53</v>
      </c>
      <c r="F61" s="38" t="s">
        <v>199</v>
      </c>
      <c r="G61" s="40">
        <v>0</v>
      </c>
      <c r="H61" s="40">
        <v>63320.75</v>
      </c>
      <c r="I61" s="40">
        <v>10131.32</v>
      </c>
      <c r="J61" s="40">
        <f t="shared" si="1"/>
        <v>73452.070000000007</v>
      </c>
      <c r="K61" s="40">
        <v>101832</v>
      </c>
      <c r="L61" s="40">
        <f t="shared" si="2"/>
        <v>-28379.929999999993</v>
      </c>
      <c r="M61" s="38" t="s">
        <v>35</v>
      </c>
      <c r="N61" s="54"/>
      <c r="O61" s="36"/>
      <c r="P61" s="40">
        <v>0</v>
      </c>
      <c r="Q61" s="40">
        <v>0</v>
      </c>
      <c r="R61" s="41"/>
      <c r="S61" s="40">
        <v>7200</v>
      </c>
      <c r="T61" s="40">
        <v>0</v>
      </c>
      <c r="U61" s="40">
        <v>53120.75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3000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36">
        <f t="shared" si="4"/>
        <v>0</v>
      </c>
      <c r="AH61"/>
      <c r="AI61" s="37"/>
      <c r="AK61" s="1"/>
      <c r="AL61" s="1"/>
    </row>
    <row r="62" spans="1:38" x14ac:dyDescent="0.3">
      <c r="A62" s="38">
        <v>1</v>
      </c>
      <c r="B62" s="2" t="s">
        <v>883</v>
      </c>
      <c r="C62" s="38" t="s">
        <v>914</v>
      </c>
      <c r="D62" s="39">
        <v>45797</v>
      </c>
      <c r="E62" s="38" t="s">
        <v>53</v>
      </c>
      <c r="F62" s="38" t="s">
        <v>199</v>
      </c>
      <c r="G62" s="40">
        <v>0</v>
      </c>
      <c r="H62" s="40">
        <v>69793.490000000005</v>
      </c>
      <c r="I62" s="40">
        <v>11166.96</v>
      </c>
      <c r="J62" s="40">
        <f t="shared" si="1"/>
        <v>80960.450000000012</v>
      </c>
      <c r="K62" s="40">
        <v>91832</v>
      </c>
      <c r="L62" s="40">
        <f t="shared" si="2"/>
        <v>-10871.549999999988</v>
      </c>
      <c r="M62" s="38" t="s">
        <v>35</v>
      </c>
      <c r="N62" s="54"/>
      <c r="O62" s="36"/>
      <c r="P62" s="40">
        <v>0</v>
      </c>
      <c r="Q62" s="40">
        <v>0</v>
      </c>
      <c r="R62" s="41"/>
      <c r="S62" s="40">
        <v>7200</v>
      </c>
      <c r="T62" s="40">
        <v>0</v>
      </c>
      <c r="U62" s="40">
        <v>59593.49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3000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36">
        <f t="shared" si="4"/>
        <v>0</v>
      </c>
      <c r="AH62"/>
      <c r="AI62" s="37"/>
      <c r="AK62" s="1"/>
      <c r="AL62" s="1"/>
    </row>
    <row r="63" spans="1:38" x14ac:dyDescent="0.3">
      <c r="A63" s="38">
        <v>1</v>
      </c>
      <c r="B63" s="2" t="s">
        <v>884</v>
      </c>
      <c r="C63" s="38" t="s">
        <v>915</v>
      </c>
      <c r="D63" s="39">
        <v>45797</v>
      </c>
      <c r="E63" s="38" t="s">
        <v>53</v>
      </c>
      <c r="F63" s="38" t="s">
        <v>199</v>
      </c>
      <c r="G63" s="40">
        <v>0</v>
      </c>
      <c r="H63" s="84">
        <v>96137.49</v>
      </c>
      <c r="I63" s="40">
        <v>15382</v>
      </c>
      <c r="J63" s="40">
        <f t="shared" si="1"/>
        <v>111519.49</v>
      </c>
      <c r="K63" s="40">
        <v>115853.22</v>
      </c>
      <c r="L63" s="40">
        <f t="shared" si="2"/>
        <v>-4333.7299999999959</v>
      </c>
      <c r="M63" s="38" t="s">
        <v>35</v>
      </c>
      <c r="N63" s="54"/>
      <c r="O63" s="36"/>
      <c r="P63" s="40">
        <v>0</v>
      </c>
      <c r="Q63" s="40">
        <v>0</v>
      </c>
      <c r="R63" s="41"/>
      <c r="S63" s="40">
        <v>7200</v>
      </c>
      <c r="T63" s="40">
        <v>0</v>
      </c>
      <c r="U63" s="40">
        <v>85937.49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3000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36">
        <f t="shared" si="4"/>
        <v>0</v>
      </c>
      <c r="AH63"/>
      <c r="AI63" s="37"/>
      <c r="AK63" s="1"/>
      <c r="AL63" s="1"/>
    </row>
    <row r="64" spans="1:38" x14ac:dyDescent="0.3">
      <c r="A64" s="38">
        <v>1</v>
      </c>
      <c r="B64" s="2" t="s">
        <v>885</v>
      </c>
      <c r="C64" s="38" t="s">
        <v>916</v>
      </c>
      <c r="D64" s="39">
        <v>45797</v>
      </c>
      <c r="E64" s="38" t="s">
        <v>53</v>
      </c>
      <c r="F64" s="38" t="s">
        <v>199</v>
      </c>
      <c r="G64" s="40">
        <v>781</v>
      </c>
      <c r="H64" s="84">
        <v>40048.83</v>
      </c>
      <c r="I64" s="40">
        <v>6407.81</v>
      </c>
      <c r="J64" s="40">
        <f t="shared" si="1"/>
        <v>47237.64</v>
      </c>
      <c r="K64" s="40">
        <v>98937.19</v>
      </c>
      <c r="L64" s="40">
        <f t="shared" si="2"/>
        <v>-51699.55</v>
      </c>
      <c r="M64" s="38" t="s">
        <v>35</v>
      </c>
      <c r="N64" s="54"/>
      <c r="O64" s="36"/>
      <c r="P64" s="40">
        <v>0</v>
      </c>
      <c r="Q64" s="40">
        <v>781</v>
      </c>
      <c r="R64" s="41"/>
      <c r="S64" s="40">
        <v>7031.2</v>
      </c>
      <c r="T64" s="40">
        <v>0</v>
      </c>
      <c r="U64" s="40">
        <v>33017.629999999997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36">
        <f t="shared" si="4"/>
        <v>0</v>
      </c>
      <c r="AH64"/>
      <c r="AI64" s="37"/>
      <c r="AK64" s="1"/>
      <c r="AL64" s="1"/>
    </row>
    <row r="65" spans="1:38" x14ac:dyDescent="0.3">
      <c r="A65" s="38">
        <v>1</v>
      </c>
      <c r="B65" s="2" t="s">
        <v>886</v>
      </c>
      <c r="C65" s="38" t="s">
        <v>917</v>
      </c>
      <c r="D65" s="39">
        <v>45797</v>
      </c>
      <c r="E65" s="38" t="s">
        <v>53</v>
      </c>
      <c r="F65" s="38" t="s">
        <v>199</v>
      </c>
      <c r="G65" s="40">
        <v>781</v>
      </c>
      <c r="H65" s="84">
        <v>32348.23</v>
      </c>
      <c r="I65" s="40">
        <v>5175.71</v>
      </c>
      <c r="J65" s="40">
        <f t="shared" si="1"/>
        <v>38304.939999999995</v>
      </c>
      <c r="K65" s="40">
        <v>102438.65</v>
      </c>
      <c r="L65" s="40">
        <f t="shared" si="2"/>
        <v>-64133.71</v>
      </c>
      <c r="M65" s="38" t="s">
        <v>35</v>
      </c>
      <c r="N65" s="54"/>
      <c r="O65" s="36"/>
      <c r="P65" s="40">
        <v>0</v>
      </c>
      <c r="Q65" s="40">
        <v>781</v>
      </c>
      <c r="R65" s="41"/>
      <c r="S65" s="40">
        <v>7049.7</v>
      </c>
      <c r="T65" s="40">
        <v>0</v>
      </c>
      <c r="U65" s="40">
        <v>22298.53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3000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36">
        <f t="shared" si="4"/>
        <v>0</v>
      </c>
      <c r="AH65"/>
      <c r="AI65" s="37"/>
      <c r="AK65" s="1"/>
      <c r="AL65" s="1"/>
    </row>
    <row r="66" spans="1:38" x14ac:dyDescent="0.3">
      <c r="A66" s="38">
        <v>1</v>
      </c>
      <c r="B66" s="38" t="s">
        <v>887</v>
      </c>
      <c r="C66" s="38" t="s">
        <v>918</v>
      </c>
      <c r="D66" s="39">
        <v>45797</v>
      </c>
      <c r="E66" s="38" t="s">
        <v>53</v>
      </c>
      <c r="F66" s="38" t="s">
        <v>199</v>
      </c>
      <c r="G66" s="40">
        <v>781</v>
      </c>
      <c r="H66" s="84">
        <v>14521.64</v>
      </c>
      <c r="I66" s="40">
        <v>2323.46</v>
      </c>
      <c r="J66" s="40">
        <f t="shared" si="1"/>
        <v>17626.099999999999</v>
      </c>
      <c r="K66" s="40">
        <v>19809.47</v>
      </c>
      <c r="L66" s="40">
        <f t="shared" si="2"/>
        <v>-2183.3700000000026</v>
      </c>
      <c r="M66" s="38" t="s">
        <v>35</v>
      </c>
      <c r="N66" s="54"/>
      <c r="O66" s="36"/>
      <c r="P66" s="40">
        <v>0</v>
      </c>
      <c r="Q66" s="40">
        <v>781</v>
      </c>
      <c r="R66" s="41"/>
      <c r="S66" s="40">
        <v>7049.7</v>
      </c>
      <c r="T66" s="40">
        <v>608.91999999999996</v>
      </c>
      <c r="U66" s="40">
        <v>2948.02</v>
      </c>
      <c r="V66" s="40">
        <v>0</v>
      </c>
      <c r="W66" s="40">
        <v>3915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36">
        <f t="shared" si="4"/>
        <v>0</v>
      </c>
      <c r="AH66"/>
      <c r="AI66" s="37"/>
      <c r="AK66" s="1"/>
      <c r="AL66" s="1"/>
    </row>
    <row r="67" spans="1:38" x14ac:dyDescent="0.3">
      <c r="A67" s="38">
        <v>1</v>
      </c>
      <c r="B67" s="38" t="s">
        <v>888</v>
      </c>
      <c r="C67" s="38" t="s">
        <v>919</v>
      </c>
      <c r="D67" s="39">
        <v>45797</v>
      </c>
      <c r="E67" s="38" t="s">
        <v>53</v>
      </c>
      <c r="F67" s="38" t="s">
        <v>199</v>
      </c>
      <c r="G67" s="40">
        <v>781</v>
      </c>
      <c r="H67" s="84">
        <v>104991.3</v>
      </c>
      <c r="I67" s="40">
        <v>16798.61</v>
      </c>
      <c r="J67" s="40">
        <f t="shared" ref="J67:J145" si="5">SUM(G67:I67)</f>
        <v>122570.91</v>
      </c>
      <c r="K67" s="40">
        <v>151712.51</v>
      </c>
      <c r="L67" s="40">
        <f t="shared" ref="L67:L145" si="6">+J67-K67</f>
        <v>-29141.600000000006</v>
      </c>
      <c r="M67" s="38" t="s">
        <v>35</v>
      </c>
      <c r="N67" s="54"/>
      <c r="O67" s="36"/>
      <c r="P67" s="40">
        <v>0</v>
      </c>
      <c r="Q67" s="40">
        <v>781</v>
      </c>
      <c r="R67" s="41"/>
      <c r="S67" s="40">
        <v>7066</v>
      </c>
      <c r="T67" s="40">
        <v>0</v>
      </c>
      <c r="U67" s="40">
        <v>97925.3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36">
        <f t="shared" si="4"/>
        <v>0</v>
      </c>
      <c r="AH67"/>
      <c r="AI67" s="37"/>
      <c r="AK67" s="1"/>
      <c r="AL67" s="1"/>
    </row>
    <row r="68" spans="1:38" x14ac:dyDescent="0.3">
      <c r="A68" s="38">
        <v>1</v>
      </c>
      <c r="B68" s="38" t="s">
        <v>889</v>
      </c>
      <c r="C68" s="38" t="s">
        <v>920</v>
      </c>
      <c r="D68" s="39">
        <v>45797</v>
      </c>
      <c r="E68" s="38" t="s">
        <v>53</v>
      </c>
      <c r="F68" s="38" t="s">
        <v>199</v>
      </c>
      <c r="G68" s="40">
        <v>781</v>
      </c>
      <c r="H68" s="84">
        <v>34631.86</v>
      </c>
      <c r="I68" s="40">
        <v>5541.1</v>
      </c>
      <c r="J68" s="40">
        <f t="shared" si="5"/>
        <v>40953.96</v>
      </c>
      <c r="K68" s="40">
        <v>49696.73</v>
      </c>
      <c r="L68" s="40">
        <f t="shared" si="6"/>
        <v>-8742.7700000000041</v>
      </c>
      <c r="M68" s="38" t="s">
        <v>35</v>
      </c>
      <c r="N68" s="54"/>
      <c r="O68" s="36"/>
      <c r="P68" s="40">
        <v>0</v>
      </c>
      <c r="Q68" s="40">
        <v>781</v>
      </c>
      <c r="R68" s="41"/>
      <c r="S68" s="40">
        <v>7066</v>
      </c>
      <c r="T68" s="40">
        <v>0</v>
      </c>
      <c r="U68" s="40">
        <v>27565.86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36">
        <f t="shared" si="4"/>
        <v>0</v>
      </c>
      <c r="AH68"/>
      <c r="AI68" s="37"/>
      <c r="AK68" s="1"/>
      <c r="AL68" s="1"/>
    </row>
    <row r="69" spans="1:38" x14ac:dyDescent="0.3">
      <c r="A69" s="38">
        <v>2</v>
      </c>
      <c r="B69" s="38" t="s">
        <v>890</v>
      </c>
      <c r="C69" s="38" t="s">
        <v>921</v>
      </c>
      <c r="D69" s="39">
        <v>45797</v>
      </c>
      <c r="E69" s="38" t="s">
        <v>53</v>
      </c>
      <c r="F69" s="38" t="s">
        <v>199</v>
      </c>
      <c r="G69" s="40">
        <v>782</v>
      </c>
      <c r="H69" s="84">
        <v>7520</v>
      </c>
      <c r="I69" s="40">
        <v>1203.2</v>
      </c>
      <c r="J69" s="40">
        <f t="shared" si="5"/>
        <v>9505.2000000000007</v>
      </c>
      <c r="K69" s="40">
        <v>9505.2000000000007</v>
      </c>
      <c r="L69" s="40">
        <f t="shared" si="6"/>
        <v>0</v>
      </c>
      <c r="M69" s="38" t="s">
        <v>35</v>
      </c>
      <c r="N69" s="54"/>
      <c r="O69" s="36"/>
      <c r="P69" s="40">
        <v>0</v>
      </c>
      <c r="Q69" s="40">
        <v>782</v>
      </c>
      <c r="R69" s="41"/>
      <c r="S69" s="40">
        <v>7520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36">
        <f t="shared" si="4"/>
        <v>0</v>
      </c>
      <c r="AH69"/>
      <c r="AI69" s="37"/>
      <c r="AK69" s="1"/>
      <c r="AL69" s="1"/>
    </row>
    <row r="70" spans="1:38" x14ac:dyDescent="0.3">
      <c r="A70" s="38">
        <v>1</v>
      </c>
      <c r="B70" s="38" t="s">
        <v>891</v>
      </c>
      <c r="C70" s="38" t="s">
        <v>922</v>
      </c>
      <c r="D70" s="39">
        <v>45797</v>
      </c>
      <c r="E70" s="38" t="s">
        <v>53</v>
      </c>
      <c r="F70" s="38" t="s">
        <v>199</v>
      </c>
      <c r="G70" s="40">
        <v>781</v>
      </c>
      <c r="H70" s="84">
        <v>47240.44</v>
      </c>
      <c r="I70" s="40">
        <v>7558.47</v>
      </c>
      <c r="J70" s="40">
        <f t="shared" si="5"/>
        <v>55579.91</v>
      </c>
      <c r="K70" s="40">
        <v>105918.65</v>
      </c>
      <c r="L70" s="40">
        <f t="shared" si="6"/>
        <v>-50338.739999999991</v>
      </c>
      <c r="M70" s="38" t="s">
        <v>35</v>
      </c>
      <c r="N70" s="54"/>
      <c r="O70" s="36"/>
      <c r="P70" s="40">
        <v>0</v>
      </c>
      <c r="Q70" s="40">
        <v>781</v>
      </c>
      <c r="R70" s="41"/>
      <c r="S70" s="40">
        <v>14118.84</v>
      </c>
      <c r="T70" s="40">
        <v>0</v>
      </c>
      <c r="U70" s="40">
        <v>27121.599999999999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3000</v>
      </c>
      <c r="AB70" s="40">
        <v>3000</v>
      </c>
      <c r="AC70" s="40">
        <v>0</v>
      </c>
      <c r="AD70" s="40">
        <v>0</v>
      </c>
      <c r="AE70" s="40">
        <v>0</v>
      </c>
      <c r="AF70" s="40">
        <v>0</v>
      </c>
      <c r="AG70" s="36">
        <f t="shared" si="4"/>
        <v>0</v>
      </c>
      <c r="AH70"/>
      <c r="AI70" s="37"/>
      <c r="AK70" s="1"/>
      <c r="AL70" s="1"/>
    </row>
    <row r="71" spans="1:38" x14ac:dyDescent="0.3">
      <c r="A71" s="38">
        <v>2</v>
      </c>
      <c r="B71" s="38" t="s">
        <v>892</v>
      </c>
      <c r="C71" s="38" t="s">
        <v>923</v>
      </c>
      <c r="D71" s="39">
        <v>45797</v>
      </c>
      <c r="E71" s="38" t="s">
        <v>198</v>
      </c>
      <c r="F71" t="s">
        <v>200</v>
      </c>
      <c r="G71" s="40">
        <v>0</v>
      </c>
      <c r="H71" s="84">
        <v>22000</v>
      </c>
      <c r="I71" s="40">
        <v>3520</v>
      </c>
      <c r="J71" s="40">
        <f t="shared" si="5"/>
        <v>25520</v>
      </c>
      <c r="K71" s="40">
        <v>25520</v>
      </c>
      <c r="L71" s="40">
        <f t="shared" si="6"/>
        <v>0</v>
      </c>
      <c r="M71" s="38" t="s">
        <v>35</v>
      </c>
      <c r="N71" s="54"/>
      <c r="O71" s="36"/>
      <c r="P71" s="40">
        <v>0</v>
      </c>
      <c r="Q71" s="40">
        <v>0</v>
      </c>
      <c r="R71" s="41"/>
      <c r="S71" s="40">
        <v>0</v>
      </c>
      <c r="T71" s="40">
        <v>0</v>
      </c>
      <c r="U71" s="40">
        <v>0</v>
      </c>
      <c r="V71" s="40">
        <v>0</v>
      </c>
      <c r="W71" s="40">
        <v>22000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36">
        <f t="shared" si="4"/>
        <v>0</v>
      </c>
      <c r="AH71"/>
      <c r="AI71" s="37"/>
      <c r="AK71" s="1"/>
      <c r="AL71" s="1"/>
    </row>
    <row r="72" spans="1:38" x14ac:dyDescent="0.3">
      <c r="A72" s="38">
        <v>2</v>
      </c>
      <c r="B72" s="38" t="s">
        <v>893</v>
      </c>
      <c r="C72" s="38" t="s">
        <v>924</v>
      </c>
      <c r="D72" s="39">
        <v>45797</v>
      </c>
      <c r="E72" s="38" t="s">
        <v>198</v>
      </c>
      <c r="F72" t="s">
        <v>200</v>
      </c>
      <c r="G72" s="40">
        <v>0</v>
      </c>
      <c r="H72" s="84">
        <v>22000</v>
      </c>
      <c r="I72" s="40">
        <v>3520</v>
      </c>
      <c r="J72" s="40">
        <f t="shared" si="5"/>
        <v>25520</v>
      </c>
      <c r="K72" s="40">
        <v>25520</v>
      </c>
      <c r="L72" s="40">
        <f t="shared" si="6"/>
        <v>0</v>
      </c>
      <c r="M72" s="38" t="s">
        <v>35</v>
      </c>
      <c r="N72" s="54"/>
      <c r="O72" s="36"/>
      <c r="P72" s="40">
        <v>0</v>
      </c>
      <c r="Q72" s="40">
        <v>0</v>
      </c>
      <c r="R72" s="41"/>
      <c r="S72" s="40">
        <v>0</v>
      </c>
      <c r="T72" s="40">
        <v>0</v>
      </c>
      <c r="U72" s="40">
        <v>0</v>
      </c>
      <c r="V72" s="40">
        <v>0</v>
      </c>
      <c r="W72" s="40">
        <v>22000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36">
        <f t="shared" si="4"/>
        <v>0</v>
      </c>
      <c r="AH72"/>
      <c r="AI72" s="37"/>
      <c r="AK72" s="1"/>
      <c r="AL72" s="1"/>
    </row>
    <row r="73" spans="1:38" x14ac:dyDescent="0.3">
      <c r="A73" s="38">
        <v>2</v>
      </c>
      <c r="B73" s="38" t="s">
        <v>894</v>
      </c>
      <c r="C73" s="38" t="s">
        <v>925</v>
      </c>
      <c r="D73" s="39">
        <v>45797</v>
      </c>
      <c r="E73" s="38" t="s">
        <v>198</v>
      </c>
      <c r="F73" t="s">
        <v>200</v>
      </c>
      <c r="G73" s="40">
        <v>0</v>
      </c>
      <c r="H73" s="84">
        <v>22000</v>
      </c>
      <c r="I73" s="40">
        <v>3520</v>
      </c>
      <c r="J73" s="40">
        <f t="shared" si="5"/>
        <v>25520</v>
      </c>
      <c r="K73" s="40">
        <v>25520</v>
      </c>
      <c r="L73" s="40">
        <f t="shared" si="6"/>
        <v>0</v>
      </c>
      <c r="M73" s="38" t="s">
        <v>35</v>
      </c>
      <c r="N73" s="54"/>
      <c r="O73" s="36"/>
      <c r="P73" s="40">
        <v>0</v>
      </c>
      <c r="Q73" s="40">
        <v>0</v>
      </c>
      <c r="R73" s="41"/>
      <c r="S73" s="40">
        <v>0</v>
      </c>
      <c r="T73" s="40">
        <v>0</v>
      </c>
      <c r="U73" s="40">
        <v>0</v>
      </c>
      <c r="V73" s="40">
        <v>0</v>
      </c>
      <c r="W73" s="40">
        <v>22000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36">
        <f t="shared" si="4"/>
        <v>0</v>
      </c>
      <c r="AH73"/>
      <c r="AI73" s="37"/>
      <c r="AK73" s="1"/>
      <c r="AL73" s="1"/>
    </row>
    <row r="74" spans="1:38" x14ac:dyDescent="0.3">
      <c r="A74" s="38">
        <v>2</v>
      </c>
      <c r="B74" s="38" t="s">
        <v>895</v>
      </c>
      <c r="C74" s="38" t="s">
        <v>926</v>
      </c>
      <c r="D74" s="39">
        <v>45797</v>
      </c>
      <c r="E74" s="38" t="s">
        <v>22</v>
      </c>
      <c r="F74" s="38" t="s">
        <v>45</v>
      </c>
      <c r="G74" s="40">
        <v>781</v>
      </c>
      <c r="H74" s="84">
        <v>4200</v>
      </c>
      <c r="I74" s="40">
        <v>672</v>
      </c>
      <c r="J74" s="40">
        <f t="shared" si="5"/>
        <v>5653</v>
      </c>
      <c r="K74" s="40">
        <v>5653</v>
      </c>
      <c r="L74" s="40">
        <f t="shared" si="6"/>
        <v>0</v>
      </c>
      <c r="M74" s="38" t="s">
        <v>35</v>
      </c>
      <c r="N74" s="54"/>
      <c r="O74" s="36"/>
      <c r="P74" s="40">
        <v>0</v>
      </c>
      <c r="Q74" s="40">
        <v>781</v>
      </c>
      <c r="R74" s="41"/>
      <c r="S74" s="40">
        <v>4200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36">
        <f t="shared" si="4"/>
        <v>0</v>
      </c>
      <c r="AH74"/>
      <c r="AI74" s="37"/>
      <c r="AK74" s="1"/>
      <c r="AL74" s="1"/>
    </row>
    <row r="75" spans="1:38" x14ac:dyDescent="0.3">
      <c r="A75" s="38">
        <v>2</v>
      </c>
      <c r="B75" s="38" t="s">
        <v>896</v>
      </c>
      <c r="C75" s="38" t="s">
        <v>927</v>
      </c>
      <c r="D75" s="39">
        <v>45797</v>
      </c>
      <c r="E75" s="38" t="s">
        <v>22</v>
      </c>
      <c r="F75" s="38" t="s">
        <v>45</v>
      </c>
      <c r="G75" s="40">
        <v>3926</v>
      </c>
      <c r="H75" s="84">
        <v>7400</v>
      </c>
      <c r="I75" s="40">
        <v>1184</v>
      </c>
      <c r="J75" s="40">
        <f t="shared" si="5"/>
        <v>12510</v>
      </c>
      <c r="K75" s="40">
        <v>15236</v>
      </c>
      <c r="L75" s="40">
        <f t="shared" si="6"/>
        <v>-2726</v>
      </c>
      <c r="M75" s="38" t="s">
        <v>35</v>
      </c>
      <c r="N75" s="54"/>
      <c r="O75" s="36"/>
      <c r="P75" s="40">
        <v>0</v>
      </c>
      <c r="Q75" s="40">
        <v>3926</v>
      </c>
      <c r="R75" s="41"/>
      <c r="S75" s="40">
        <v>4200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3200</v>
      </c>
      <c r="AC75" s="40">
        <v>0</v>
      </c>
      <c r="AD75" s="40">
        <v>0</v>
      </c>
      <c r="AE75" s="40">
        <v>0</v>
      </c>
      <c r="AF75" s="40">
        <v>0</v>
      </c>
      <c r="AG75" s="36">
        <f t="shared" si="4"/>
        <v>0</v>
      </c>
      <c r="AH75"/>
      <c r="AI75" s="37"/>
      <c r="AK75" s="1"/>
      <c r="AL75" s="1"/>
    </row>
    <row r="76" spans="1:38" x14ac:dyDescent="0.3">
      <c r="A76" s="38">
        <v>1</v>
      </c>
      <c r="B76" s="38" t="s">
        <v>897</v>
      </c>
      <c r="C76" s="38" t="s">
        <v>928</v>
      </c>
      <c r="D76" s="39">
        <v>45797</v>
      </c>
      <c r="E76" s="38" t="s">
        <v>42</v>
      </c>
      <c r="F76" s="38" t="s">
        <v>49</v>
      </c>
      <c r="G76" s="40">
        <v>0</v>
      </c>
      <c r="H76" s="84">
        <v>30166.92</v>
      </c>
      <c r="I76" s="40">
        <v>4826.7</v>
      </c>
      <c r="J76" s="40">
        <f t="shared" si="5"/>
        <v>34993.619999999995</v>
      </c>
      <c r="K76" s="40">
        <v>34993.620000000003</v>
      </c>
      <c r="L76" s="40">
        <f t="shared" si="6"/>
        <v>0</v>
      </c>
      <c r="M76" s="38" t="s">
        <v>35</v>
      </c>
      <c r="N76" s="54"/>
      <c r="O76" s="36"/>
      <c r="P76" s="40">
        <v>0</v>
      </c>
      <c r="Q76" s="40">
        <v>0</v>
      </c>
      <c r="R76" s="41"/>
      <c r="S76" s="40">
        <v>7376.27</v>
      </c>
      <c r="T76" s="40">
        <v>0</v>
      </c>
      <c r="U76" s="40">
        <v>22790.65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36">
        <f t="shared" si="4"/>
        <v>0</v>
      </c>
      <c r="AH76"/>
      <c r="AI76" s="37"/>
      <c r="AK76" s="1"/>
      <c r="AL76" s="1"/>
    </row>
    <row r="77" spans="1:38" x14ac:dyDescent="0.3">
      <c r="A77" s="38">
        <v>1</v>
      </c>
      <c r="B77" s="38" t="s">
        <v>898</v>
      </c>
      <c r="C77" s="38" t="s">
        <v>929</v>
      </c>
      <c r="D77" s="39">
        <v>45797</v>
      </c>
      <c r="E77" s="38" t="s">
        <v>42</v>
      </c>
      <c r="F77" s="38" t="s">
        <v>49</v>
      </c>
      <c r="G77" s="40">
        <v>0</v>
      </c>
      <c r="H77" s="84">
        <v>7891.97</v>
      </c>
      <c r="I77" s="40">
        <v>1262.72</v>
      </c>
      <c r="J77" s="40">
        <f t="shared" si="5"/>
        <v>9154.69</v>
      </c>
      <c r="K77" s="40">
        <v>9154.69</v>
      </c>
      <c r="L77" s="40">
        <f t="shared" si="6"/>
        <v>0</v>
      </c>
      <c r="M77" s="38" t="s">
        <v>35</v>
      </c>
      <c r="N77" s="54"/>
      <c r="O77" s="36"/>
      <c r="P77" s="40">
        <v>0</v>
      </c>
      <c r="Q77" s="40">
        <v>0</v>
      </c>
      <c r="R77" s="41"/>
      <c r="S77" s="40">
        <v>7891.97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36">
        <f t="shared" si="4"/>
        <v>0</v>
      </c>
      <c r="AH77"/>
      <c r="AI77" s="37"/>
      <c r="AK77" s="1"/>
      <c r="AL77" s="1"/>
    </row>
    <row r="78" spans="1:38" x14ac:dyDescent="0.3">
      <c r="A78" s="38">
        <v>1</v>
      </c>
      <c r="B78" s="38" t="s">
        <v>899</v>
      </c>
      <c r="C78" s="38" t="s">
        <v>762</v>
      </c>
      <c r="D78" s="39">
        <v>45797</v>
      </c>
      <c r="E78" s="38" t="s">
        <v>42</v>
      </c>
      <c r="F78" s="38" t="s">
        <v>49</v>
      </c>
      <c r="G78" s="40">
        <v>1409</v>
      </c>
      <c r="H78" s="84">
        <v>950</v>
      </c>
      <c r="I78" s="40">
        <v>152</v>
      </c>
      <c r="J78" s="40">
        <f t="shared" si="5"/>
        <v>2511</v>
      </c>
      <c r="K78" s="40">
        <v>2716.72</v>
      </c>
      <c r="L78" s="40">
        <f t="shared" si="6"/>
        <v>-205.7199999999998</v>
      </c>
      <c r="M78" s="38" t="s">
        <v>35</v>
      </c>
      <c r="N78" s="54"/>
      <c r="O78" s="36"/>
      <c r="P78" s="40">
        <v>0</v>
      </c>
      <c r="Q78" s="40">
        <v>1409</v>
      </c>
      <c r="R78" s="41"/>
      <c r="S78" s="40">
        <v>0</v>
      </c>
      <c r="T78" s="40">
        <v>0</v>
      </c>
      <c r="U78" s="40">
        <v>950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36">
        <f t="shared" si="4"/>
        <v>0</v>
      </c>
      <c r="AH78"/>
      <c r="AI78" s="37"/>
      <c r="AK78" s="1"/>
      <c r="AL78" s="1"/>
    </row>
    <row r="79" spans="1:38" x14ac:dyDescent="0.3">
      <c r="A79" s="38">
        <v>1</v>
      </c>
      <c r="B79" s="38" t="s">
        <v>900</v>
      </c>
      <c r="C79" s="38" t="s">
        <v>604</v>
      </c>
      <c r="D79" s="39">
        <v>45797</v>
      </c>
      <c r="E79" s="38" t="s">
        <v>42</v>
      </c>
      <c r="F79" s="38" t="s">
        <v>49</v>
      </c>
      <c r="G79" s="40">
        <v>3176</v>
      </c>
      <c r="H79" s="84">
        <v>0.01</v>
      </c>
      <c r="I79" s="40">
        <v>0</v>
      </c>
      <c r="J79" s="40">
        <f t="shared" si="5"/>
        <v>3176.01</v>
      </c>
      <c r="K79" s="40">
        <v>3170.6</v>
      </c>
      <c r="L79" s="40">
        <f t="shared" si="6"/>
        <v>5.4100000000003092</v>
      </c>
      <c r="M79" s="38" t="s">
        <v>35</v>
      </c>
      <c r="N79" s="54"/>
      <c r="O79" s="36"/>
      <c r="P79" s="40">
        <v>0</v>
      </c>
      <c r="Q79" s="40">
        <v>3176</v>
      </c>
      <c r="R79" s="41"/>
      <c r="S79" s="40">
        <v>0.01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36">
        <f t="shared" si="4"/>
        <v>0</v>
      </c>
      <c r="AH79"/>
      <c r="AI79" s="37"/>
      <c r="AK79" s="1"/>
      <c r="AL79" s="1"/>
    </row>
    <row r="80" spans="1:38" x14ac:dyDescent="0.3">
      <c r="A80" s="38">
        <v>1</v>
      </c>
      <c r="B80" s="38" t="s">
        <v>944</v>
      </c>
      <c r="C80" s="38" t="s">
        <v>930</v>
      </c>
      <c r="D80" s="39">
        <v>45798</v>
      </c>
      <c r="E80" s="38" t="s">
        <v>53</v>
      </c>
      <c r="F80" s="38" t="s">
        <v>199</v>
      </c>
      <c r="G80" s="40">
        <v>0</v>
      </c>
      <c r="H80" s="84">
        <v>39961.129999999997</v>
      </c>
      <c r="I80" s="40">
        <v>6393.78</v>
      </c>
      <c r="J80" s="40">
        <f t="shared" si="5"/>
        <v>46354.909999999996</v>
      </c>
      <c r="K80" s="40">
        <v>101832</v>
      </c>
      <c r="L80" s="40">
        <f t="shared" si="6"/>
        <v>-55477.090000000004</v>
      </c>
      <c r="M80" s="38" t="s">
        <v>35</v>
      </c>
      <c r="N80" s="54"/>
      <c r="O80" s="36"/>
      <c r="P80" s="40">
        <v>0</v>
      </c>
      <c r="Q80" s="40">
        <v>0</v>
      </c>
      <c r="R80" s="41"/>
      <c r="S80" s="40">
        <v>7200</v>
      </c>
      <c r="T80" s="40">
        <v>0</v>
      </c>
      <c r="U80" s="40">
        <v>29761.13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3000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36">
        <f t="shared" si="4"/>
        <v>0</v>
      </c>
      <c r="AH80"/>
      <c r="AI80" s="37"/>
      <c r="AK80" s="1"/>
      <c r="AL80" s="1"/>
    </row>
    <row r="81" spans="1:38" x14ac:dyDescent="0.3">
      <c r="A81" s="38">
        <v>2</v>
      </c>
      <c r="B81" s="38" t="s">
        <v>945</v>
      </c>
      <c r="C81" s="38" t="s">
        <v>931</v>
      </c>
      <c r="D81" s="39">
        <v>45798</v>
      </c>
      <c r="E81" s="38" t="s">
        <v>53</v>
      </c>
      <c r="F81" s="38" t="s">
        <v>199</v>
      </c>
      <c r="G81" s="40">
        <v>1210</v>
      </c>
      <c r="H81" s="84">
        <v>9508</v>
      </c>
      <c r="I81" s="40">
        <v>1521.28</v>
      </c>
      <c r="J81" s="40">
        <f t="shared" si="5"/>
        <v>12239.28</v>
      </c>
      <c r="K81" s="40">
        <v>12239.28</v>
      </c>
      <c r="L81" s="40">
        <f t="shared" si="6"/>
        <v>0</v>
      </c>
      <c r="M81" s="38" t="s">
        <v>35</v>
      </c>
      <c r="N81" s="54"/>
      <c r="O81" s="36"/>
      <c r="P81" s="40">
        <v>0</v>
      </c>
      <c r="Q81" s="40">
        <v>1210</v>
      </c>
      <c r="R81" s="41"/>
      <c r="S81" s="40">
        <v>9508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0</v>
      </c>
      <c r="AD81" s="40">
        <v>0</v>
      </c>
      <c r="AE81" s="40">
        <v>0</v>
      </c>
      <c r="AF81" s="40">
        <v>0</v>
      </c>
      <c r="AG81" s="36">
        <f t="shared" si="4"/>
        <v>0</v>
      </c>
      <c r="AH81"/>
      <c r="AI81" s="37"/>
      <c r="AK81" s="1"/>
      <c r="AL81" s="1"/>
    </row>
    <row r="82" spans="1:38" x14ac:dyDescent="0.3">
      <c r="A82" s="38">
        <v>1</v>
      </c>
      <c r="B82" s="38" t="s">
        <v>946</v>
      </c>
      <c r="C82" s="38" t="s">
        <v>932</v>
      </c>
      <c r="D82" s="39">
        <v>45798</v>
      </c>
      <c r="E82" s="38" t="s">
        <v>53</v>
      </c>
      <c r="F82" s="38" t="s">
        <v>199</v>
      </c>
      <c r="G82" s="40">
        <v>781</v>
      </c>
      <c r="H82" s="84">
        <v>72455.19</v>
      </c>
      <c r="I82" s="40">
        <v>11592.83</v>
      </c>
      <c r="J82" s="40">
        <f t="shared" si="5"/>
        <v>84829.02</v>
      </c>
      <c r="K82" s="40">
        <v>203327.94</v>
      </c>
      <c r="L82" s="40">
        <f t="shared" si="6"/>
        <v>-118498.92</v>
      </c>
      <c r="M82" s="38" t="s">
        <v>35</v>
      </c>
      <c r="N82" s="54"/>
      <c r="O82" s="36"/>
      <c r="P82" s="40">
        <v>0</v>
      </c>
      <c r="Q82" s="40">
        <v>781</v>
      </c>
      <c r="R82" s="41"/>
      <c r="S82" s="40">
        <v>7200</v>
      </c>
      <c r="T82" s="40">
        <v>0</v>
      </c>
      <c r="U82" s="40">
        <v>60540.19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4715</v>
      </c>
      <c r="AC82" s="40">
        <v>0</v>
      </c>
      <c r="AD82" s="40">
        <v>0</v>
      </c>
      <c r="AE82" s="40">
        <v>0</v>
      </c>
      <c r="AF82" s="40">
        <v>0</v>
      </c>
      <c r="AG82" s="36">
        <f t="shared" si="4"/>
        <v>0</v>
      </c>
      <c r="AH82"/>
      <c r="AI82" s="37"/>
      <c r="AK82" s="1"/>
      <c r="AL82" s="1"/>
    </row>
    <row r="83" spans="1:38" x14ac:dyDescent="0.3">
      <c r="A83" s="38">
        <v>1</v>
      </c>
      <c r="B83" s="38" t="s">
        <v>947</v>
      </c>
      <c r="C83" s="38" t="s">
        <v>933</v>
      </c>
      <c r="D83" s="39">
        <v>45798</v>
      </c>
      <c r="E83" s="38" t="s">
        <v>53</v>
      </c>
      <c r="F83" s="38" t="s">
        <v>199</v>
      </c>
      <c r="G83" s="40">
        <v>781</v>
      </c>
      <c r="H83" s="84">
        <v>28653.18</v>
      </c>
      <c r="I83" s="40">
        <v>4584.51</v>
      </c>
      <c r="J83" s="40">
        <f t="shared" si="5"/>
        <v>34018.69</v>
      </c>
      <c r="K83" s="40">
        <v>102469.75999999999</v>
      </c>
      <c r="L83" s="40">
        <f t="shared" si="6"/>
        <v>-68451.069999999992</v>
      </c>
      <c r="M83" s="38" t="s">
        <v>35</v>
      </c>
      <c r="N83" s="54"/>
      <c r="O83" s="36"/>
      <c r="P83" s="40">
        <v>0</v>
      </c>
      <c r="Q83" s="40">
        <v>781</v>
      </c>
      <c r="R83" s="41"/>
      <c r="S83" s="40">
        <v>7076.52</v>
      </c>
      <c r="T83" s="40">
        <v>0</v>
      </c>
      <c r="U83" s="40">
        <v>18576.66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3000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36">
        <f t="shared" si="4"/>
        <v>0</v>
      </c>
      <c r="AH83"/>
      <c r="AI83" s="37"/>
      <c r="AK83" s="1"/>
      <c r="AL83" s="1"/>
    </row>
    <row r="84" spans="1:38" x14ac:dyDescent="0.3">
      <c r="A84" s="38">
        <v>1</v>
      </c>
      <c r="B84" s="38" t="s">
        <v>948</v>
      </c>
      <c r="C84" s="38" t="s">
        <v>934</v>
      </c>
      <c r="D84" s="39">
        <v>45798</v>
      </c>
      <c r="E84" s="38" t="s">
        <v>53</v>
      </c>
      <c r="F84" s="38" t="s">
        <v>199</v>
      </c>
      <c r="G84" s="40">
        <v>781</v>
      </c>
      <c r="H84" s="84">
        <v>28747.41</v>
      </c>
      <c r="I84" s="40">
        <v>4599.59</v>
      </c>
      <c r="J84" s="40">
        <f t="shared" si="5"/>
        <v>34128</v>
      </c>
      <c r="K84" s="40">
        <v>102449.93</v>
      </c>
      <c r="L84" s="40">
        <f t="shared" si="6"/>
        <v>-68321.929999999993</v>
      </c>
      <c r="M84" s="38" t="s">
        <v>35</v>
      </c>
      <c r="N84" s="54"/>
      <c r="O84" s="36"/>
      <c r="P84" s="40">
        <v>0</v>
      </c>
      <c r="Q84" s="40">
        <v>781</v>
      </c>
      <c r="R84" s="41"/>
      <c r="S84" s="40">
        <v>7059.42</v>
      </c>
      <c r="T84" s="40">
        <v>0</v>
      </c>
      <c r="U84" s="40">
        <v>18687.990000000002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3000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36">
        <f t="shared" si="4"/>
        <v>0</v>
      </c>
      <c r="AH84"/>
      <c r="AI84" s="37"/>
      <c r="AK84" s="1"/>
      <c r="AL84" s="1"/>
    </row>
    <row r="85" spans="1:38" x14ac:dyDescent="0.3">
      <c r="A85" s="38">
        <v>1</v>
      </c>
      <c r="B85" s="38" t="s">
        <v>1065</v>
      </c>
      <c r="C85" s="38" t="s">
        <v>935</v>
      </c>
      <c r="D85" s="39">
        <v>45798</v>
      </c>
      <c r="E85" s="38" t="s">
        <v>53</v>
      </c>
      <c r="F85" s="38" t="s">
        <v>199</v>
      </c>
      <c r="G85" s="40">
        <v>0</v>
      </c>
      <c r="H85" s="84">
        <v>1800</v>
      </c>
      <c r="I85" s="40">
        <v>0</v>
      </c>
      <c r="J85" s="40">
        <f t="shared" si="5"/>
        <v>1800</v>
      </c>
      <c r="K85" s="40">
        <v>1800</v>
      </c>
      <c r="L85" s="40">
        <f t="shared" ref="L85" si="7">+J85-K85</f>
        <v>0</v>
      </c>
      <c r="M85" s="38" t="s">
        <v>35</v>
      </c>
      <c r="N85" s="54"/>
      <c r="O85" s="36"/>
      <c r="P85" s="40">
        <v>0</v>
      </c>
      <c r="Q85" s="40">
        <v>0</v>
      </c>
      <c r="R85" s="41"/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1800</v>
      </c>
      <c r="AG85" s="36">
        <f t="shared" si="4"/>
        <v>0</v>
      </c>
      <c r="AH85"/>
      <c r="AI85" s="37"/>
      <c r="AK85" s="1"/>
      <c r="AL85" s="1"/>
    </row>
    <row r="86" spans="1:38" x14ac:dyDescent="0.3">
      <c r="A86" s="38">
        <v>1</v>
      </c>
      <c r="B86" s="38" t="s">
        <v>949</v>
      </c>
      <c r="C86" s="38" t="s">
        <v>935</v>
      </c>
      <c r="D86" s="39">
        <v>45798</v>
      </c>
      <c r="E86" s="38" t="s">
        <v>53</v>
      </c>
      <c r="F86" s="38" t="s">
        <v>199</v>
      </c>
      <c r="G86" s="40">
        <v>781</v>
      </c>
      <c r="H86" s="84">
        <f>7049.7+3865.1+3915+608.92</f>
        <v>15438.72</v>
      </c>
      <c r="I86" s="40">
        <v>2470.1999999999998</v>
      </c>
      <c r="J86" s="40">
        <f t="shared" ref="J86" si="8">SUM(G86:I86)</f>
        <v>18689.919999999998</v>
      </c>
      <c r="K86" s="40">
        <v>19232.77</v>
      </c>
      <c r="L86" s="40">
        <f t="shared" si="6"/>
        <v>-542.85000000000218</v>
      </c>
      <c r="M86" s="38" t="s">
        <v>35</v>
      </c>
      <c r="N86" s="54"/>
      <c r="O86" s="36"/>
      <c r="P86" s="40">
        <v>0</v>
      </c>
      <c r="Q86" s="40">
        <v>781</v>
      </c>
      <c r="R86" s="41"/>
      <c r="S86" s="40">
        <v>7049.7</v>
      </c>
      <c r="T86" s="40">
        <v>608.91999999999996</v>
      </c>
      <c r="U86" s="40">
        <v>3865.1</v>
      </c>
      <c r="V86" s="40">
        <v>0</v>
      </c>
      <c r="W86" s="40">
        <v>3915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36">
        <f t="shared" si="4"/>
        <v>0</v>
      </c>
      <c r="AH86"/>
      <c r="AI86" s="37"/>
      <c r="AK86" s="1"/>
      <c r="AL86" s="1"/>
    </row>
    <row r="87" spans="1:38" x14ac:dyDescent="0.3">
      <c r="A87" s="38">
        <v>1</v>
      </c>
      <c r="B87" s="38" t="s">
        <v>950</v>
      </c>
      <c r="C87" s="38" t="s">
        <v>936</v>
      </c>
      <c r="D87" s="39">
        <v>45798</v>
      </c>
      <c r="E87" s="38" t="s">
        <v>61</v>
      </c>
      <c r="F87" t="s">
        <v>156</v>
      </c>
      <c r="G87" s="40">
        <v>0</v>
      </c>
      <c r="H87" s="84">
        <v>23706.75</v>
      </c>
      <c r="I87" s="40">
        <v>3793.08</v>
      </c>
      <c r="J87" s="40">
        <f t="shared" si="5"/>
        <v>27499.83</v>
      </c>
      <c r="K87" s="40">
        <v>27499.83</v>
      </c>
      <c r="L87" s="40">
        <f t="shared" si="6"/>
        <v>0</v>
      </c>
      <c r="M87" s="38" t="s">
        <v>35</v>
      </c>
      <c r="N87" s="54"/>
      <c r="O87" s="36"/>
      <c r="P87" s="40">
        <v>0</v>
      </c>
      <c r="Q87" s="40">
        <v>0</v>
      </c>
      <c r="R87" s="41"/>
      <c r="S87" s="40">
        <v>0</v>
      </c>
      <c r="T87" s="40">
        <v>0</v>
      </c>
      <c r="U87" s="40">
        <v>0</v>
      </c>
      <c r="V87" s="40">
        <v>0</v>
      </c>
      <c r="W87" s="40">
        <v>23706.75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36">
        <f t="shared" si="4"/>
        <v>0</v>
      </c>
      <c r="AH87"/>
      <c r="AI87" s="37"/>
      <c r="AK87" s="1"/>
      <c r="AL87" s="1"/>
    </row>
    <row r="88" spans="1:38" x14ac:dyDescent="0.3">
      <c r="A88" s="38">
        <v>1</v>
      </c>
      <c r="B88" s="38" t="s">
        <v>951</v>
      </c>
      <c r="C88" s="38" t="s">
        <v>937</v>
      </c>
      <c r="D88" s="39">
        <v>45798</v>
      </c>
      <c r="E88" s="38" t="s">
        <v>42</v>
      </c>
      <c r="F88" s="38" t="s">
        <v>49</v>
      </c>
      <c r="G88" s="40">
        <v>0</v>
      </c>
      <c r="H88" s="84">
        <v>18159.099999999999</v>
      </c>
      <c r="I88" s="40">
        <v>2905.46</v>
      </c>
      <c r="J88" s="40">
        <f t="shared" si="5"/>
        <v>21064.559999999998</v>
      </c>
      <c r="K88" s="40">
        <v>21064.560000000001</v>
      </c>
      <c r="L88" s="40">
        <f t="shared" si="6"/>
        <v>0</v>
      </c>
      <c r="M88" s="38" t="s">
        <v>35</v>
      </c>
      <c r="N88" s="54"/>
      <c r="O88" s="36"/>
      <c r="P88" s="40">
        <v>0</v>
      </c>
      <c r="Q88" s="40">
        <v>0</v>
      </c>
      <c r="R88" s="41"/>
      <c r="S88" s="40">
        <v>18159.099999999999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36">
        <f t="shared" si="4"/>
        <v>0</v>
      </c>
      <c r="AH88"/>
      <c r="AI88" s="37"/>
      <c r="AK88" s="1"/>
      <c r="AL88" s="1"/>
    </row>
    <row r="89" spans="1:38" x14ac:dyDescent="0.3">
      <c r="A89" s="38">
        <v>2</v>
      </c>
      <c r="B89" s="38" t="s">
        <v>952</v>
      </c>
      <c r="C89" s="38" t="s">
        <v>938</v>
      </c>
      <c r="D89" s="39">
        <v>45798</v>
      </c>
      <c r="E89" s="38" t="s">
        <v>22</v>
      </c>
      <c r="F89" s="38" t="s">
        <v>45</v>
      </c>
      <c r="G89" s="40">
        <v>336</v>
      </c>
      <c r="H89" s="84">
        <v>12500</v>
      </c>
      <c r="I89" s="40">
        <v>2000</v>
      </c>
      <c r="J89" s="40">
        <f t="shared" si="5"/>
        <v>14836</v>
      </c>
      <c r="K89" s="40">
        <v>14836</v>
      </c>
      <c r="L89" s="40">
        <f t="shared" si="6"/>
        <v>0</v>
      </c>
      <c r="M89" s="38" t="s">
        <v>35</v>
      </c>
      <c r="N89" s="54"/>
      <c r="O89" s="36"/>
      <c r="P89" s="40">
        <v>0</v>
      </c>
      <c r="Q89" s="40">
        <v>336</v>
      </c>
      <c r="R89" s="41"/>
      <c r="S89" s="40">
        <v>6000</v>
      </c>
      <c r="T89" s="40">
        <v>0</v>
      </c>
      <c r="U89" s="40">
        <v>2500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4000</v>
      </c>
      <c r="AC89" s="40">
        <v>0</v>
      </c>
      <c r="AD89" s="40">
        <v>0</v>
      </c>
      <c r="AE89" s="40">
        <v>0</v>
      </c>
      <c r="AF89" s="40">
        <v>0</v>
      </c>
      <c r="AG89" s="36">
        <f t="shared" si="4"/>
        <v>0</v>
      </c>
      <c r="AH89"/>
      <c r="AI89" s="37"/>
      <c r="AK89" s="1"/>
      <c r="AL89" s="1"/>
    </row>
    <row r="90" spans="1:38" x14ac:dyDescent="0.3">
      <c r="A90" s="38">
        <v>1</v>
      </c>
      <c r="B90" s="38" t="s">
        <v>953</v>
      </c>
      <c r="C90" s="38" t="s">
        <v>939</v>
      </c>
      <c r="D90" s="39">
        <v>45798</v>
      </c>
      <c r="E90" s="38" t="s">
        <v>53</v>
      </c>
      <c r="F90" s="38" t="s">
        <v>199</v>
      </c>
      <c r="G90" s="40">
        <v>781</v>
      </c>
      <c r="H90" s="84">
        <v>55004.42</v>
      </c>
      <c r="I90" s="40">
        <v>8800.7099999999991</v>
      </c>
      <c r="J90" s="40">
        <f t="shared" si="5"/>
        <v>64586.13</v>
      </c>
      <c r="K90" s="40">
        <v>98951.01</v>
      </c>
      <c r="L90" s="40">
        <f t="shared" si="6"/>
        <v>-34364.879999999997</v>
      </c>
      <c r="M90" s="38" t="s">
        <v>35</v>
      </c>
      <c r="N90" s="54"/>
      <c r="O90" s="36"/>
      <c r="P90" s="40">
        <v>0</v>
      </c>
      <c r="Q90" s="40">
        <v>781</v>
      </c>
      <c r="R90" s="41"/>
      <c r="S90" s="40">
        <v>7043.11</v>
      </c>
      <c r="T90" s="40">
        <v>0</v>
      </c>
      <c r="U90" s="40">
        <v>47961.31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36">
        <f t="shared" si="4"/>
        <v>0</v>
      </c>
      <c r="AH90"/>
      <c r="AI90" s="37"/>
      <c r="AK90" s="1"/>
      <c r="AL90" s="1"/>
    </row>
    <row r="91" spans="1:38" x14ac:dyDescent="0.3">
      <c r="A91" s="38">
        <v>1</v>
      </c>
      <c r="B91" s="38" t="s">
        <v>954</v>
      </c>
      <c r="C91" s="38" t="s">
        <v>940</v>
      </c>
      <c r="D91" s="39">
        <v>45798</v>
      </c>
      <c r="E91" s="38" t="s">
        <v>53</v>
      </c>
      <c r="F91" s="38" t="s">
        <v>199</v>
      </c>
      <c r="G91" s="40">
        <v>781</v>
      </c>
      <c r="H91" s="84">
        <v>11554.79</v>
      </c>
      <c r="I91" s="40">
        <v>1848.77</v>
      </c>
      <c r="J91" s="40">
        <f t="shared" si="5"/>
        <v>14184.560000000001</v>
      </c>
      <c r="K91" s="40">
        <v>98951.01</v>
      </c>
      <c r="L91" s="40">
        <f t="shared" si="6"/>
        <v>-84766.45</v>
      </c>
      <c r="M91" s="38" t="s">
        <v>35</v>
      </c>
      <c r="N91" s="54"/>
      <c r="O91" s="36"/>
      <c r="P91" s="40">
        <v>0</v>
      </c>
      <c r="Q91" s="40">
        <v>781</v>
      </c>
      <c r="R91" s="41"/>
      <c r="S91" s="40">
        <v>7043.11</v>
      </c>
      <c r="T91" s="40">
        <v>0</v>
      </c>
      <c r="U91" s="40">
        <v>4511.68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36">
        <f t="shared" si="4"/>
        <v>0</v>
      </c>
      <c r="AH91"/>
      <c r="AI91" s="37"/>
      <c r="AK91" s="1"/>
      <c r="AL91" s="1"/>
    </row>
    <row r="92" spans="1:38" x14ac:dyDescent="0.3">
      <c r="A92" s="38">
        <v>1</v>
      </c>
      <c r="B92" s="38" t="s">
        <v>955</v>
      </c>
      <c r="C92" s="38" t="s">
        <v>941</v>
      </c>
      <c r="D92" s="39">
        <v>45798</v>
      </c>
      <c r="E92" s="38" t="s">
        <v>53</v>
      </c>
      <c r="F92" s="38" t="s">
        <v>199</v>
      </c>
      <c r="G92" s="40">
        <v>781</v>
      </c>
      <c r="H92" s="84">
        <v>75383.78</v>
      </c>
      <c r="I92" s="40">
        <v>12061.41</v>
      </c>
      <c r="J92" s="40">
        <f t="shared" si="5"/>
        <v>88226.19</v>
      </c>
      <c r="K92" s="40">
        <v>98969.93</v>
      </c>
      <c r="L92" s="40">
        <f t="shared" si="6"/>
        <v>-10743.739999999991</v>
      </c>
      <c r="M92" s="38" t="s">
        <v>35</v>
      </c>
      <c r="N92" s="54"/>
      <c r="O92" s="36"/>
      <c r="P92" s="40">
        <v>0</v>
      </c>
      <c r="Q92" s="40">
        <v>781</v>
      </c>
      <c r="R92" s="41"/>
      <c r="S92" s="40">
        <v>7059.42</v>
      </c>
      <c r="T92" s="40">
        <v>0</v>
      </c>
      <c r="U92" s="40">
        <v>68324.36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36">
        <f t="shared" si="4"/>
        <v>0</v>
      </c>
      <c r="AH92"/>
      <c r="AI92" s="37"/>
      <c r="AK92" s="1"/>
      <c r="AL92" s="1"/>
    </row>
    <row r="93" spans="1:38" x14ac:dyDescent="0.3">
      <c r="A93" s="38">
        <v>1</v>
      </c>
      <c r="B93" s="38" t="s">
        <v>956</v>
      </c>
      <c r="C93" s="38" t="s">
        <v>942</v>
      </c>
      <c r="D93" s="39">
        <v>45798</v>
      </c>
      <c r="E93" s="38" t="s">
        <v>53</v>
      </c>
      <c r="F93" s="38" t="s">
        <v>199</v>
      </c>
      <c r="G93" s="40">
        <v>781</v>
      </c>
      <c r="H93" s="84">
        <v>13209.08</v>
      </c>
      <c r="I93" s="40">
        <v>2113.46</v>
      </c>
      <c r="J93" s="40">
        <f t="shared" si="5"/>
        <v>16103.54</v>
      </c>
      <c r="K93" s="40">
        <v>98951.01</v>
      </c>
      <c r="L93" s="40">
        <f t="shared" si="6"/>
        <v>-82847.47</v>
      </c>
      <c r="M93" s="38" t="s">
        <v>35</v>
      </c>
      <c r="N93" s="54"/>
      <c r="O93" s="36"/>
      <c r="P93" s="40">
        <v>0</v>
      </c>
      <c r="Q93" s="40">
        <v>781</v>
      </c>
      <c r="R93" s="41"/>
      <c r="S93" s="40">
        <v>7043.11</v>
      </c>
      <c r="T93" s="40">
        <v>0</v>
      </c>
      <c r="U93" s="40">
        <v>6165.97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36">
        <f t="shared" si="4"/>
        <v>0</v>
      </c>
      <c r="AH93"/>
      <c r="AI93" s="37"/>
      <c r="AK93" s="1"/>
      <c r="AL93" s="1"/>
    </row>
    <row r="94" spans="1:38" x14ac:dyDescent="0.3">
      <c r="A94" s="38">
        <v>1</v>
      </c>
      <c r="B94" s="38" t="s">
        <v>957</v>
      </c>
      <c r="C94" s="38" t="s">
        <v>943</v>
      </c>
      <c r="D94" s="39">
        <v>45798</v>
      </c>
      <c r="E94" s="38" t="s">
        <v>53</v>
      </c>
      <c r="F94" s="38" t="s">
        <v>199</v>
      </c>
      <c r="G94" s="40">
        <v>781</v>
      </c>
      <c r="H94" s="86">
        <v>17453.330000000002</v>
      </c>
      <c r="I94" s="40">
        <v>2792.53</v>
      </c>
      <c r="J94" s="40">
        <f t="shared" si="5"/>
        <v>21026.86</v>
      </c>
      <c r="K94" s="40">
        <v>23200.55</v>
      </c>
      <c r="L94" s="40">
        <f t="shared" si="6"/>
        <v>-2173.6899999999987</v>
      </c>
      <c r="M94" s="38" t="s">
        <v>35</v>
      </c>
      <c r="N94" s="54"/>
      <c r="O94" s="36"/>
      <c r="P94" s="40">
        <v>0</v>
      </c>
      <c r="Q94" s="40">
        <v>781</v>
      </c>
      <c r="R94" s="41"/>
      <c r="S94" s="40">
        <v>7049.7</v>
      </c>
      <c r="T94" s="40">
        <v>862.5</v>
      </c>
      <c r="U94" s="40">
        <v>5626.13</v>
      </c>
      <c r="V94" s="40">
        <v>0</v>
      </c>
      <c r="W94" s="40">
        <v>3915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36">
        <f t="shared" si="4"/>
        <v>0</v>
      </c>
      <c r="AH94"/>
      <c r="AI94" s="37"/>
      <c r="AK94" s="1"/>
      <c r="AL94" s="1"/>
    </row>
    <row r="95" spans="1:38" ht="15.6" customHeight="1" x14ac:dyDescent="0.3">
      <c r="A95" s="38">
        <v>2</v>
      </c>
      <c r="B95" s="38" t="s">
        <v>966</v>
      </c>
      <c r="C95" s="38" t="s">
        <v>958</v>
      </c>
      <c r="D95" s="39">
        <v>45799</v>
      </c>
      <c r="E95" s="38" t="s">
        <v>22</v>
      </c>
      <c r="F95" s="38" t="s">
        <v>45</v>
      </c>
      <c r="G95" s="40">
        <v>6941</v>
      </c>
      <c r="H95" s="84">
        <v>12150</v>
      </c>
      <c r="I95" s="40">
        <v>1944</v>
      </c>
      <c r="J95" s="40">
        <f t="shared" si="5"/>
        <v>21035</v>
      </c>
      <c r="K95" s="40">
        <v>21035</v>
      </c>
      <c r="L95" s="40">
        <f t="shared" si="6"/>
        <v>0</v>
      </c>
      <c r="M95" s="38" t="s">
        <v>35</v>
      </c>
      <c r="N95" s="54"/>
      <c r="O95" s="36"/>
      <c r="P95" s="40">
        <v>0</v>
      </c>
      <c r="Q95" s="40">
        <v>6941</v>
      </c>
      <c r="R95" s="41"/>
      <c r="S95" s="40">
        <v>4200</v>
      </c>
      <c r="T95" s="40">
        <v>0</v>
      </c>
      <c r="U95" s="40">
        <v>2500</v>
      </c>
      <c r="V95" s="40">
        <v>0</v>
      </c>
      <c r="W95" s="40">
        <v>3950</v>
      </c>
      <c r="X95" s="40">
        <v>0</v>
      </c>
      <c r="Y95" s="40">
        <v>1500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36">
        <f t="shared" si="4"/>
        <v>0</v>
      </c>
      <c r="AH95"/>
      <c r="AI95" s="37"/>
      <c r="AK95" s="1"/>
      <c r="AL95" s="1"/>
    </row>
    <row r="96" spans="1:38" ht="15.6" customHeight="1" x14ac:dyDescent="0.3">
      <c r="A96" s="38">
        <v>2</v>
      </c>
      <c r="B96" s="38" t="s">
        <v>967</v>
      </c>
      <c r="C96" s="38" t="s">
        <v>959</v>
      </c>
      <c r="D96" s="39">
        <v>45799</v>
      </c>
      <c r="E96" s="38" t="s">
        <v>22</v>
      </c>
      <c r="F96" s="38" t="s">
        <v>45</v>
      </c>
      <c r="G96" s="40">
        <v>336</v>
      </c>
      <c r="H96" s="84">
        <v>10300</v>
      </c>
      <c r="I96" s="40">
        <v>1648</v>
      </c>
      <c r="J96" s="40">
        <f t="shared" si="5"/>
        <v>12284</v>
      </c>
      <c r="K96" s="40">
        <v>12284</v>
      </c>
      <c r="L96" s="40">
        <f t="shared" si="6"/>
        <v>0</v>
      </c>
      <c r="M96" s="38" t="s">
        <v>35</v>
      </c>
      <c r="N96" s="54"/>
      <c r="O96" s="36"/>
      <c r="P96" s="40">
        <v>0</v>
      </c>
      <c r="Q96" s="40">
        <v>336</v>
      </c>
      <c r="R96" s="41"/>
      <c r="S96" s="40">
        <v>3150</v>
      </c>
      <c r="T96" s="40">
        <v>0</v>
      </c>
      <c r="U96" s="40">
        <v>0</v>
      </c>
      <c r="V96" s="40">
        <v>0</v>
      </c>
      <c r="W96" s="40">
        <v>3950</v>
      </c>
      <c r="X96" s="40">
        <v>0</v>
      </c>
      <c r="Y96" s="40">
        <v>0</v>
      </c>
      <c r="Z96" s="40">
        <v>0</v>
      </c>
      <c r="AA96" s="40">
        <v>0</v>
      </c>
      <c r="AB96" s="40">
        <v>3200</v>
      </c>
      <c r="AC96" s="40">
        <v>0</v>
      </c>
      <c r="AD96" s="40">
        <v>0</v>
      </c>
      <c r="AE96" s="40">
        <v>0</v>
      </c>
      <c r="AF96" s="40">
        <v>0</v>
      </c>
      <c r="AG96" s="36">
        <f t="shared" si="4"/>
        <v>0</v>
      </c>
      <c r="AH96"/>
      <c r="AI96" s="37"/>
      <c r="AK96" s="1"/>
      <c r="AL96" s="1"/>
    </row>
    <row r="97" spans="1:38" ht="15.6" customHeight="1" x14ac:dyDescent="0.3">
      <c r="A97" s="38">
        <v>2</v>
      </c>
      <c r="B97" s="38" t="s">
        <v>968</v>
      </c>
      <c r="C97" s="38" t="s">
        <v>960</v>
      </c>
      <c r="D97" s="39">
        <v>45799</v>
      </c>
      <c r="E97" s="38" t="s">
        <v>22</v>
      </c>
      <c r="F97" s="38" t="s">
        <v>45</v>
      </c>
      <c r="G97" s="40">
        <v>336</v>
      </c>
      <c r="H97" s="84">
        <v>10300</v>
      </c>
      <c r="I97" s="40">
        <v>1648</v>
      </c>
      <c r="J97" s="40">
        <f t="shared" si="5"/>
        <v>12284</v>
      </c>
      <c r="K97" s="40">
        <v>12284</v>
      </c>
      <c r="L97" s="40">
        <f t="shared" si="6"/>
        <v>0</v>
      </c>
      <c r="M97" s="38" t="s">
        <v>35</v>
      </c>
      <c r="N97" s="54"/>
      <c r="O97" s="36"/>
      <c r="P97" s="40">
        <v>0</v>
      </c>
      <c r="Q97" s="40">
        <v>336</v>
      </c>
      <c r="R97" s="41"/>
      <c r="S97" s="40">
        <v>3150</v>
      </c>
      <c r="T97" s="40">
        <v>0</v>
      </c>
      <c r="U97" s="40">
        <v>0</v>
      </c>
      <c r="V97" s="40">
        <v>0</v>
      </c>
      <c r="W97" s="40">
        <v>3950</v>
      </c>
      <c r="X97" s="40">
        <v>0</v>
      </c>
      <c r="Y97" s="40">
        <v>0</v>
      </c>
      <c r="Z97" s="40">
        <v>0</v>
      </c>
      <c r="AA97" s="40">
        <v>0</v>
      </c>
      <c r="AB97" s="40">
        <v>3200</v>
      </c>
      <c r="AC97" s="40">
        <v>0</v>
      </c>
      <c r="AD97" s="40">
        <v>0</v>
      </c>
      <c r="AE97" s="40">
        <v>0</v>
      </c>
      <c r="AF97" s="40">
        <v>0</v>
      </c>
      <c r="AG97" s="36">
        <f t="shared" si="4"/>
        <v>0</v>
      </c>
      <c r="AH97"/>
      <c r="AI97" s="37"/>
      <c r="AK97" s="1"/>
      <c r="AL97" s="1"/>
    </row>
    <row r="98" spans="1:38" ht="15.6" customHeight="1" x14ac:dyDescent="0.3">
      <c r="A98" s="38">
        <v>2</v>
      </c>
      <c r="B98" s="38" t="s">
        <v>969</v>
      </c>
      <c r="C98" s="38" t="s">
        <v>961</v>
      </c>
      <c r="D98" s="39">
        <v>45799</v>
      </c>
      <c r="E98" s="38" t="s">
        <v>22</v>
      </c>
      <c r="F98" s="38" t="s">
        <v>45</v>
      </c>
      <c r="G98" s="40">
        <v>1948</v>
      </c>
      <c r="H98" s="84">
        <v>4200</v>
      </c>
      <c r="I98" s="40">
        <v>672</v>
      </c>
      <c r="J98" s="40">
        <f t="shared" si="5"/>
        <v>6820</v>
      </c>
      <c r="K98" s="40">
        <v>6820</v>
      </c>
      <c r="L98" s="40">
        <f t="shared" si="6"/>
        <v>0</v>
      </c>
      <c r="M98" s="38" t="s">
        <v>35</v>
      </c>
      <c r="N98" s="54"/>
      <c r="O98" s="36"/>
      <c r="P98" s="40">
        <v>0</v>
      </c>
      <c r="Q98" s="40">
        <v>1948</v>
      </c>
      <c r="R98" s="41"/>
      <c r="S98" s="40">
        <v>4200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36">
        <f t="shared" si="4"/>
        <v>0</v>
      </c>
      <c r="AH98"/>
      <c r="AI98" s="37"/>
      <c r="AK98" s="1"/>
      <c r="AL98" s="1"/>
    </row>
    <row r="99" spans="1:38" ht="15.6" customHeight="1" x14ac:dyDescent="0.3">
      <c r="A99" s="38">
        <v>2</v>
      </c>
      <c r="B99" s="38" t="s">
        <v>970</v>
      </c>
      <c r="C99" s="38" t="s">
        <v>962</v>
      </c>
      <c r="D99" s="39">
        <v>45799</v>
      </c>
      <c r="E99" s="38" t="s">
        <v>22</v>
      </c>
      <c r="F99" s="38" t="s">
        <v>45</v>
      </c>
      <c r="G99" s="40">
        <v>781</v>
      </c>
      <c r="H99" s="84">
        <v>4200</v>
      </c>
      <c r="I99" s="40">
        <v>672</v>
      </c>
      <c r="J99" s="40">
        <f t="shared" si="5"/>
        <v>5653</v>
      </c>
      <c r="K99" s="40">
        <v>5653</v>
      </c>
      <c r="L99" s="40">
        <f t="shared" si="6"/>
        <v>0</v>
      </c>
      <c r="M99" s="38" t="s">
        <v>35</v>
      </c>
      <c r="N99" s="54"/>
      <c r="O99" s="36"/>
      <c r="P99" s="40">
        <v>0</v>
      </c>
      <c r="Q99" s="40">
        <v>781</v>
      </c>
      <c r="R99" s="41"/>
      <c r="S99" s="40">
        <v>4200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36">
        <f t="shared" si="4"/>
        <v>0</v>
      </c>
      <c r="AH99"/>
      <c r="AI99" s="37"/>
      <c r="AK99" s="1"/>
      <c r="AL99" s="1"/>
    </row>
    <row r="100" spans="1:38" ht="15.6" customHeight="1" x14ac:dyDescent="0.3">
      <c r="A100" s="38">
        <v>1</v>
      </c>
      <c r="B100" s="38" t="s">
        <v>971</v>
      </c>
      <c r="C100" s="38" t="s">
        <v>963</v>
      </c>
      <c r="D100" s="39">
        <v>45799</v>
      </c>
      <c r="E100" s="38" t="s">
        <v>53</v>
      </c>
      <c r="F100" s="38" t="s">
        <v>199</v>
      </c>
      <c r="G100" s="40">
        <v>781</v>
      </c>
      <c r="H100" s="84">
        <v>171892.89</v>
      </c>
      <c r="I100" s="40">
        <v>27502.86</v>
      </c>
      <c r="J100" s="40">
        <f t="shared" si="5"/>
        <v>200176.75</v>
      </c>
      <c r="K100" s="40">
        <v>201338.54</v>
      </c>
      <c r="L100" s="40">
        <f t="shared" si="6"/>
        <v>-1161.7900000000081</v>
      </c>
      <c r="M100" s="38" t="s">
        <v>35</v>
      </c>
      <c r="N100" s="54"/>
      <c r="O100" s="36"/>
      <c r="P100" s="40">
        <v>0</v>
      </c>
      <c r="Q100" s="40">
        <v>781</v>
      </c>
      <c r="R100" s="41"/>
      <c r="S100" s="40">
        <v>7200</v>
      </c>
      <c r="T100" s="40">
        <v>0</v>
      </c>
      <c r="U100" s="40">
        <v>161692.89000000001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3000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36">
        <f t="shared" si="4"/>
        <v>0</v>
      </c>
      <c r="AH100"/>
      <c r="AI100" s="37"/>
      <c r="AK100" s="1"/>
      <c r="AL100" s="1"/>
    </row>
    <row r="101" spans="1:38" ht="15.6" customHeight="1" x14ac:dyDescent="0.3">
      <c r="A101" s="38">
        <v>1</v>
      </c>
      <c r="B101" s="38" t="s">
        <v>972</v>
      </c>
      <c r="C101" s="38" t="s">
        <v>964</v>
      </c>
      <c r="D101" s="39">
        <v>45799</v>
      </c>
      <c r="E101" s="38" t="s">
        <v>53</v>
      </c>
      <c r="F101" s="38" t="s">
        <v>199</v>
      </c>
      <c r="G101" s="40">
        <v>781</v>
      </c>
      <c r="H101" s="84">
        <v>13793.67</v>
      </c>
      <c r="I101" s="40">
        <v>2206.9899999999998</v>
      </c>
      <c r="J101" s="40">
        <f t="shared" si="5"/>
        <v>16781.66</v>
      </c>
      <c r="K101" s="40">
        <v>19012.349999999999</v>
      </c>
      <c r="L101" s="40">
        <f t="shared" si="6"/>
        <v>-2230.6899999999987</v>
      </c>
      <c r="M101" s="38" t="s">
        <v>35</v>
      </c>
      <c r="N101" s="54"/>
      <c r="O101" s="36"/>
      <c r="P101" s="40">
        <v>0</v>
      </c>
      <c r="Q101" s="40">
        <v>781</v>
      </c>
      <c r="R101" s="41"/>
      <c r="S101" s="40">
        <v>7051.68</v>
      </c>
      <c r="T101" s="40">
        <v>608.91999999999996</v>
      </c>
      <c r="U101" s="40">
        <v>2218.0700000000002</v>
      </c>
      <c r="V101" s="40">
        <v>0</v>
      </c>
      <c r="W101" s="40">
        <v>3915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36">
        <f t="shared" si="4"/>
        <v>0</v>
      </c>
      <c r="AH101"/>
      <c r="AI101" s="37"/>
      <c r="AK101" s="1"/>
      <c r="AL101" s="1"/>
    </row>
    <row r="102" spans="1:38" ht="15.6" customHeight="1" x14ac:dyDescent="0.3">
      <c r="A102" s="38">
        <v>2</v>
      </c>
      <c r="B102" s="38" t="s">
        <v>973</v>
      </c>
      <c r="C102" s="38" t="s">
        <v>965</v>
      </c>
      <c r="D102" s="39">
        <v>45799</v>
      </c>
      <c r="E102" s="38" t="s">
        <v>53</v>
      </c>
      <c r="F102" s="38" t="s">
        <v>199</v>
      </c>
      <c r="G102" s="40">
        <v>782</v>
      </c>
      <c r="H102" s="84">
        <v>7520</v>
      </c>
      <c r="I102" s="40">
        <v>1203.2</v>
      </c>
      <c r="J102" s="40">
        <f t="shared" si="5"/>
        <v>9505.2000000000007</v>
      </c>
      <c r="K102" s="40">
        <v>9505.2000000000007</v>
      </c>
      <c r="L102" s="40">
        <f t="shared" si="6"/>
        <v>0</v>
      </c>
      <c r="M102" s="38" t="s">
        <v>35</v>
      </c>
      <c r="N102" s="54"/>
      <c r="O102" s="36"/>
      <c r="P102" s="40">
        <v>0</v>
      </c>
      <c r="Q102" s="40">
        <v>782</v>
      </c>
      <c r="R102" s="41"/>
      <c r="S102" s="40">
        <v>7520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36">
        <f t="shared" si="4"/>
        <v>0</v>
      </c>
      <c r="AH102"/>
      <c r="AI102" s="37"/>
      <c r="AK102" s="1"/>
      <c r="AL102" s="1"/>
    </row>
    <row r="103" spans="1:38" ht="15.6" customHeight="1" x14ac:dyDescent="0.3">
      <c r="A103" s="38">
        <v>2</v>
      </c>
      <c r="B103" s="38" t="s">
        <v>975</v>
      </c>
      <c r="C103" s="38" t="s">
        <v>984</v>
      </c>
      <c r="D103" s="39">
        <v>45800</v>
      </c>
      <c r="E103" s="38" t="s">
        <v>53</v>
      </c>
      <c r="F103" s="38" t="s">
        <v>199</v>
      </c>
      <c r="G103" s="40">
        <f>782+336</f>
        <v>1118</v>
      </c>
      <c r="H103" s="84">
        <v>28005.52</v>
      </c>
      <c r="I103" s="40">
        <v>4480.88</v>
      </c>
      <c r="J103" s="40">
        <f t="shared" si="5"/>
        <v>33604.400000000001</v>
      </c>
      <c r="K103" s="40">
        <v>33604.400000000001</v>
      </c>
      <c r="L103" s="40">
        <f t="shared" si="6"/>
        <v>0</v>
      </c>
      <c r="M103" s="38" t="s">
        <v>35</v>
      </c>
      <c r="N103" s="54"/>
      <c r="O103" s="36"/>
      <c r="P103" s="40">
        <v>0</v>
      </c>
      <c r="Q103" s="40">
        <f>782+336</f>
        <v>1118</v>
      </c>
      <c r="R103" s="41"/>
      <c r="S103" s="40">
        <f>7521.12+5444.4+7520+7520</f>
        <v>28005.52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36">
        <f t="shared" si="4"/>
        <v>0</v>
      </c>
      <c r="AH103"/>
      <c r="AI103" s="37"/>
      <c r="AK103" s="1"/>
      <c r="AL103" s="1"/>
    </row>
    <row r="104" spans="1:38" ht="15.6" customHeight="1" x14ac:dyDescent="0.3">
      <c r="A104" s="38">
        <v>2</v>
      </c>
      <c r="B104" s="38" t="s">
        <v>976</v>
      </c>
      <c r="C104" s="38" t="s">
        <v>985</v>
      </c>
      <c r="D104" s="39">
        <v>45800</v>
      </c>
      <c r="E104" s="38" t="s">
        <v>20</v>
      </c>
      <c r="F104" s="38" t="s">
        <v>21</v>
      </c>
      <c r="G104" s="40">
        <v>230212</v>
      </c>
      <c r="H104" s="84">
        <v>8400</v>
      </c>
      <c r="I104" s="40">
        <v>1344</v>
      </c>
      <c r="J104" s="40">
        <f t="shared" si="5"/>
        <v>239956</v>
      </c>
      <c r="K104" s="40">
        <v>240839</v>
      </c>
      <c r="L104" s="40">
        <f t="shared" si="6"/>
        <v>-883</v>
      </c>
      <c r="M104" s="38" t="s">
        <v>35</v>
      </c>
      <c r="N104" s="54"/>
      <c r="O104" s="36"/>
      <c r="P104" s="40">
        <v>0</v>
      </c>
      <c r="Q104" s="40">
        <v>230212</v>
      </c>
      <c r="R104" s="41"/>
      <c r="S104" s="40">
        <f>4200+4200</f>
        <v>8400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36">
        <f t="shared" si="4"/>
        <v>0</v>
      </c>
      <c r="AH104"/>
      <c r="AI104" s="37"/>
      <c r="AK104" s="1"/>
      <c r="AL104" s="1"/>
    </row>
    <row r="105" spans="1:38" ht="15.6" customHeight="1" x14ac:dyDescent="0.3">
      <c r="A105" s="38">
        <v>2</v>
      </c>
      <c r="B105" s="38" t="s">
        <v>977</v>
      </c>
      <c r="C105" s="38" t="s">
        <v>986</v>
      </c>
      <c r="D105" s="39">
        <v>45803</v>
      </c>
      <c r="E105" s="38" t="s">
        <v>198</v>
      </c>
      <c r="F105" t="s">
        <v>200</v>
      </c>
      <c r="G105" s="40">
        <v>0</v>
      </c>
      <c r="H105" s="84">
        <v>22680.31</v>
      </c>
      <c r="I105" s="40">
        <v>3628.85</v>
      </c>
      <c r="J105" s="40">
        <f t="shared" si="5"/>
        <v>26309.16</v>
      </c>
      <c r="K105" s="40">
        <v>26309.16</v>
      </c>
      <c r="L105" s="40">
        <f t="shared" si="6"/>
        <v>0</v>
      </c>
      <c r="M105" s="38" t="s">
        <v>35</v>
      </c>
      <c r="N105" s="54"/>
      <c r="O105" s="36"/>
      <c r="P105" s="40">
        <v>0</v>
      </c>
      <c r="Q105" s="40">
        <v>0</v>
      </c>
      <c r="R105" s="41"/>
      <c r="S105" s="40">
        <v>0</v>
      </c>
      <c r="T105" s="40">
        <v>0</v>
      </c>
      <c r="U105" s="40">
        <v>0</v>
      </c>
      <c r="V105" s="40">
        <v>0</v>
      </c>
      <c r="W105" s="40">
        <v>22000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680.31</v>
      </c>
      <c r="AD105" s="40">
        <v>0</v>
      </c>
      <c r="AE105" s="40">
        <v>0</v>
      </c>
      <c r="AF105" s="40">
        <v>0</v>
      </c>
      <c r="AG105" s="36">
        <f t="shared" si="4"/>
        <v>0</v>
      </c>
      <c r="AH105"/>
      <c r="AI105" s="37"/>
      <c r="AK105" s="1"/>
      <c r="AL105" s="1"/>
    </row>
    <row r="106" spans="1:38" ht="15.6" customHeight="1" x14ac:dyDescent="0.3">
      <c r="A106" s="38">
        <v>1</v>
      </c>
      <c r="B106" s="38" t="s">
        <v>978</v>
      </c>
      <c r="C106" s="38" t="s">
        <v>987</v>
      </c>
      <c r="D106" s="39">
        <v>45803</v>
      </c>
      <c r="E106" s="38" t="s">
        <v>53</v>
      </c>
      <c r="F106" s="38" t="s">
        <v>199</v>
      </c>
      <c r="G106" s="40">
        <v>781</v>
      </c>
      <c r="H106" s="84">
        <v>20911.099999999999</v>
      </c>
      <c r="I106" s="40">
        <v>3345.78</v>
      </c>
      <c r="J106" s="40">
        <f t="shared" si="5"/>
        <v>25037.879999999997</v>
      </c>
      <c r="K106" s="40">
        <v>102613</v>
      </c>
      <c r="L106" s="40">
        <f t="shared" si="6"/>
        <v>-77575.12</v>
      </c>
      <c r="M106" s="38" t="s">
        <v>35</v>
      </c>
      <c r="N106" s="54"/>
      <c r="O106" s="36"/>
      <c r="P106" s="40">
        <v>0</v>
      </c>
      <c r="Q106" s="40">
        <v>781</v>
      </c>
      <c r="R106" s="41"/>
      <c r="S106" s="40">
        <v>7200</v>
      </c>
      <c r="T106" s="40">
        <v>0</v>
      </c>
      <c r="U106" s="40">
        <v>10711.1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3000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36">
        <f t="shared" si="4"/>
        <v>0</v>
      </c>
      <c r="AH106"/>
      <c r="AI106" s="37"/>
      <c r="AK106" s="1"/>
      <c r="AL106" s="1"/>
    </row>
    <row r="107" spans="1:38" ht="15.6" customHeight="1" x14ac:dyDescent="0.3">
      <c r="A107" s="38">
        <v>1</v>
      </c>
      <c r="B107" s="38" t="s">
        <v>979</v>
      </c>
      <c r="C107" s="38" t="s">
        <v>988</v>
      </c>
      <c r="D107" s="39">
        <v>45803</v>
      </c>
      <c r="E107" s="38" t="s">
        <v>53</v>
      </c>
      <c r="F107" s="38" t="s">
        <v>199</v>
      </c>
      <c r="G107" s="40">
        <v>0</v>
      </c>
      <c r="H107" s="84">
        <v>26986.73</v>
      </c>
      <c r="I107" s="40">
        <v>4317.88</v>
      </c>
      <c r="J107" s="40">
        <f t="shared" si="5"/>
        <v>31304.61</v>
      </c>
      <c r="K107" s="40">
        <v>90000</v>
      </c>
      <c r="L107" s="40">
        <f t="shared" si="6"/>
        <v>-58695.39</v>
      </c>
      <c r="M107" s="38" t="s">
        <v>35</v>
      </c>
      <c r="N107" s="54"/>
      <c r="O107" s="36"/>
      <c r="P107" s="40">
        <v>0</v>
      </c>
      <c r="Q107" s="40">
        <v>0</v>
      </c>
      <c r="R107" s="41"/>
      <c r="S107" s="40">
        <v>7200</v>
      </c>
      <c r="T107" s="40">
        <v>0</v>
      </c>
      <c r="U107" s="40">
        <v>16786.73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3000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36">
        <f t="shared" si="4"/>
        <v>0</v>
      </c>
      <c r="AH107"/>
      <c r="AI107" s="37"/>
      <c r="AK107" s="1"/>
      <c r="AL107" s="1"/>
    </row>
    <row r="108" spans="1:38" ht="15.6" customHeight="1" x14ac:dyDescent="0.3">
      <c r="A108" s="38">
        <v>1</v>
      </c>
      <c r="B108" s="38" t="s">
        <v>980</v>
      </c>
      <c r="C108" s="38" t="s">
        <v>989</v>
      </c>
      <c r="D108" s="39">
        <v>45803</v>
      </c>
      <c r="E108" s="38" t="s">
        <v>53</v>
      </c>
      <c r="F108" s="38" t="s">
        <v>199</v>
      </c>
      <c r="G108" s="40">
        <v>0</v>
      </c>
      <c r="H108" s="84">
        <v>26986.73</v>
      </c>
      <c r="I108" s="40">
        <v>4317.88</v>
      </c>
      <c r="J108" s="40">
        <f t="shared" si="5"/>
        <v>31304.61</v>
      </c>
      <c r="K108" s="40">
        <v>101832</v>
      </c>
      <c r="L108" s="40">
        <f t="shared" si="6"/>
        <v>-70527.39</v>
      </c>
      <c r="M108" s="38" t="s">
        <v>35</v>
      </c>
      <c r="N108" s="54"/>
      <c r="O108" s="36"/>
      <c r="P108" s="40">
        <v>0</v>
      </c>
      <c r="Q108" s="40">
        <v>0</v>
      </c>
      <c r="R108" s="41"/>
      <c r="S108" s="40">
        <v>7200</v>
      </c>
      <c r="T108" s="40">
        <v>0</v>
      </c>
      <c r="U108" s="40">
        <v>16786.73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3000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36">
        <f t="shared" si="4"/>
        <v>0</v>
      </c>
      <c r="AH108"/>
      <c r="AI108" s="37"/>
      <c r="AK108" s="1"/>
      <c r="AL108" s="1"/>
    </row>
    <row r="109" spans="1:38" ht="15.6" customHeight="1" x14ac:dyDescent="0.3">
      <c r="A109" s="38">
        <v>2</v>
      </c>
      <c r="B109" s="38" t="s">
        <v>981</v>
      </c>
      <c r="C109" s="38" t="s">
        <v>990</v>
      </c>
      <c r="D109" s="39">
        <v>45803</v>
      </c>
      <c r="E109" s="38" t="s">
        <v>61</v>
      </c>
      <c r="F109" t="s">
        <v>156</v>
      </c>
      <c r="G109" s="40">
        <v>0</v>
      </c>
      <c r="H109" s="84">
        <v>22772.41</v>
      </c>
      <c r="I109" s="40">
        <v>3643.59</v>
      </c>
      <c r="J109" s="40">
        <f t="shared" si="5"/>
        <v>26416</v>
      </c>
      <c r="K109" s="40">
        <v>26416</v>
      </c>
      <c r="L109" s="40">
        <f t="shared" si="6"/>
        <v>0</v>
      </c>
      <c r="M109" s="38" t="s">
        <v>35</v>
      </c>
      <c r="N109" s="54"/>
      <c r="O109" s="36"/>
      <c r="P109" s="40">
        <v>0</v>
      </c>
      <c r="Q109" s="40">
        <v>0</v>
      </c>
      <c r="R109" s="41"/>
      <c r="S109" s="40">
        <v>0</v>
      </c>
      <c r="T109" s="40">
        <v>0</v>
      </c>
      <c r="U109" s="40">
        <v>0</v>
      </c>
      <c r="V109" s="40">
        <v>0</v>
      </c>
      <c r="W109" s="40">
        <v>22772.41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36">
        <f t="shared" si="4"/>
        <v>0</v>
      </c>
      <c r="AH109"/>
      <c r="AI109" s="37"/>
      <c r="AK109" s="1"/>
      <c r="AL109" s="1"/>
    </row>
    <row r="110" spans="1:38" ht="15.6" customHeight="1" x14ac:dyDescent="0.3">
      <c r="A110" s="38">
        <v>1</v>
      </c>
      <c r="B110" s="38" t="s">
        <v>982</v>
      </c>
      <c r="C110" s="38" t="s">
        <v>638</v>
      </c>
      <c r="D110" s="39">
        <v>45803</v>
      </c>
      <c r="E110" s="38" t="s">
        <v>40</v>
      </c>
      <c r="F110" s="38" t="s">
        <v>41</v>
      </c>
      <c r="G110" s="40">
        <v>0</v>
      </c>
      <c r="H110" s="84">
        <v>111078.38</v>
      </c>
      <c r="I110" s="40">
        <v>17772.54</v>
      </c>
      <c r="J110" s="40">
        <f t="shared" si="5"/>
        <v>128850.92000000001</v>
      </c>
      <c r="K110" s="40">
        <v>0</v>
      </c>
      <c r="L110" s="40">
        <f t="shared" si="6"/>
        <v>128850.92000000001</v>
      </c>
      <c r="M110" s="38" t="s">
        <v>35</v>
      </c>
      <c r="N110" s="54"/>
      <c r="O110" s="36"/>
      <c r="P110" s="40">
        <v>0</v>
      </c>
      <c r="Q110" s="40">
        <v>0</v>
      </c>
      <c r="R110" s="41"/>
      <c r="S110" s="40">
        <v>5882.85</v>
      </c>
      <c r="T110" s="40">
        <v>0</v>
      </c>
      <c r="U110" s="40">
        <v>29072.04</v>
      </c>
      <c r="V110" s="40">
        <v>5669.59</v>
      </c>
      <c r="W110" s="40">
        <v>69335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0">
        <v>0</v>
      </c>
      <c r="AD110" s="40">
        <v>1118.9000000000001</v>
      </c>
      <c r="AE110" s="40">
        <v>0</v>
      </c>
      <c r="AF110" s="40">
        <v>0</v>
      </c>
      <c r="AG110" s="36">
        <f t="shared" si="4"/>
        <v>0</v>
      </c>
      <c r="AH110"/>
      <c r="AI110" s="37"/>
      <c r="AK110" s="1"/>
      <c r="AL110" s="1"/>
    </row>
    <row r="111" spans="1:38" ht="15.6" customHeight="1" x14ac:dyDescent="0.3">
      <c r="A111" s="38">
        <v>2</v>
      </c>
      <c r="B111" s="38" t="s">
        <v>983</v>
      </c>
      <c r="C111" s="38" t="s">
        <v>991</v>
      </c>
      <c r="D111" s="39">
        <v>45804</v>
      </c>
      <c r="E111" s="38" t="s">
        <v>40</v>
      </c>
      <c r="F111" s="38" t="s">
        <v>41</v>
      </c>
      <c r="G111" s="40">
        <v>0</v>
      </c>
      <c r="H111" s="84">
        <v>16542</v>
      </c>
      <c r="I111" s="40">
        <v>2646.72</v>
      </c>
      <c r="J111" s="40">
        <f t="shared" si="5"/>
        <v>19188.72</v>
      </c>
      <c r="K111" s="40">
        <v>0</v>
      </c>
      <c r="L111" s="40">
        <f t="shared" si="6"/>
        <v>19188.72</v>
      </c>
      <c r="M111" s="38" t="s">
        <v>35</v>
      </c>
      <c r="N111" s="54"/>
      <c r="O111" s="36"/>
      <c r="P111" s="40">
        <v>0</v>
      </c>
      <c r="Q111" s="40">
        <v>0</v>
      </c>
      <c r="R111" s="41"/>
      <c r="S111" s="40">
        <v>4042</v>
      </c>
      <c r="T111" s="40">
        <v>0</v>
      </c>
      <c r="U111" s="40">
        <v>0</v>
      </c>
      <c r="V111" s="40">
        <v>0</v>
      </c>
      <c r="W111" s="40">
        <v>12500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36">
        <f t="shared" si="4"/>
        <v>0</v>
      </c>
      <c r="AH111"/>
      <c r="AI111" s="37"/>
      <c r="AK111" s="1"/>
      <c r="AL111" s="1"/>
    </row>
    <row r="112" spans="1:38" ht="15.6" customHeight="1" x14ac:dyDescent="0.3">
      <c r="A112" s="38">
        <v>1</v>
      </c>
      <c r="B112" s="38" t="s">
        <v>994</v>
      </c>
      <c r="C112" s="38" t="s">
        <v>1013</v>
      </c>
      <c r="D112" s="39">
        <v>45804</v>
      </c>
      <c r="E112" s="38" t="s">
        <v>53</v>
      </c>
      <c r="F112" s="38" t="s">
        <v>199</v>
      </c>
      <c r="G112" s="40">
        <v>0</v>
      </c>
      <c r="H112" s="84">
        <v>90045.75</v>
      </c>
      <c r="I112" s="40">
        <v>14407.32</v>
      </c>
      <c r="J112" s="40">
        <f t="shared" si="5"/>
        <v>104453.07</v>
      </c>
      <c r="K112" s="40">
        <v>112710.94</v>
      </c>
      <c r="L112" s="40">
        <f t="shared" si="6"/>
        <v>-8257.8699999999953</v>
      </c>
      <c r="M112" s="38" t="s">
        <v>35</v>
      </c>
      <c r="N112" s="54"/>
      <c r="O112" s="36"/>
      <c r="P112" s="40">
        <v>0</v>
      </c>
      <c r="Q112" s="40">
        <v>0</v>
      </c>
      <c r="R112" s="41"/>
      <c r="S112" s="40">
        <v>7200</v>
      </c>
      <c r="T112" s="40">
        <v>0</v>
      </c>
      <c r="U112" s="40">
        <v>79845.75</v>
      </c>
      <c r="V112" s="40">
        <v>0</v>
      </c>
      <c r="W112" s="40">
        <v>0</v>
      </c>
      <c r="X112" s="40">
        <v>0</v>
      </c>
      <c r="Y112" s="40">
        <v>0</v>
      </c>
      <c r="Z112" s="40">
        <v>0</v>
      </c>
      <c r="AA112" s="40">
        <v>3000</v>
      </c>
      <c r="AB112" s="40">
        <v>0</v>
      </c>
      <c r="AC112" s="40">
        <v>0</v>
      </c>
      <c r="AD112" s="40">
        <v>0</v>
      </c>
      <c r="AE112" s="40">
        <v>0</v>
      </c>
      <c r="AF112" s="40">
        <v>0</v>
      </c>
      <c r="AG112" s="36">
        <f t="shared" si="4"/>
        <v>0</v>
      </c>
      <c r="AH112"/>
      <c r="AI112" s="37"/>
      <c r="AK112" s="1"/>
      <c r="AL112" s="1"/>
    </row>
    <row r="113" spans="1:38" ht="15.6" customHeight="1" x14ac:dyDescent="0.3">
      <c r="A113" s="38">
        <v>2</v>
      </c>
      <c r="B113" s="38" t="s">
        <v>995</v>
      </c>
      <c r="C113" s="38" t="s">
        <v>1014</v>
      </c>
      <c r="D113" s="39">
        <v>45804</v>
      </c>
      <c r="E113" s="38" t="s">
        <v>22</v>
      </c>
      <c r="F113" s="38" t="s">
        <v>45</v>
      </c>
      <c r="G113" s="40">
        <v>336</v>
      </c>
      <c r="H113" s="84">
        <v>10300</v>
      </c>
      <c r="I113" s="40">
        <v>1648</v>
      </c>
      <c r="J113" s="40">
        <f t="shared" si="5"/>
        <v>12284</v>
      </c>
      <c r="K113" s="40">
        <v>12284</v>
      </c>
      <c r="L113" s="40">
        <f t="shared" si="6"/>
        <v>0</v>
      </c>
      <c r="M113" s="38" t="s">
        <v>35</v>
      </c>
      <c r="N113" s="54"/>
      <c r="O113" s="36"/>
      <c r="P113" s="40">
        <v>0</v>
      </c>
      <c r="Q113" s="40">
        <v>336</v>
      </c>
      <c r="R113" s="41"/>
      <c r="S113" s="40">
        <v>3150</v>
      </c>
      <c r="T113" s="40">
        <v>0</v>
      </c>
      <c r="U113" s="40">
        <v>0</v>
      </c>
      <c r="V113" s="40">
        <v>0</v>
      </c>
      <c r="W113" s="40">
        <v>3950</v>
      </c>
      <c r="X113" s="40">
        <v>0</v>
      </c>
      <c r="Y113" s="40">
        <v>0</v>
      </c>
      <c r="Z113" s="40">
        <v>0</v>
      </c>
      <c r="AA113" s="40">
        <v>0</v>
      </c>
      <c r="AB113" s="40">
        <v>3200</v>
      </c>
      <c r="AC113" s="40">
        <v>0</v>
      </c>
      <c r="AD113" s="40">
        <v>0</v>
      </c>
      <c r="AE113" s="40">
        <v>0</v>
      </c>
      <c r="AF113" s="40">
        <v>0</v>
      </c>
      <c r="AG113" s="36">
        <f t="shared" si="4"/>
        <v>0</v>
      </c>
      <c r="AH113"/>
      <c r="AI113" s="37"/>
      <c r="AK113" s="1"/>
      <c r="AL113" s="1"/>
    </row>
    <row r="114" spans="1:38" ht="15.6" customHeight="1" x14ac:dyDescent="0.3">
      <c r="A114" s="38">
        <v>2</v>
      </c>
      <c r="B114" s="38" t="s">
        <v>996</v>
      </c>
      <c r="C114" s="38" t="s">
        <v>1015</v>
      </c>
      <c r="D114" s="39">
        <v>45804</v>
      </c>
      <c r="E114" s="38" t="s">
        <v>22</v>
      </c>
      <c r="F114" s="38" t="s">
        <v>45</v>
      </c>
      <c r="G114" s="40">
        <v>336</v>
      </c>
      <c r="H114" s="84">
        <v>10300</v>
      </c>
      <c r="I114" s="40">
        <v>1648</v>
      </c>
      <c r="J114" s="40">
        <f t="shared" si="5"/>
        <v>12284</v>
      </c>
      <c r="K114" s="40">
        <v>12284</v>
      </c>
      <c r="L114" s="40">
        <f t="shared" si="6"/>
        <v>0</v>
      </c>
      <c r="M114" s="38" t="s">
        <v>35</v>
      </c>
      <c r="N114" s="54"/>
      <c r="O114" s="36"/>
      <c r="P114" s="40">
        <v>0</v>
      </c>
      <c r="Q114" s="40">
        <v>336</v>
      </c>
      <c r="R114" s="41"/>
      <c r="S114" s="40">
        <v>3150</v>
      </c>
      <c r="T114" s="40">
        <v>0</v>
      </c>
      <c r="U114" s="40">
        <v>0</v>
      </c>
      <c r="V114" s="40">
        <v>0</v>
      </c>
      <c r="W114" s="40">
        <v>3950</v>
      </c>
      <c r="X114" s="40">
        <v>0</v>
      </c>
      <c r="Y114" s="40">
        <v>0</v>
      </c>
      <c r="Z114" s="40">
        <v>0</v>
      </c>
      <c r="AA114" s="40">
        <v>0</v>
      </c>
      <c r="AB114" s="40">
        <v>3200</v>
      </c>
      <c r="AC114" s="40">
        <v>0</v>
      </c>
      <c r="AD114" s="40">
        <v>0</v>
      </c>
      <c r="AE114" s="40">
        <v>0</v>
      </c>
      <c r="AF114" s="40">
        <v>0</v>
      </c>
      <c r="AG114" s="36">
        <f t="shared" si="4"/>
        <v>0</v>
      </c>
      <c r="AH114"/>
      <c r="AI114" s="37"/>
      <c r="AK114" s="1"/>
      <c r="AL114" s="1"/>
    </row>
    <row r="115" spans="1:38" ht="15.6" customHeight="1" x14ac:dyDescent="0.3">
      <c r="A115" s="38">
        <v>2</v>
      </c>
      <c r="B115" s="38" t="s">
        <v>997</v>
      </c>
      <c r="C115" s="38" t="s">
        <v>1016</v>
      </c>
      <c r="D115" s="39">
        <v>45804</v>
      </c>
      <c r="E115" s="38" t="s">
        <v>22</v>
      </c>
      <c r="F115" s="38" t="s">
        <v>45</v>
      </c>
      <c r="G115" s="40">
        <v>6303</v>
      </c>
      <c r="H115" s="84">
        <v>8150</v>
      </c>
      <c r="I115" s="40">
        <v>1304</v>
      </c>
      <c r="J115" s="40">
        <f t="shared" si="5"/>
        <v>15757</v>
      </c>
      <c r="K115" s="40">
        <v>15757</v>
      </c>
      <c r="L115" s="40">
        <f t="shared" si="6"/>
        <v>0</v>
      </c>
      <c r="M115" s="38" t="s">
        <v>35</v>
      </c>
      <c r="N115" s="54"/>
      <c r="O115" s="36"/>
      <c r="P115" s="40">
        <v>0</v>
      </c>
      <c r="Q115" s="40">
        <v>6303</v>
      </c>
      <c r="R115" s="41"/>
      <c r="S115" s="40">
        <v>4200</v>
      </c>
      <c r="T115" s="40">
        <v>0</v>
      </c>
      <c r="U115" s="40">
        <v>0</v>
      </c>
      <c r="V115" s="40">
        <v>0</v>
      </c>
      <c r="W115" s="40">
        <v>3950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36">
        <f t="shared" si="4"/>
        <v>0</v>
      </c>
      <c r="AH115"/>
      <c r="AI115" s="37"/>
      <c r="AK115" s="1"/>
      <c r="AL115" s="1"/>
    </row>
    <row r="116" spans="1:38" ht="15.6" customHeight="1" x14ac:dyDescent="0.3">
      <c r="A116" s="38">
        <v>2</v>
      </c>
      <c r="B116" s="38" t="s">
        <v>998</v>
      </c>
      <c r="C116" s="38" t="s">
        <v>1017</v>
      </c>
      <c r="D116" s="39">
        <v>45804</v>
      </c>
      <c r="E116" s="38" t="s">
        <v>22</v>
      </c>
      <c r="F116" s="38" t="s">
        <v>45</v>
      </c>
      <c r="G116" s="40">
        <v>781</v>
      </c>
      <c r="H116" s="84">
        <v>15350</v>
      </c>
      <c r="I116" s="40">
        <v>2456</v>
      </c>
      <c r="J116" s="40">
        <f t="shared" si="5"/>
        <v>18587</v>
      </c>
      <c r="K116" s="40">
        <v>18587</v>
      </c>
      <c r="L116" s="40">
        <f t="shared" si="6"/>
        <v>0</v>
      </c>
      <c r="M116" s="38" t="s">
        <v>35</v>
      </c>
      <c r="N116" s="54"/>
      <c r="O116" s="36"/>
      <c r="P116" s="40">
        <v>0</v>
      </c>
      <c r="Q116" s="40">
        <v>781</v>
      </c>
      <c r="R116" s="41"/>
      <c r="S116" s="40">
        <v>4200</v>
      </c>
      <c r="T116" s="40">
        <v>0</v>
      </c>
      <c r="U116" s="40">
        <v>2500</v>
      </c>
      <c r="V116" s="40">
        <v>0</v>
      </c>
      <c r="W116" s="40">
        <v>3950</v>
      </c>
      <c r="X116" s="40">
        <v>0</v>
      </c>
      <c r="Y116" s="40">
        <v>1500</v>
      </c>
      <c r="Z116" s="40">
        <v>0</v>
      </c>
      <c r="AA116" s="40">
        <v>0</v>
      </c>
      <c r="AB116" s="40">
        <v>3200</v>
      </c>
      <c r="AC116" s="40">
        <v>0</v>
      </c>
      <c r="AD116" s="40">
        <v>0</v>
      </c>
      <c r="AE116" s="40">
        <v>0</v>
      </c>
      <c r="AF116" s="40">
        <v>0</v>
      </c>
      <c r="AG116" s="36">
        <f t="shared" si="4"/>
        <v>0</v>
      </c>
      <c r="AH116"/>
      <c r="AI116" s="37"/>
      <c r="AK116" s="1"/>
      <c r="AL116" s="1"/>
    </row>
    <row r="117" spans="1:38" ht="15.6" customHeight="1" x14ac:dyDescent="0.3">
      <c r="A117" s="38">
        <v>2</v>
      </c>
      <c r="B117" s="38" t="s">
        <v>999</v>
      </c>
      <c r="C117" s="38" t="s">
        <v>1018</v>
      </c>
      <c r="D117" s="39">
        <v>45804</v>
      </c>
      <c r="E117" s="38" t="s">
        <v>22</v>
      </c>
      <c r="F117" s="38" t="s">
        <v>45</v>
      </c>
      <c r="G117" s="40">
        <v>781</v>
      </c>
      <c r="H117" s="84">
        <v>15350</v>
      </c>
      <c r="I117" s="40">
        <v>2456</v>
      </c>
      <c r="J117" s="40">
        <f t="shared" si="5"/>
        <v>18587</v>
      </c>
      <c r="K117" s="40">
        <v>18587</v>
      </c>
      <c r="L117" s="40">
        <f t="shared" si="6"/>
        <v>0</v>
      </c>
      <c r="M117" s="38" t="s">
        <v>35</v>
      </c>
      <c r="N117" s="54"/>
      <c r="O117" s="36"/>
      <c r="P117" s="40">
        <v>0</v>
      </c>
      <c r="Q117" s="40">
        <v>781</v>
      </c>
      <c r="R117" s="41"/>
      <c r="S117" s="40">
        <v>4200</v>
      </c>
      <c r="T117" s="40">
        <v>0</v>
      </c>
      <c r="U117" s="40">
        <v>2500</v>
      </c>
      <c r="V117" s="40">
        <v>0</v>
      </c>
      <c r="W117" s="40">
        <v>3950</v>
      </c>
      <c r="X117" s="40">
        <v>0</v>
      </c>
      <c r="Y117" s="40">
        <v>1500</v>
      </c>
      <c r="Z117" s="40">
        <v>0</v>
      </c>
      <c r="AA117" s="40">
        <v>0</v>
      </c>
      <c r="AB117" s="40">
        <v>3200</v>
      </c>
      <c r="AC117" s="40">
        <v>0</v>
      </c>
      <c r="AD117" s="40">
        <v>0</v>
      </c>
      <c r="AE117" s="40">
        <v>0</v>
      </c>
      <c r="AF117" s="40">
        <v>0</v>
      </c>
      <c r="AG117" s="36">
        <f t="shared" si="4"/>
        <v>0</v>
      </c>
      <c r="AH117"/>
      <c r="AI117" s="37"/>
      <c r="AK117" s="1"/>
      <c r="AL117" s="1"/>
    </row>
    <row r="118" spans="1:38" ht="15.6" customHeight="1" x14ac:dyDescent="0.3">
      <c r="A118" s="38">
        <v>2</v>
      </c>
      <c r="B118" s="38" t="s">
        <v>1000</v>
      </c>
      <c r="C118" s="38" t="s">
        <v>1019</v>
      </c>
      <c r="D118" s="39">
        <v>45804</v>
      </c>
      <c r="E118" s="38" t="s">
        <v>22</v>
      </c>
      <c r="F118" s="38" t="s">
        <v>45</v>
      </c>
      <c r="G118" s="40">
        <v>12599</v>
      </c>
      <c r="H118" s="84">
        <v>8150</v>
      </c>
      <c r="I118" s="40">
        <v>1304</v>
      </c>
      <c r="J118" s="40">
        <f t="shared" si="5"/>
        <v>22053</v>
      </c>
      <c r="K118" s="40">
        <v>22118</v>
      </c>
      <c r="L118" s="40">
        <f t="shared" si="6"/>
        <v>-65</v>
      </c>
      <c r="M118" s="38" t="s">
        <v>35</v>
      </c>
      <c r="N118" s="54"/>
      <c r="O118" s="36"/>
      <c r="P118" s="40">
        <v>0</v>
      </c>
      <c r="Q118" s="40">
        <v>12599</v>
      </c>
      <c r="R118" s="41"/>
      <c r="S118" s="40">
        <v>4200</v>
      </c>
      <c r="T118" s="40">
        <v>0</v>
      </c>
      <c r="U118" s="40">
        <v>0</v>
      </c>
      <c r="V118" s="40">
        <v>0</v>
      </c>
      <c r="W118" s="40">
        <v>3950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36">
        <f t="shared" si="4"/>
        <v>0</v>
      </c>
      <c r="AH118"/>
      <c r="AI118" s="37"/>
      <c r="AK118" s="1"/>
      <c r="AL118" s="1"/>
    </row>
    <row r="119" spans="1:38" ht="15.6" customHeight="1" x14ac:dyDescent="0.3">
      <c r="A119" s="38">
        <v>2</v>
      </c>
      <c r="B119" s="38" t="s">
        <v>1001</v>
      </c>
      <c r="C119" s="38" t="s">
        <v>1020</v>
      </c>
      <c r="D119" s="39">
        <v>45805</v>
      </c>
      <c r="E119" s="38" t="s">
        <v>198</v>
      </c>
      <c r="F119" s="38" t="s">
        <v>200</v>
      </c>
      <c r="G119" s="40">
        <v>0</v>
      </c>
      <c r="H119" s="84">
        <v>22000</v>
      </c>
      <c r="I119" s="40">
        <v>3520</v>
      </c>
      <c r="J119" s="40">
        <f t="shared" si="5"/>
        <v>25520</v>
      </c>
      <c r="K119" s="40">
        <v>25520</v>
      </c>
      <c r="L119" s="40">
        <f t="shared" si="6"/>
        <v>0</v>
      </c>
      <c r="M119" s="38" t="s">
        <v>35</v>
      </c>
      <c r="N119" s="54"/>
      <c r="O119" s="36"/>
      <c r="P119" s="40">
        <v>0</v>
      </c>
      <c r="Q119" s="40">
        <v>0</v>
      </c>
      <c r="R119" s="41"/>
      <c r="S119" s="40">
        <v>0</v>
      </c>
      <c r="T119" s="40">
        <v>0</v>
      </c>
      <c r="U119" s="40">
        <v>0</v>
      </c>
      <c r="V119" s="40">
        <v>0</v>
      </c>
      <c r="W119" s="40">
        <v>22000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36">
        <f t="shared" si="4"/>
        <v>0</v>
      </c>
      <c r="AH119"/>
      <c r="AI119" s="37"/>
      <c r="AK119" s="1"/>
      <c r="AL119" s="1"/>
    </row>
    <row r="120" spans="1:38" ht="15.6" customHeight="1" x14ac:dyDescent="0.3">
      <c r="A120" s="38">
        <v>2</v>
      </c>
      <c r="B120" s="38" t="s">
        <v>1002</v>
      </c>
      <c r="C120" s="38" t="s">
        <v>1021</v>
      </c>
      <c r="D120" s="39">
        <v>45805</v>
      </c>
      <c r="E120" s="38" t="s">
        <v>198</v>
      </c>
      <c r="F120" s="38" t="s">
        <v>200</v>
      </c>
      <c r="G120" s="40">
        <v>0</v>
      </c>
      <c r="H120" s="84">
        <v>22000</v>
      </c>
      <c r="I120" s="40">
        <v>3520</v>
      </c>
      <c r="J120" s="40">
        <f t="shared" si="5"/>
        <v>25520</v>
      </c>
      <c r="K120" s="40">
        <v>25520</v>
      </c>
      <c r="L120" s="40">
        <f t="shared" si="6"/>
        <v>0</v>
      </c>
      <c r="M120" s="38" t="s">
        <v>35</v>
      </c>
      <c r="N120" s="54"/>
      <c r="O120" s="36"/>
      <c r="P120" s="40">
        <v>0</v>
      </c>
      <c r="Q120" s="40">
        <v>0</v>
      </c>
      <c r="R120" s="41"/>
      <c r="S120" s="40">
        <v>0</v>
      </c>
      <c r="T120" s="40">
        <v>0</v>
      </c>
      <c r="U120" s="40">
        <v>0</v>
      </c>
      <c r="V120" s="40">
        <v>0</v>
      </c>
      <c r="W120" s="40">
        <v>22000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36">
        <f t="shared" si="4"/>
        <v>0</v>
      </c>
      <c r="AH120"/>
      <c r="AI120" s="37"/>
      <c r="AK120" s="1"/>
      <c r="AL120" s="1"/>
    </row>
    <row r="121" spans="1:38" ht="15.6" customHeight="1" x14ac:dyDescent="0.3">
      <c r="A121" s="38">
        <v>2</v>
      </c>
      <c r="B121" s="38" t="s">
        <v>1003</v>
      </c>
      <c r="C121" s="38" t="s">
        <v>1022</v>
      </c>
      <c r="D121" s="39">
        <v>45805</v>
      </c>
      <c r="E121" s="38" t="s">
        <v>198</v>
      </c>
      <c r="F121" s="38" t="s">
        <v>200</v>
      </c>
      <c r="G121" s="40">
        <v>0</v>
      </c>
      <c r="H121" s="84">
        <v>22000</v>
      </c>
      <c r="I121" s="40">
        <v>3520</v>
      </c>
      <c r="J121" s="40">
        <f t="shared" si="5"/>
        <v>25520</v>
      </c>
      <c r="K121" s="40">
        <v>25520</v>
      </c>
      <c r="L121" s="40">
        <f t="shared" si="6"/>
        <v>0</v>
      </c>
      <c r="M121" s="38" t="s">
        <v>35</v>
      </c>
      <c r="N121" s="54"/>
      <c r="O121" s="36"/>
      <c r="P121" s="40">
        <v>0</v>
      </c>
      <c r="Q121" s="40">
        <v>0</v>
      </c>
      <c r="R121" s="41"/>
      <c r="S121" s="40">
        <v>0</v>
      </c>
      <c r="T121" s="40">
        <v>0</v>
      </c>
      <c r="U121" s="40">
        <v>0</v>
      </c>
      <c r="V121" s="40">
        <v>0</v>
      </c>
      <c r="W121" s="40">
        <v>22000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36">
        <f t="shared" si="4"/>
        <v>0</v>
      </c>
      <c r="AH121"/>
      <c r="AI121" s="37"/>
      <c r="AK121" s="1"/>
      <c r="AL121" s="1"/>
    </row>
    <row r="122" spans="1:38" ht="15.6" customHeight="1" x14ac:dyDescent="0.3">
      <c r="A122" s="38">
        <v>1</v>
      </c>
      <c r="B122" s="38" t="s">
        <v>1004</v>
      </c>
      <c r="C122" s="38" t="s">
        <v>1023</v>
      </c>
      <c r="D122" s="39">
        <v>45805</v>
      </c>
      <c r="E122" s="38" t="s">
        <v>53</v>
      </c>
      <c r="F122" s="38" t="s">
        <v>199</v>
      </c>
      <c r="G122" s="40">
        <v>0</v>
      </c>
      <c r="H122" s="84">
        <v>148420.28</v>
      </c>
      <c r="I122" s="40">
        <v>23747.24</v>
      </c>
      <c r="J122" s="40">
        <f t="shared" si="5"/>
        <v>172167.52</v>
      </c>
      <c r="K122" s="40">
        <v>179138.63</v>
      </c>
      <c r="L122" s="40">
        <f t="shared" si="6"/>
        <v>-6971.1100000000151</v>
      </c>
      <c r="M122" s="38" t="s">
        <v>35</v>
      </c>
      <c r="N122" s="54"/>
      <c r="O122" s="36"/>
      <c r="P122" s="40">
        <v>0</v>
      </c>
      <c r="Q122" s="40">
        <v>0</v>
      </c>
      <c r="R122" s="41"/>
      <c r="S122" s="40">
        <v>7200</v>
      </c>
      <c r="T122" s="40">
        <v>0</v>
      </c>
      <c r="U122" s="40">
        <v>138220.28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3000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36">
        <f t="shared" si="4"/>
        <v>0</v>
      </c>
      <c r="AH122"/>
      <c r="AI122" s="37"/>
      <c r="AK122" s="1"/>
      <c r="AL122" s="1"/>
    </row>
    <row r="123" spans="1:38" ht="15.6" customHeight="1" x14ac:dyDescent="0.3">
      <c r="A123" s="38">
        <v>1</v>
      </c>
      <c r="B123" s="38" t="s">
        <v>1005</v>
      </c>
      <c r="C123" s="38" t="s">
        <v>1024</v>
      </c>
      <c r="D123" s="39">
        <v>45805</v>
      </c>
      <c r="E123" s="38" t="s">
        <v>42</v>
      </c>
      <c r="F123" s="38" t="s">
        <v>49</v>
      </c>
      <c r="G123" s="40">
        <v>0</v>
      </c>
      <c r="H123" s="84">
        <v>24605</v>
      </c>
      <c r="I123" s="40">
        <v>3936.8</v>
      </c>
      <c r="J123" s="40">
        <f t="shared" si="5"/>
        <v>28541.8</v>
      </c>
      <c r="K123" s="40">
        <v>28541.8</v>
      </c>
      <c r="L123" s="40">
        <f t="shared" si="6"/>
        <v>0</v>
      </c>
      <c r="M123" s="38" t="s">
        <v>35</v>
      </c>
      <c r="N123" s="54"/>
      <c r="O123" s="36"/>
      <c r="P123" s="40">
        <v>0</v>
      </c>
      <c r="Q123" s="40">
        <v>0</v>
      </c>
      <c r="R123" s="41"/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24605</v>
      </c>
      <c r="AD123" s="40">
        <v>0</v>
      </c>
      <c r="AE123" s="40">
        <v>0</v>
      </c>
      <c r="AF123" s="40">
        <v>0</v>
      </c>
      <c r="AG123" s="36">
        <f t="shared" si="4"/>
        <v>0</v>
      </c>
      <c r="AH123"/>
      <c r="AI123" s="37"/>
      <c r="AK123" s="1"/>
      <c r="AL123" s="1"/>
    </row>
    <row r="124" spans="1:38" ht="15.6" customHeight="1" x14ac:dyDescent="0.3">
      <c r="A124" s="38">
        <v>1</v>
      </c>
      <c r="B124" s="38" t="s">
        <v>1006</v>
      </c>
      <c r="C124" s="38" t="s">
        <v>1024</v>
      </c>
      <c r="D124" s="39">
        <v>45805</v>
      </c>
      <c r="E124" s="38" t="s">
        <v>42</v>
      </c>
      <c r="F124" s="38" t="s">
        <v>49</v>
      </c>
      <c r="G124" s="40">
        <v>0</v>
      </c>
      <c r="H124" s="84">
        <v>13361.75</v>
      </c>
      <c r="I124" s="40">
        <v>0</v>
      </c>
      <c r="J124" s="40">
        <f t="shared" si="5"/>
        <v>13361.75</v>
      </c>
      <c r="K124" s="40">
        <v>13361.75</v>
      </c>
      <c r="L124" s="40">
        <f t="shared" si="6"/>
        <v>0</v>
      </c>
      <c r="M124" s="38" t="s">
        <v>35</v>
      </c>
      <c r="N124" s="54"/>
      <c r="O124" s="36"/>
      <c r="P124" s="40">
        <v>0</v>
      </c>
      <c r="Q124" s="40">
        <v>0</v>
      </c>
      <c r="R124" s="41"/>
      <c r="S124" s="40">
        <v>0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11936.75</v>
      </c>
      <c r="AE124" s="40">
        <v>1425</v>
      </c>
      <c r="AF124" s="40">
        <v>0</v>
      </c>
      <c r="AG124" s="36">
        <f t="shared" si="4"/>
        <v>0</v>
      </c>
      <c r="AH124"/>
      <c r="AI124" s="37"/>
      <c r="AK124" s="1"/>
      <c r="AL124" s="1"/>
    </row>
    <row r="125" spans="1:38" ht="15.6" customHeight="1" x14ac:dyDescent="0.3">
      <c r="A125" s="38">
        <v>1</v>
      </c>
      <c r="B125" s="38" t="s">
        <v>1007</v>
      </c>
      <c r="C125" s="38" t="s">
        <v>1025</v>
      </c>
      <c r="D125" s="39">
        <v>45805</v>
      </c>
      <c r="E125" s="38" t="s">
        <v>53</v>
      </c>
      <c r="F125" s="38" t="s">
        <v>199</v>
      </c>
      <c r="G125" s="40">
        <v>0</v>
      </c>
      <c r="H125" s="84">
        <v>20508.599999999999</v>
      </c>
      <c r="I125" s="40">
        <v>3281.38</v>
      </c>
      <c r="J125" s="40">
        <f t="shared" si="5"/>
        <v>23789.98</v>
      </c>
      <c r="K125" s="40">
        <v>101831.99</v>
      </c>
      <c r="L125" s="40">
        <f t="shared" si="6"/>
        <v>-78042.010000000009</v>
      </c>
      <c r="M125" s="38" t="s">
        <v>35</v>
      </c>
      <c r="N125" s="54"/>
      <c r="O125" s="36"/>
      <c r="P125" s="40">
        <v>0</v>
      </c>
      <c r="Q125" s="40">
        <v>0</v>
      </c>
      <c r="R125" s="41"/>
      <c r="S125" s="40">
        <v>7200</v>
      </c>
      <c r="T125" s="40">
        <v>0</v>
      </c>
      <c r="U125" s="40">
        <v>10308.6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3000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36">
        <f t="shared" si="4"/>
        <v>0</v>
      </c>
      <c r="AH125"/>
      <c r="AI125" s="37"/>
      <c r="AK125" s="1"/>
      <c r="AL125" s="1"/>
    </row>
    <row r="126" spans="1:38" ht="15.6" customHeight="1" x14ac:dyDescent="0.3">
      <c r="A126" s="38">
        <v>1</v>
      </c>
      <c r="B126" s="38" t="s">
        <v>1008</v>
      </c>
      <c r="C126" s="38" t="s">
        <v>1026</v>
      </c>
      <c r="D126" s="39">
        <v>45805</v>
      </c>
      <c r="E126" s="38" t="s">
        <v>53</v>
      </c>
      <c r="F126" s="38" t="s">
        <v>199</v>
      </c>
      <c r="G126" s="40">
        <v>0</v>
      </c>
      <c r="H126" s="84">
        <v>49042.49</v>
      </c>
      <c r="I126" s="40">
        <v>7846.8</v>
      </c>
      <c r="J126" s="40">
        <f t="shared" si="5"/>
        <v>56889.29</v>
      </c>
      <c r="K126" s="40">
        <v>101831.99</v>
      </c>
      <c r="L126" s="40">
        <f t="shared" si="6"/>
        <v>-44942.700000000004</v>
      </c>
      <c r="M126" s="38" t="s">
        <v>35</v>
      </c>
      <c r="N126" s="54"/>
      <c r="O126" s="36"/>
      <c r="P126" s="40">
        <v>0</v>
      </c>
      <c r="Q126" s="40">
        <v>0</v>
      </c>
      <c r="R126" s="41"/>
      <c r="S126" s="40">
        <v>7200</v>
      </c>
      <c r="T126" s="40">
        <v>0</v>
      </c>
      <c r="U126" s="40">
        <v>38842.49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3000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36">
        <f t="shared" si="4"/>
        <v>0</v>
      </c>
      <c r="AH126"/>
      <c r="AI126" s="37"/>
      <c r="AK126" s="1"/>
      <c r="AL126" s="1"/>
    </row>
    <row r="127" spans="1:38" ht="15.6" customHeight="1" x14ac:dyDescent="0.3">
      <c r="A127" s="38">
        <v>1</v>
      </c>
      <c r="B127" s="38" t="s">
        <v>1009</v>
      </c>
      <c r="C127" s="38" t="s">
        <v>1027</v>
      </c>
      <c r="D127" s="39">
        <v>45805</v>
      </c>
      <c r="E127" s="38" t="s">
        <v>53</v>
      </c>
      <c r="F127" s="38" t="s">
        <v>199</v>
      </c>
      <c r="G127" s="40">
        <v>781</v>
      </c>
      <c r="H127" s="84">
        <v>36244.36</v>
      </c>
      <c r="I127" s="40">
        <v>5799.1</v>
      </c>
      <c r="J127" s="40">
        <f t="shared" si="5"/>
        <v>42824.46</v>
      </c>
      <c r="K127" s="40">
        <v>116232</v>
      </c>
      <c r="L127" s="40">
        <f t="shared" si="6"/>
        <v>-73407.540000000008</v>
      </c>
      <c r="M127" s="38" t="s">
        <v>35</v>
      </c>
      <c r="N127" s="54"/>
      <c r="O127" s="36"/>
      <c r="P127" s="40">
        <v>0</v>
      </c>
      <c r="Q127" s="40">
        <v>781</v>
      </c>
      <c r="R127" s="41"/>
      <c r="S127" s="40">
        <v>7200</v>
      </c>
      <c r="T127" s="40">
        <v>0</v>
      </c>
      <c r="U127" s="40">
        <v>26044.36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3000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36">
        <f t="shared" si="4"/>
        <v>0</v>
      </c>
      <c r="AH127"/>
      <c r="AI127" s="37"/>
      <c r="AK127" s="1"/>
      <c r="AL127" s="1"/>
    </row>
    <row r="128" spans="1:38" ht="15.6" customHeight="1" x14ac:dyDescent="0.3">
      <c r="A128" s="38">
        <v>1</v>
      </c>
      <c r="B128" s="38" t="s">
        <v>1010</v>
      </c>
      <c r="C128" s="38" t="s">
        <v>1028</v>
      </c>
      <c r="D128" s="39">
        <v>45805</v>
      </c>
      <c r="E128" s="38" t="s">
        <v>53</v>
      </c>
      <c r="F128" s="38" t="s">
        <v>199</v>
      </c>
      <c r="G128" s="40">
        <v>0</v>
      </c>
      <c r="H128" s="84">
        <v>29091.05</v>
      </c>
      <c r="I128" s="40">
        <v>4654.57</v>
      </c>
      <c r="J128" s="40">
        <f t="shared" si="5"/>
        <v>33745.619999999995</v>
      </c>
      <c r="K128" s="40">
        <v>101831.99</v>
      </c>
      <c r="L128" s="40">
        <f t="shared" si="6"/>
        <v>-68086.37000000001</v>
      </c>
      <c r="M128" s="38" t="s">
        <v>35</v>
      </c>
      <c r="N128" s="54"/>
      <c r="O128" s="36"/>
      <c r="P128" s="40">
        <v>0</v>
      </c>
      <c r="Q128" s="40">
        <v>0</v>
      </c>
      <c r="R128" s="41"/>
      <c r="S128" s="40">
        <v>7200</v>
      </c>
      <c r="T128" s="40">
        <v>0</v>
      </c>
      <c r="U128" s="40">
        <v>18891.05</v>
      </c>
      <c r="V128" s="40">
        <v>0</v>
      </c>
      <c r="W128" s="40">
        <v>0</v>
      </c>
      <c r="X128" s="40">
        <v>0</v>
      </c>
      <c r="Y128" s="40">
        <v>0</v>
      </c>
      <c r="Z128" s="40">
        <v>0</v>
      </c>
      <c r="AA128" s="40">
        <v>3000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36">
        <f t="shared" si="4"/>
        <v>0</v>
      </c>
      <c r="AH128"/>
      <c r="AI128" s="37"/>
      <c r="AK128" s="1"/>
      <c r="AL128" s="1"/>
    </row>
    <row r="129" spans="1:38" ht="15.6" customHeight="1" x14ac:dyDescent="0.3">
      <c r="A129" s="38">
        <v>1</v>
      </c>
      <c r="B129" s="38" t="s">
        <v>1011</v>
      </c>
      <c r="C129" s="38" t="s">
        <v>1029</v>
      </c>
      <c r="D129" s="39">
        <v>45805</v>
      </c>
      <c r="E129" s="38" t="s">
        <v>53</v>
      </c>
      <c r="F129" s="38" t="s">
        <v>199</v>
      </c>
      <c r="G129" s="40">
        <v>0</v>
      </c>
      <c r="H129" s="84">
        <v>36655.730000000003</v>
      </c>
      <c r="I129" s="40">
        <v>5864.92</v>
      </c>
      <c r="J129" s="40">
        <f t="shared" si="5"/>
        <v>42520.65</v>
      </c>
      <c r="K129" s="40">
        <v>93480</v>
      </c>
      <c r="L129" s="40">
        <f t="shared" si="6"/>
        <v>-50959.35</v>
      </c>
      <c r="M129" s="38" t="s">
        <v>35</v>
      </c>
      <c r="N129" s="54"/>
      <c r="O129" s="36"/>
      <c r="P129" s="40">
        <v>0</v>
      </c>
      <c r="Q129" s="40">
        <v>0</v>
      </c>
      <c r="R129" s="41"/>
      <c r="S129" s="40">
        <v>7200</v>
      </c>
      <c r="T129" s="40">
        <v>0</v>
      </c>
      <c r="U129" s="40">
        <v>26455.73</v>
      </c>
      <c r="V129" s="40">
        <v>0</v>
      </c>
      <c r="W129" s="40">
        <v>0</v>
      </c>
      <c r="X129" s="40">
        <v>0</v>
      </c>
      <c r="Y129" s="40">
        <v>0</v>
      </c>
      <c r="Z129" s="40">
        <v>0</v>
      </c>
      <c r="AA129" s="40">
        <v>3000</v>
      </c>
      <c r="AB129" s="40">
        <v>0</v>
      </c>
      <c r="AC129" s="40">
        <v>0</v>
      </c>
      <c r="AD129" s="40">
        <v>0</v>
      </c>
      <c r="AE129" s="40">
        <v>0</v>
      </c>
      <c r="AF129" s="40">
        <v>0</v>
      </c>
      <c r="AG129" s="36">
        <f t="shared" si="4"/>
        <v>0</v>
      </c>
      <c r="AH129"/>
      <c r="AI129" s="37"/>
      <c r="AK129" s="1"/>
      <c r="AL129" s="1"/>
    </row>
    <row r="130" spans="1:38" ht="15.6" customHeight="1" x14ac:dyDescent="0.3">
      <c r="A130" s="38">
        <v>1</v>
      </c>
      <c r="B130" s="38" t="s">
        <v>1012</v>
      </c>
      <c r="C130" s="38" t="s">
        <v>1030</v>
      </c>
      <c r="D130" s="39">
        <v>45805</v>
      </c>
      <c r="E130" s="38" t="s">
        <v>53</v>
      </c>
      <c r="F130" s="38" t="s">
        <v>199</v>
      </c>
      <c r="G130" s="40">
        <v>0</v>
      </c>
      <c r="H130" s="84">
        <v>21062.57</v>
      </c>
      <c r="I130" s="40">
        <v>3370.01</v>
      </c>
      <c r="J130" s="40">
        <f t="shared" si="5"/>
        <v>24432.58</v>
      </c>
      <c r="K130" s="40">
        <v>101832</v>
      </c>
      <c r="L130" s="40">
        <f t="shared" si="6"/>
        <v>-77399.42</v>
      </c>
      <c r="M130" s="38" t="s">
        <v>35</v>
      </c>
      <c r="N130" s="85"/>
      <c r="O130" s="36"/>
      <c r="P130" s="40">
        <v>0</v>
      </c>
      <c r="Q130" s="40">
        <v>0</v>
      </c>
      <c r="R130" s="41"/>
      <c r="S130" s="40">
        <v>7200</v>
      </c>
      <c r="T130" s="40">
        <v>0</v>
      </c>
      <c r="U130" s="40">
        <v>10862.57</v>
      </c>
      <c r="V130" s="40">
        <v>0</v>
      </c>
      <c r="W130" s="40">
        <v>0</v>
      </c>
      <c r="X130" s="40">
        <v>0</v>
      </c>
      <c r="Y130" s="40">
        <v>0</v>
      </c>
      <c r="Z130" s="40">
        <v>0</v>
      </c>
      <c r="AA130" s="40">
        <v>3000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36">
        <f t="shared" si="4"/>
        <v>0</v>
      </c>
      <c r="AH130"/>
      <c r="AI130" s="37"/>
      <c r="AK130" s="1"/>
      <c r="AL130" s="1"/>
    </row>
    <row r="131" spans="1:38" ht="15.6" customHeight="1" x14ac:dyDescent="0.3">
      <c r="A131" s="38">
        <v>1</v>
      </c>
      <c r="B131" s="38" t="s">
        <v>1036</v>
      </c>
      <c r="C131" s="38" t="s">
        <v>1048</v>
      </c>
      <c r="D131" s="39">
        <v>45806</v>
      </c>
      <c r="E131" s="38" t="s">
        <v>53</v>
      </c>
      <c r="F131" s="38" t="s">
        <v>199</v>
      </c>
      <c r="G131" s="40">
        <v>781</v>
      </c>
      <c r="H131" s="84">
        <v>15232.79</v>
      </c>
      <c r="I131" s="40">
        <v>2437.25</v>
      </c>
      <c r="J131" s="40">
        <f t="shared" si="5"/>
        <v>18451.04</v>
      </c>
      <c r="K131" s="40">
        <v>20664.650000000001</v>
      </c>
      <c r="L131" s="40">
        <f t="shared" si="6"/>
        <v>-2213.6100000000006</v>
      </c>
      <c r="M131" s="38" t="s">
        <v>35</v>
      </c>
      <c r="N131" s="54"/>
      <c r="O131" s="36"/>
      <c r="P131" s="40">
        <v>0</v>
      </c>
      <c r="Q131" s="40">
        <v>781</v>
      </c>
      <c r="R131" s="41"/>
      <c r="S131" s="40">
        <v>7012.08</v>
      </c>
      <c r="T131" s="40">
        <v>608.91999999999996</v>
      </c>
      <c r="U131" s="40">
        <v>3696.79</v>
      </c>
      <c r="V131" s="40">
        <v>0</v>
      </c>
      <c r="W131" s="40">
        <v>3915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36">
        <f t="shared" si="4"/>
        <v>0</v>
      </c>
      <c r="AH131"/>
      <c r="AI131" s="37"/>
      <c r="AK131" s="1"/>
      <c r="AL131" s="1"/>
    </row>
    <row r="132" spans="1:38" ht="15.6" customHeight="1" x14ac:dyDescent="0.3">
      <c r="A132" s="38">
        <v>1</v>
      </c>
      <c r="B132" s="38" t="s">
        <v>1037</v>
      </c>
      <c r="C132" s="38" t="s">
        <v>1049</v>
      </c>
      <c r="D132" s="39">
        <v>45806</v>
      </c>
      <c r="E132" s="38" t="s">
        <v>53</v>
      </c>
      <c r="F132" s="38" t="s">
        <v>199</v>
      </c>
      <c r="G132" s="40">
        <v>781</v>
      </c>
      <c r="H132" s="84">
        <v>12734.67</v>
      </c>
      <c r="I132" s="40">
        <v>2037.54</v>
      </c>
      <c r="J132" s="40">
        <f t="shared" si="5"/>
        <v>15553.21</v>
      </c>
      <c r="K132" s="40">
        <v>98915.01</v>
      </c>
      <c r="L132" s="40">
        <f t="shared" si="6"/>
        <v>-83361.799999999988</v>
      </c>
      <c r="M132" s="38" t="s">
        <v>35</v>
      </c>
      <c r="N132" s="54"/>
      <c r="O132" s="36"/>
      <c r="P132" s="40">
        <v>0</v>
      </c>
      <c r="Q132" s="40">
        <v>781</v>
      </c>
      <c r="R132" s="41"/>
      <c r="S132" s="40">
        <v>7012.08</v>
      </c>
      <c r="T132" s="40">
        <v>0</v>
      </c>
      <c r="U132" s="40">
        <v>5722.59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36">
        <f t="shared" si="4"/>
        <v>0</v>
      </c>
      <c r="AH132"/>
      <c r="AI132" s="37"/>
      <c r="AK132" s="1"/>
      <c r="AL132" s="1"/>
    </row>
    <row r="133" spans="1:38" ht="15.6" customHeight="1" x14ac:dyDescent="0.3">
      <c r="A133" s="38">
        <v>1</v>
      </c>
      <c r="B133" s="38" t="s">
        <v>1038</v>
      </c>
      <c r="C133" s="38" t="s">
        <v>1050</v>
      </c>
      <c r="D133" s="39">
        <v>45806</v>
      </c>
      <c r="E133" s="38" t="s">
        <v>53</v>
      </c>
      <c r="F133" s="38" t="s">
        <v>199</v>
      </c>
      <c r="G133" s="40">
        <v>781</v>
      </c>
      <c r="H133" s="84">
        <v>11772.39</v>
      </c>
      <c r="I133" s="40">
        <v>1883.58</v>
      </c>
      <c r="J133" s="40">
        <f t="shared" si="5"/>
        <v>14436.97</v>
      </c>
      <c r="K133" s="40">
        <v>98915.01</v>
      </c>
      <c r="L133" s="40">
        <f t="shared" si="6"/>
        <v>-84478.04</v>
      </c>
      <c r="M133" s="38" t="s">
        <v>35</v>
      </c>
      <c r="N133" s="54"/>
      <c r="O133" s="36"/>
      <c r="P133" s="40">
        <v>0</v>
      </c>
      <c r="Q133" s="40">
        <v>781</v>
      </c>
      <c r="R133" s="41"/>
      <c r="S133" s="40">
        <v>7012.08</v>
      </c>
      <c r="T133" s="40">
        <v>0</v>
      </c>
      <c r="U133" s="40">
        <v>4760.3100000000004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36">
        <f t="shared" si="4"/>
        <v>0</v>
      </c>
      <c r="AH133"/>
      <c r="AI133" s="37"/>
      <c r="AK133" s="1"/>
      <c r="AL133" s="1"/>
    </row>
    <row r="134" spans="1:38" ht="15.6" customHeight="1" x14ac:dyDescent="0.3">
      <c r="A134" s="38">
        <v>1</v>
      </c>
      <c r="B134" s="38" t="s">
        <v>1039</v>
      </c>
      <c r="C134" s="38" t="s">
        <v>1051</v>
      </c>
      <c r="D134" s="39">
        <v>45807</v>
      </c>
      <c r="E134" s="38" t="s">
        <v>53</v>
      </c>
      <c r="F134" s="38" t="s">
        <v>199</v>
      </c>
      <c r="G134" s="40">
        <v>109188</v>
      </c>
      <c r="H134" s="84">
        <v>21809.1</v>
      </c>
      <c r="I134" s="40">
        <v>3489.46</v>
      </c>
      <c r="J134" s="40">
        <f t="shared" si="5"/>
        <v>134486.56</v>
      </c>
      <c r="K134" s="40">
        <v>211019.99</v>
      </c>
      <c r="L134" s="40">
        <f t="shared" si="6"/>
        <v>-76533.429999999993</v>
      </c>
      <c r="M134" s="38" t="s">
        <v>35</v>
      </c>
      <c r="N134" s="54"/>
      <c r="O134" s="36"/>
      <c r="P134" s="40">
        <v>0</v>
      </c>
      <c r="Q134" s="40">
        <v>109188</v>
      </c>
      <c r="R134" s="41"/>
      <c r="S134" s="40">
        <v>7200</v>
      </c>
      <c r="T134" s="40">
        <v>0</v>
      </c>
      <c r="U134" s="40">
        <v>11609.1</v>
      </c>
      <c r="V134" s="40">
        <v>0</v>
      </c>
      <c r="W134" s="40">
        <v>0</v>
      </c>
      <c r="X134" s="40">
        <v>0</v>
      </c>
      <c r="Y134" s="40">
        <v>0</v>
      </c>
      <c r="Z134" s="40">
        <v>0</v>
      </c>
      <c r="AA134" s="40">
        <v>3000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36">
        <f t="shared" si="4"/>
        <v>0</v>
      </c>
      <c r="AH134"/>
      <c r="AI134" s="37"/>
      <c r="AK134" s="1"/>
      <c r="AL134" s="1"/>
    </row>
    <row r="135" spans="1:38" ht="15.6" customHeight="1" x14ac:dyDescent="0.3">
      <c r="A135" s="38">
        <v>1</v>
      </c>
      <c r="B135" s="38" t="s">
        <v>1040</v>
      </c>
      <c r="C135" s="38" t="s">
        <v>1052</v>
      </c>
      <c r="D135" s="39">
        <v>45807</v>
      </c>
      <c r="E135" s="38" t="s">
        <v>22</v>
      </c>
      <c r="F135" s="38" t="s">
        <v>45</v>
      </c>
      <c r="G135" s="40">
        <v>5994</v>
      </c>
      <c r="H135" s="84">
        <v>43500</v>
      </c>
      <c r="I135" s="40">
        <v>6960</v>
      </c>
      <c r="J135" s="40">
        <f t="shared" si="5"/>
        <v>56454</v>
      </c>
      <c r="K135" s="40">
        <v>56458</v>
      </c>
      <c r="L135" s="40">
        <f t="shared" si="6"/>
        <v>-4</v>
      </c>
      <c r="M135" s="38" t="s">
        <v>35</v>
      </c>
      <c r="N135" s="54"/>
      <c r="O135" s="36"/>
      <c r="P135" s="40">
        <v>0</v>
      </c>
      <c r="Q135" s="40">
        <v>5994</v>
      </c>
      <c r="R135" s="41"/>
      <c r="S135" s="40">
        <v>6000</v>
      </c>
      <c r="T135" s="40">
        <v>1500</v>
      </c>
      <c r="U135" s="40">
        <v>16000</v>
      </c>
      <c r="V135" s="40">
        <v>0</v>
      </c>
      <c r="W135" s="40">
        <v>20000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36">
        <f t="shared" si="4"/>
        <v>0</v>
      </c>
      <c r="AH135"/>
      <c r="AI135" s="37"/>
      <c r="AK135" s="1"/>
      <c r="AL135" s="1"/>
    </row>
    <row r="136" spans="1:38" ht="15.6" customHeight="1" x14ac:dyDescent="0.3">
      <c r="A136" s="38">
        <v>2</v>
      </c>
      <c r="B136" s="38" t="s">
        <v>1041</v>
      </c>
      <c r="C136" s="38" t="s">
        <v>1053</v>
      </c>
      <c r="D136" s="39">
        <v>45807</v>
      </c>
      <c r="E136" s="38" t="s">
        <v>22</v>
      </c>
      <c r="F136" s="38" t="s">
        <v>45</v>
      </c>
      <c r="G136" s="40">
        <v>781</v>
      </c>
      <c r="H136" s="84">
        <v>4200</v>
      </c>
      <c r="I136" s="40">
        <v>672</v>
      </c>
      <c r="J136" s="40">
        <f t="shared" si="5"/>
        <v>5653</v>
      </c>
      <c r="K136" s="40">
        <v>5653</v>
      </c>
      <c r="L136" s="40">
        <f t="shared" si="6"/>
        <v>0</v>
      </c>
      <c r="M136" s="38" t="s">
        <v>35</v>
      </c>
      <c r="N136" s="54"/>
      <c r="O136" s="36"/>
      <c r="P136" s="40">
        <v>0</v>
      </c>
      <c r="Q136" s="40">
        <v>781</v>
      </c>
      <c r="R136" s="41"/>
      <c r="S136" s="40">
        <v>4200</v>
      </c>
      <c r="T136" s="40">
        <v>0</v>
      </c>
      <c r="U136" s="40">
        <v>0</v>
      </c>
      <c r="V136" s="40">
        <v>0</v>
      </c>
      <c r="W136" s="40">
        <v>0</v>
      </c>
      <c r="X136" s="40">
        <v>0</v>
      </c>
      <c r="Y136" s="40">
        <v>0</v>
      </c>
      <c r="Z136" s="40">
        <v>0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36">
        <f t="shared" si="4"/>
        <v>0</v>
      </c>
      <c r="AH136"/>
      <c r="AI136" s="37"/>
      <c r="AK136" s="1"/>
      <c r="AL136" s="1"/>
    </row>
    <row r="137" spans="1:38" ht="15.6" customHeight="1" x14ac:dyDescent="0.3">
      <c r="A137" s="38">
        <v>2</v>
      </c>
      <c r="B137" s="38" t="s">
        <v>1042</v>
      </c>
      <c r="C137" s="38" t="s">
        <v>1054</v>
      </c>
      <c r="D137" s="39">
        <v>45807</v>
      </c>
      <c r="E137" s="38" t="s">
        <v>198</v>
      </c>
      <c r="F137" s="38" t="s">
        <v>200</v>
      </c>
      <c r="G137" s="40">
        <v>0</v>
      </c>
      <c r="H137" s="84">
        <v>22000</v>
      </c>
      <c r="I137" s="40">
        <v>3520</v>
      </c>
      <c r="J137" s="40">
        <f t="shared" si="5"/>
        <v>25520</v>
      </c>
      <c r="K137" s="40">
        <v>0</v>
      </c>
      <c r="L137" s="40">
        <f t="shared" si="6"/>
        <v>25520</v>
      </c>
      <c r="M137" s="38" t="s">
        <v>35</v>
      </c>
      <c r="N137" s="54"/>
      <c r="O137" s="36"/>
      <c r="P137" s="40">
        <v>0</v>
      </c>
      <c r="Q137" s="40">
        <v>0</v>
      </c>
      <c r="R137" s="41"/>
      <c r="S137" s="40">
        <v>0</v>
      </c>
      <c r="T137" s="40">
        <v>0</v>
      </c>
      <c r="U137" s="40">
        <v>0</v>
      </c>
      <c r="V137" s="40">
        <v>0</v>
      </c>
      <c r="W137" s="40">
        <v>22000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36">
        <f t="shared" si="4"/>
        <v>0</v>
      </c>
      <c r="AH137"/>
      <c r="AI137" s="37"/>
      <c r="AK137" s="1"/>
      <c r="AL137" s="1"/>
    </row>
    <row r="138" spans="1:38" ht="15.6" customHeight="1" x14ac:dyDescent="0.3">
      <c r="A138" s="38">
        <v>2</v>
      </c>
      <c r="B138" s="38" t="s">
        <v>1043</v>
      </c>
      <c r="C138" s="38" t="s">
        <v>1055</v>
      </c>
      <c r="D138" s="39">
        <v>45807</v>
      </c>
      <c r="E138" s="38" t="s">
        <v>198</v>
      </c>
      <c r="F138" s="38" t="s">
        <v>200</v>
      </c>
      <c r="G138" s="40">
        <v>0</v>
      </c>
      <c r="H138" s="84">
        <v>22000</v>
      </c>
      <c r="I138" s="40">
        <v>3520</v>
      </c>
      <c r="J138" s="40">
        <f t="shared" si="5"/>
        <v>25520</v>
      </c>
      <c r="K138" s="40">
        <v>0</v>
      </c>
      <c r="L138" s="40">
        <f t="shared" si="6"/>
        <v>25520</v>
      </c>
      <c r="M138" s="38" t="s">
        <v>35</v>
      </c>
      <c r="N138" s="54"/>
      <c r="O138" s="36"/>
      <c r="P138" s="40">
        <v>0</v>
      </c>
      <c r="Q138" s="40">
        <v>0</v>
      </c>
      <c r="R138" s="41"/>
      <c r="S138" s="40">
        <v>0</v>
      </c>
      <c r="T138" s="40">
        <v>0</v>
      </c>
      <c r="U138" s="40">
        <v>0</v>
      </c>
      <c r="V138" s="40">
        <v>0</v>
      </c>
      <c r="W138" s="40">
        <v>22000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36">
        <f t="shared" si="4"/>
        <v>0</v>
      </c>
      <c r="AH138"/>
      <c r="AI138" s="37"/>
      <c r="AK138" s="1"/>
      <c r="AL138" s="1"/>
    </row>
    <row r="139" spans="1:38" ht="15.6" customHeight="1" x14ac:dyDescent="0.3">
      <c r="A139" s="38">
        <v>2</v>
      </c>
      <c r="B139" s="38" t="s">
        <v>1044</v>
      </c>
      <c r="C139" s="38" t="s">
        <v>1056</v>
      </c>
      <c r="D139" s="39">
        <v>45807</v>
      </c>
      <c r="E139" s="38" t="s">
        <v>198</v>
      </c>
      <c r="F139" s="38" t="s">
        <v>200</v>
      </c>
      <c r="G139" s="40">
        <v>0</v>
      </c>
      <c r="H139" s="84">
        <v>22000</v>
      </c>
      <c r="I139" s="40">
        <v>3520</v>
      </c>
      <c r="J139" s="40">
        <f t="shared" si="5"/>
        <v>25520</v>
      </c>
      <c r="K139" s="40">
        <v>25520</v>
      </c>
      <c r="L139" s="40">
        <f t="shared" si="6"/>
        <v>0</v>
      </c>
      <c r="M139" s="38" t="s">
        <v>35</v>
      </c>
      <c r="N139" s="54"/>
      <c r="O139" s="36"/>
      <c r="P139" s="40">
        <v>0</v>
      </c>
      <c r="Q139" s="40">
        <v>0</v>
      </c>
      <c r="R139" s="41"/>
      <c r="S139" s="40">
        <v>0</v>
      </c>
      <c r="T139" s="40">
        <v>0</v>
      </c>
      <c r="U139" s="40">
        <v>0</v>
      </c>
      <c r="V139" s="40">
        <v>0</v>
      </c>
      <c r="W139" s="40">
        <v>22000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36">
        <f t="shared" si="4"/>
        <v>0</v>
      </c>
      <c r="AH139"/>
      <c r="AI139" s="37"/>
      <c r="AK139" s="1"/>
      <c r="AL139" s="1"/>
    </row>
    <row r="140" spans="1:38" ht="15.6" customHeight="1" x14ac:dyDescent="0.3">
      <c r="A140" s="38">
        <v>2</v>
      </c>
      <c r="B140" s="38" t="s">
        <v>1045</v>
      </c>
      <c r="C140" s="38" t="s">
        <v>1057</v>
      </c>
      <c r="D140" s="39">
        <v>45807</v>
      </c>
      <c r="E140" s="38" t="s">
        <v>198</v>
      </c>
      <c r="F140" s="38" t="s">
        <v>200</v>
      </c>
      <c r="G140" s="40">
        <v>0</v>
      </c>
      <c r="H140" s="84">
        <v>22000</v>
      </c>
      <c r="I140" s="40">
        <v>3520</v>
      </c>
      <c r="J140" s="40">
        <f t="shared" si="5"/>
        <v>25520</v>
      </c>
      <c r="K140" s="40">
        <v>25520</v>
      </c>
      <c r="L140" s="40">
        <f t="shared" si="6"/>
        <v>0</v>
      </c>
      <c r="M140" s="38" t="s">
        <v>35</v>
      </c>
      <c r="N140" s="54"/>
      <c r="O140" s="36"/>
      <c r="P140" s="40">
        <v>0</v>
      </c>
      <c r="Q140" s="40">
        <v>0</v>
      </c>
      <c r="R140" s="41"/>
      <c r="S140" s="40">
        <v>0</v>
      </c>
      <c r="T140" s="40">
        <v>0</v>
      </c>
      <c r="U140" s="40">
        <v>0</v>
      </c>
      <c r="V140" s="40">
        <v>0</v>
      </c>
      <c r="W140" s="40">
        <v>22000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36">
        <f t="shared" si="4"/>
        <v>0</v>
      </c>
      <c r="AH140"/>
      <c r="AI140" s="37"/>
      <c r="AK140" s="1"/>
      <c r="AL140" s="1"/>
    </row>
    <row r="141" spans="1:38" ht="15.6" customHeight="1" x14ac:dyDescent="0.3">
      <c r="A141" s="38">
        <v>2</v>
      </c>
      <c r="B141" s="38" t="s">
        <v>1046</v>
      </c>
      <c r="C141" s="38" t="s">
        <v>1058</v>
      </c>
      <c r="D141" s="39">
        <v>45807</v>
      </c>
      <c r="E141" s="38" t="s">
        <v>22</v>
      </c>
      <c r="F141" s="38" t="s">
        <v>45</v>
      </c>
      <c r="G141" s="40">
        <v>14174</v>
      </c>
      <c r="H141" s="84">
        <v>4200</v>
      </c>
      <c r="I141" s="40">
        <v>672</v>
      </c>
      <c r="J141" s="40">
        <f t="shared" si="5"/>
        <v>19046</v>
      </c>
      <c r="K141" s="40">
        <v>19046</v>
      </c>
      <c r="L141" s="40">
        <f t="shared" si="6"/>
        <v>0</v>
      </c>
      <c r="M141" s="38" t="s">
        <v>35</v>
      </c>
      <c r="N141" s="54"/>
      <c r="O141" s="36"/>
      <c r="P141" s="40">
        <v>0</v>
      </c>
      <c r="Q141" s="40">
        <v>14174</v>
      </c>
      <c r="R141" s="41"/>
      <c r="S141" s="40">
        <v>4200</v>
      </c>
      <c r="T141" s="40">
        <v>0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36">
        <f t="shared" si="4"/>
        <v>0</v>
      </c>
      <c r="AH141"/>
      <c r="AI141" s="37"/>
      <c r="AK141" s="1"/>
      <c r="AL141" s="1"/>
    </row>
    <row r="142" spans="1:38" ht="15.6" customHeight="1" x14ac:dyDescent="0.3">
      <c r="A142" s="38">
        <v>1</v>
      </c>
      <c r="B142" s="38" t="s">
        <v>1047</v>
      </c>
      <c r="C142" s="38" t="s">
        <v>1059</v>
      </c>
      <c r="D142" s="39">
        <v>45808</v>
      </c>
      <c r="E142" s="38" t="s">
        <v>223</v>
      </c>
      <c r="F142" s="38" t="s">
        <v>219</v>
      </c>
      <c r="G142" s="40">
        <v>7941</v>
      </c>
      <c r="H142" s="84">
        <v>19500</v>
      </c>
      <c r="I142" s="40">
        <v>3120</v>
      </c>
      <c r="J142" s="40">
        <f t="shared" si="5"/>
        <v>30561</v>
      </c>
      <c r="K142" s="40">
        <v>31174.23</v>
      </c>
      <c r="L142" s="40">
        <f t="shared" si="6"/>
        <v>-613.22999999999956</v>
      </c>
      <c r="M142" s="38" t="s">
        <v>35</v>
      </c>
      <c r="N142" s="54"/>
      <c r="O142" s="36"/>
      <c r="P142" s="40">
        <v>0</v>
      </c>
      <c r="Q142" s="40">
        <v>7941</v>
      </c>
      <c r="R142" s="41"/>
      <c r="S142" s="40">
        <v>6500</v>
      </c>
      <c r="T142" s="40">
        <v>1500</v>
      </c>
      <c r="U142" s="40">
        <v>9300</v>
      </c>
      <c r="V142" s="40">
        <v>0</v>
      </c>
      <c r="W142" s="40">
        <v>2200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36">
        <f t="shared" si="4"/>
        <v>0</v>
      </c>
      <c r="AH142"/>
      <c r="AI142" s="37"/>
      <c r="AK142" s="1"/>
      <c r="AL142" s="1"/>
    </row>
    <row r="143" spans="1:38" ht="15.6" customHeight="1" x14ac:dyDescent="0.3">
      <c r="A143" s="38"/>
      <c r="B143" s="38"/>
      <c r="C143" s="38"/>
      <c r="D143" s="39"/>
      <c r="E143" s="38"/>
      <c r="F143" s="38"/>
      <c r="G143" s="40"/>
      <c r="H143" s="84"/>
      <c r="I143" s="40"/>
      <c r="J143" s="40">
        <f t="shared" si="5"/>
        <v>0</v>
      </c>
      <c r="K143" s="40"/>
      <c r="L143" s="40">
        <f t="shared" si="6"/>
        <v>0</v>
      </c>
      <c r="M143" s="38" t="s">
        <v>35</v>
      </c>
      <c r="N143" s="54"/>
      <c r="O143" s="36"/>
      <c r="P143" s="40">
        <v>0</v>
      </c>
      <c r="Q143" s="40">
        <v>0</v>
      </c>
      <c r="R143" s="41"/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36">
        <f t="shared" si="4"/>
        <v>0</v>
      </c>
      <c r="AH143"/>
      <c r="AI143" s="37"/>
      <c r="AK143" s="1"/>
      <c r="AL143" s="1"/>
    </row>
    <row r="144" spans="1:38" ht="15.6" customHeight="1" x14ac:dyDescent="0.3">
      <c r="A144" s="38"/>
      <c r="B144" s="38"/>
      <c r="C144" s="38"/>
      <c r="D144" s="39"/>
      <c r="E144" s="38"/>
      <c r="F144" s="38"/>
      <c r="G144" s="40"/>
      <c r="H144" s="84"/>
      <c r="I144" s="40"/>
      <c r="J144" s="40">
        <f t="shared" si="5"/>
        <v>0</v>
      </c>
      <c r="K144" s="40"/>
      <c r="L144" s="40">
        <f t="shared" si="6"/>
        <v>0</v>
      </c>
      <c r="M144" s="38" t="s">
        <v>35</v>
      </c>
      <c r="N144" s="54"/>
      <c r="O144" s="36"/>
      <c r="P144" s="40">
        <v>0</v>
      </c>
      <c r="Q144" s="40">
        <v>0</v>
      </c>
      <c r="R144" s="41"/>
      <c r="S144" s="40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36">
        <f t="shared" si="4"/>
        <v>0</v>
      </c>
      <c r="AH144"/>
      <c r="AI144" s="37"/>
      <c r="AK144" s="1"/>
      <c r="AL144" s="1"/>
    </row>
    <row r="145" spans="1:40" x14ac:dyDescent="0.3">
      <c r="A145" s="50"/>
      <c r="B145" s="38"/>
      <c r="C145" s="50"/>
      <c r="D145" s="39"/>
      <c r="E145" s="38"/>
      <c r="F145" s="38"/>
      <c r="G145" s="40"/>
      <c r="H145" s="40"/>
      <c r="I145" s="40"/>
      <c r="J145" s="40">
        <f t="shared" si="5"/>
        <v>0</v>
      </c>
      <c r="K145" s="40"/>
      <c r="L145" s="40">
        <f t="shared" si="6"/>
        <v>0</v>
      </c>
      <c r="M145" s="38" t="s">
        <v>35</v>
      </c>
      <c r="N145" s="54"/>
      <c r="O145" s="36"/>
      <c r="P145" s="40">
        <v>0</v>
      </c>
      <c r="Q145" s="40">
        <v>0</v>
      </c>
      <c r="R145" s="41"/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36">
        <f t="shared" si="4"/>
        <v>0</v>
      </c>
      <c r="AH145"/>
    </row>
    <row r="146" spans="1:40" ht="15" thickBot="1" x14ac:dyDescent="0.35">
      <c r="G146" s="16">
        <f t="shared" ref="G146:L146" si="9">+SUM(G2:G145)</f>
        <v>531303</v>
      </c>
      <c r="H146" s="16">
        <f t="shared" si="9"/>
        <v>4872177.4800000014</v>
      </c>
      <c r="I146" s="16">
        <f t="shared" si="9"/>
        <v>683767.12000000023</v>
      </c>
      <c r="J146" s="16">
        <f t="shared" si="9"/>
        <v>6087247.6000000015</v>
      </c>
      <c r="K146" s="16">
        <f t="shared" si="9"/>
        <v>7093715.6000000006</v>
      </c>
      <c r="L146" s="16">
        <f t="shared" si="9"/>
        <v>-1006468</v>
      </c>
      <c r="P146" s="16">
        <f>+SUM(P2:P145)</f>
        <v>0</v>
      </c>
      <c r="Q146" s="16">
        <f>+SUM(Q2:Q145)</f>
        <v>531303</v>
      </c>
      <c r="S146" s="16">
        <f t="shared" ref="S146:AG146" si="10">+SUM(S2:S145)</f>
        <v>878883.87999999989</v>
      </c>
      <c r="T146" s="16">
        <f t="shared" si="10"/>
        <v>11678.2</v>
      </c>
      <c r="U146" s="16">
        <f t="shared" si="10"/>
        <v>2196733.4099999997</v>
      </c>
      <c r="V146" s="16">
        <f t="shared" si="10"/>
        <v>596041.34</v>
      </c>
      <c r="W146" s="16">
        <f t="shared" si="10"/>
        <v>968259.44000000006</v>
      </c>
      <c r="X146" s="16">
        <f t="shared" si="10"/>
        <v>1550.25</v>
      </c>
      <c r="Y146" s="16">
        <f t="shared" si="10"/>
        <v>6000</v>
      </c>
      <c r="Z146" s="16">
        <f t="shared" si="10"/>
        <v>15750</v>
      </c>
      <c r="AA146" s="16">
        <f t="shared" si="10"/>
        <v>110000</v>
      </c>
      <c r="AB146" s="16">
        <f t="shared" si="10"/>
        <v>45715</v>
      </c>
      <c r="AC146" s="16">
        <f t="shared" si="10"/>
        <v>25285.31</v>
      </c>
      <c r="AD146" s="16">
        <f t="shared" si="10"/>
        <v>13055.65</v>
      </c>
      <c r="AE146" s="16">
        <f t="shared" si="10"/>
        <v>1425</v>
      </c>
      <c r="AF146" s="16">
        <f t="shared" si="10"/>
        <v>1800</v>
      </c>
      <c r="AG146" s="47">
        <f t="shared" si="10"/>
        <v>0</v>
      </c>
      <c r="AH146"/>
    </row>
    <row r="147" spans="1:40" ht="15" thickTop="1" x14ac:dyDescent="0.3"/>
    <row r="148" spans="1:40" x14ac:dyDescent="0.3">
      <c r="Q148" s="1">
        <f>+G146-Q146</f>
        <v>0</v>
      </c>
    </row>
    <row r="149" spans="1:40" x14ac:dyDescent="0.3">
      <c r="M149" s="46"/>
    </row>
    <row r="150" spans="1:40" x14ac:dyDescent="0.3">
      <c r="D150"/>
      <c r="E150" s="49"/>
      <c r="F150" s="14"/>
      <c r="H150" s="21" t="s">
        <v>25</v>
      </c>
      <c r="I150" s="21" t="s">
        <v>26</v>
      </c>
      <c r="J150" s="21" t="s">
        <v>27</v>
      </c>
      <c r="K150" s="21" t="s">
        <v>28</v>
      </c>
    </row>
    <row r="151" spans="1:40" x14ac:dyDescent="0.3">
      <c r="B151" s="14" t="s">
        <v>30</v>
      </c>
      <c r="D151" s="15">
        <f>+H146+'MAY USD '!N19</f>
        <v>5227952.7911800016</v>
      </c>
      <c r="G151" s="14" t="s">
        <v>23</v>
      </c>
      <c r="H151" s="1">
        <f>+H146-I151</f>
        <v>4273544.2700000014</v>
      </c>
      <c r="I151" s="1">
        <f>+H27+H79+H124+H85</f>
        <v>598633.21</v>
      </c>
      <c r="J151" s="1">
        <f>+H151*0.16</f>
        <v>683767.08320000023</v>
      </c>
      <c r="K151" s="1">
        <f>+SUM(H151:J151)</f>
        <v>5555944.5632000016</v>
      </c>
      <c r="M151" s="46"/>
    </row>
    <row r="152" spans="1:40" x14ac:dyDescent="0.3">
      <c r="A152" s="22" t="s">
        <v>32</v>
      </c>
      <c r="B152" s="14" t="s">
        <v>31</v>
      </c>
      <c r="D152" s="15">
        <f>+H155</f>
        <v>5227952.7911800016</v>
      </c>
      <c r="G152" s="14" t="s">
        <v>24</v>
      </c>
      <c r="H152" s="1">
        <f>+'MAY USD '!N22</f>
        <v>8582.119999999999</v>
      </c>
      <c r="I152" s="1">
        <f>+'MAY USD '!N23</f>
        <v>347193.19118000002</v>
      </c>
      <c r="J152" s="1">
        <f>+H152*0.16</f>
        <v>1373.1391999999998</v>
      </c>
      <c r="K152" s="1">
        <f>+SUM(H152:J152)</f>
        <v>357148.45037999999</v>
      </c>
    </row>
    <row r="153" spans="1:40" ht="15" thickBot="1" x14ac:dyDescent="0.35">
      <c r="A153" s="22" t="s">
        <v>33</v>
      </c>
      <c r="B153" s="14" t="s">
        <v>34</v>
      </c>
      <c r="D153" s="20">
        <f>+D151-D152</f>
        <v>0</v>
      </c>
      <c r="E153" s="35"/>
      <c r="H153" s="20">
        <f>+SUM(H151:H152)</f>
        <v>4282126.3900000015</v>
      </c>
      <c r="I153" s="20">
        <f t="shared" ref="I153:J153" si="11">+SUM(I151:I152)</f>
        <v>945826.40118000004</v>
      </c>
      <c r="J153" s="20">
        <f t="shared" si="11"/>
        <v>685140.2224000002</v>
      </c>
      <c r="K153" s="20">
        <f>+SUM(K151:K152)</f>
        <v>5913093.0135800019</v>
      </c>
      <c r="AN153" s="1"/>
    </row>
    <row r="154" spans="1:40" ht="15" thickTop="1" x14ac:dyDescent="0.3">
      <c r="D154"/>
      <c r="AN154" s="1"/>
    </row>
    <row r="155" spans="1:40" x14ac:dyDescent="0.3">
      <c r="D155" s="33"/>
      <c r="G155" s="14" t="s">
        <v>29</v>
      </c>
      <c r="H155" s="15">
        <f>+H153+I153</f>
        <v>5227952.7911800016</v>
      </c>
      <c r="AN155" s="1"/>
    </row>
    <row r="156" spans="1:40" x14ac:dyDescent="0.3">
      <c r="D156" s="33"/>
      <c r="G156" s="14"/>
      <c r="H156" s="15"/>
      <c r="AN156" s="1"/>
    </row>
    <row r="157" spans="1:40" x14ac:dyDescent="0.3">
      <c r="D157" s="33"/>
      <c r="G157" s="14"/>
      <c r="H157" s="15"/>
    </row>
    <row r="158" spans="1:40" x14ac:dyDescent="0.3">
      <c r="D158" s="33"/>
      <c r="G158" s="14"/>
      <c r="H158" s="15"/>
    </row>
    <row r="159" spans="1:40" x14ac:dyDescent="0.3">
      <c r="D159" s="33"/>
      <c r="G159" s="14"/>
      <c r="H159" s="15"/>
    </row>
    <row r="160" spans="1:40" s="1" customFormat="1" x14ac:dyDescent="0.3">
      <c r="A160"/>
      <c r="B160"/>
      <c r="C160"/>
      <c r="D160" s="33"/>
      <c r="E160"/>
      <c r="F160"/>
      <c r="G160" s="14"/>
      <c r="H160" s="15"/>
      <c r="M160"/>
      <c r="N160"/>
      <c r="O160"/>
      <c r="R160"/>
      <c r="AK160"/>
      <c r="AL160"/>
      <c r="AM160"/>
      <c r="AN160"/>
    </row>
    <row r="161" spans="1:40" s="1" customFormat="1" x14ac:dyDescent="0.3">
      <c r="A161"/>
      <c r="B161"/>
      <c r="C161"/>
      <c r="D161" s="33"/>
      <c r="E161"/>
      <c r="F161"/>
      <c r="G161" s="14"/>
      <c r="H161" s="15"/>
      <c r="M161"/>
      <c r="N161"/>
      <c r="O161"/>
      <c r="R161"/>
      <c r="AK161"/>
      <c r="AL161"/>
      <c r="AM161"/>
      <c r="AN161"/>
    </row>
    <row r="162" spans="1:40" s="1" customFormat="1" x14ac:dyDescent="0.3">
      <c r="A162"/>
      <c r="B162"/>
      <c r="C162"/>
      <c r="D162" s="33"/>
      <c r="E162"/>
      <c r="F162"/>
      <c r="G162" s="14"/>
      <c r="H162" s="15"/>
      <c r="M162"/>
      <c r="N162"/>
      <c r="O162"/>
      <c r="R162"/>
      <c r="AK162"/>
      <c r="AL162"/>
      <c r="AM162"/>
      <c r="AN162"/>
    </row>
    <row r="163" spans="1:40" s="1" customFormat="1" x14ac:dyDescent="0.3">
      <c r="A163"/>
      <c r="B163"/>
      <c r="C163"/>
      <c r="D163" s="33"/>
      <c r="E163"/>
      <c r="F163"/>
      <c r="G163" s="14"/>
      <c r="H163" s="15"/>
      <c r="M163"/>
      <c r="N163"/>
      <c r="O163"/>
      <c r="R163"/>
      <c r="AK163"/>
      <c r="AL163"/>
      <c r="AM163"/>
      <c r="AN163"/>
    </row>
  </sheetData>
  <autoFilter ref="A1:AK146" xr:uid="{6D9A6E66-117A-42D1-8872-A55637CA45F1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10C4-4C5A-4747-89F7-B0803D9C926D}">
  <sheetPr>
    <tabColor rgb="FF0070C0"/>
  </sheetPr>
  <dimension ref="A1:AH27"/>
  <sheetViews>
    <sheetView zoomScale="90" zoomScaleNormal="90" workbookViewId="0">
      <pane xSplit="2" ySplit="2" topLeftCell="C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794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241</v>
      </c>
      <c r="W2" s="5" t="s">
        <v>54</v>
      </c>
      <c r="X2" s="5" t="s">
        <v>1</v>
      </c>
      <c r="Y2" s="5" t="s">
        <v>769</v>
      </c>
      <c r="Z2" s="5" t="s">
        <v>396</v>
      </c>
      <c r="AA2" s="8"/>
      <c r="AB2" s="5" t="s">
        <v>60</v>
      </c>
      <c r="AC2" s="5" t="s">
        <v>241</v>
      </c>
      <c r="AD2" s="5" t="s">
        <v>54</v>
      </c>
      <c r="AE2" s="5" t="s">
        <v>1</v>
      </c>
      <c r="AF2" s="5" t="s">
        <v>769</v>
      </c>
      <c r="AG2" s="5" t="s">
        <v>396</v>
      </c>
    </row>
    <row r="3" spans="1:34" x14ac:dyDescent="0.3">
      <c r="A3" s="82">
        <v>1</v>
      </c>
      <c r="B3" s="19" t="s">
        <v>795</v>
      </c>
      <c r="C3" s="2" t="s">
        <v>793</v>
      </c>
      <c r="D3" s="27">
        <v>45785</v>
      </c>
      <c r="E3" s="19" t="s">
        <v>40</v>
      </c>
      <c r="F3" s="2" t="s">
        <v>41</v>
      </c>
      <c r="G3" s="13">
        <v>0</v>
      </c>
      <c r="H3" s="13">
        <f>2282+1587.6</f>
        <v>3869.6</v>
      </c>
      <c r="I3" s="13">
        <v>0</v>
      </c>
      <c r="J3" s="13">
        <f>SUM(G3:I3)</f>
        <v>3869.6</v>
      </c>
      <c r="K3" s="13">
        <v>0</v>
      </c>
      <c r="L3" s="13">
        <f>J3-K3</f>
        <v>3869.6</v>
      </c>
      <c r="M3" s="18">
        <v>19.588000000000001</v>
      </c>
      <c r="N3" s="3">
        <f t="shared" ref="N3:N18" si="0">H3*M3</f>
        <v>75797.724799999996</v>
      </c>
      <c r="O3" s="3">
        <f>I3*M3</f>
        <v>0</v>
      </c>
      <c r="P3" s="3">
        <f>J3*M3</f>
        <v>75797.724799999996</v>
      </c>
      <c r="Q3" s="3">
        <f>M3*K3</f>
        <v>0</v>
      </c>
      <c r="R3" s="3">
        <f>L3*M3</f>
        <v>75797.724799999996</v>
      </c>
      <c r="S3" s="48"/>
      <c r="T3" s="44"/>
      <c r="U3" s="3">
        <v>2282</v>
      </c>
      <c r="V3" s="3">
        <v>0</v>
      </c>
      <c r="W3" s="3">
        <v>0</v>
      </c>
      <c r="X3" s="3">
        <v>0</v>
      </c>
      <c r="Y3" s="3">
        <v>1587.6</v>
      </c>
      <c r="Z3" s="3">
        <v>0</v>
      </c>
      <c r="AB3" s="3">
        <f>U3*M3</f>
        <v>44699.815999999999</v>
      </c>
      <c r="AC3" s="3">
        <f>+V3*M3</f>
        <v>0</v>
      </c>
      <c r="AD3" s="60">
        <f>+M3*W3</f>
        <v>0</v>
      </c>
      <c r="AE3" s="3">
        <f>+X3*M3</f>
        <v>0</v>
      </c>
      <c r="AF3" s="3">
        <f>+Y3*M3</f>
        <v>31097.908800000001</v>
      </c>
      <c r="AG3" s="3">
        <f>+Z3*M3</f>
        <v>0</v>
      </c>
      <c r="AH3" s="46"/>
    </row>
    <row r="4" spans="1:34" x14ac:dyDescent="0.3">
      <c r="A4" s="82">
        <v>1</v>
      </c>
      <c r="B4" s="19" t="s">
        <v>796</v>
      </c>
      <c r="C4" s="2" t="s">
        <v>767</v>
      </c>
      <c r="D4" s="27">
        <v>45785</v>
      </c>
      <c r="E4" s="19" t="s">
        <v>242</v>
      </c>
      <c r="F4" s="2" t="s">
        <v>240</v>
      </c>
      <c r="G4" s="13">
        <v>0</v>
      </c>
      <c r="H4" s="13">
        <v>75</v>
      </c>
      <c r="I4" s="13">
        <v>0</v>
      </c>
      <c r="J4" s="13">
        <f t="shared" ref="J4:J18" si="1">SUM(G4:I4)</f>
        <v>75</v>
      </c>
      <c r="K4" s="13">
        <v>0</v>
      </c>
      <c r="L4" s="13">
        <f>J4-K4</f>
        <v>75</v>
      </c>
      <c r="M4" s="18">
        <v>19.588000000000001</v>
      </c>
      <c r="N4" s="3">
        <f t="shared" si="0"/>
        <v>1469.1000000000001</v>
      </c>
      <c r="O4" s="3">
        <f>I4*M4</f>
        <v>0</v>
      </c>
      <c r="P4" s="3">
        <f>J4*M4</f>
        <v>1469.1000000000001</v>
      </c>
      <c r="Q4" s="3">
        <f>M4*K4</f>
        <v>0</v>
      </c>
      <c r="R4" s="3">
        <f>L4*M4</f>
        <v>1469.1000000000001</v>
      </c>
      <c r="S4" s="48"/>
      <c r="T4" s="44"/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75</v>
      </c>
      <c r="AB4" s="3">
        <f>U4*M4</f>
        <v>0</v>
      </c>
      <c r="AC4" s="3">
        <f t="shared" ref="AC4:AC18" si="2">+V4*M4</f>
        <v>0</v>
      </c>
      <c r="AD4" s="60">
        <f t="shared" ref="AD4:AD18" si="3">+M4*W4</f>
        <v>0</v>
      </c>
      <c r="AE4" s="3">
        <f>+X4*M4</f>
        <v>0</v>
      </c>
      <c r="AF4" s="3">
        <f t="shared" ref="AF4:AF18" si="4">+Y4*M4</f>
        <v>0</v>
      </c>
      <c r="AG4" s="3">
        <f>+Z4*M4</f>
        <v>1469.1000000000001</v>
      </c>
      <c r="AH4" s="46"/>
    </row>
    <row r="5" spans="1:34" x14ac:dyDescent="0.3">
      <c r="A5" s="82">
        <v>2</v>
      </c>
      <c r="B5" s="19" t="s">
        <v>992</v>
      </c>
      <c r="C5" s="2" t="s">
        <v>993</v>
      </c>
      <c r="D5" s="27">
        <v>45800</v>
      </c>
      <c r="E5" s="19" t="s">
        <v>61</v>
      </c>
      <c r="F5" s="2" t="s">
        <v>1160</v>
      </c>
      <c r="G5" s="13">
        <v>0</v>
      </c>
      <c r="H5" s="13">
        <v>6000</v>
      </c>
      <c r="I5" s="13">
        <v>0</v>
      </c>
      <c r="J5" s="13">
        <f t="shared" si="1"/>
        <v>6000</v>
      </c>
      <c r="K5" s="13">
        <v>0</v>
      </c>
      <c r="L5" s="13">
        <f t="shared" ref="L5:L18" si="5">J5-K5</f>
        <v>6000</v>
      </c>
      <c r="M5" s="18">
        <v>19.322700000000001</v>
      </c>
      <c r="N5" s="3">
        <f t="shared" si="0"/>
        <v>115936.20000000001</v>
      </c>
      <c r="O5" s="3">
        <f>I5*M5</f>
        <v>0</v>
      </c>
      <c r="P5" s="3">
        <f>J5*M5</f>
        <v>115936.20000000001</v>
      </c>
      <c r="Q5" s="3">
        <f>M5*K5</f>
        <v>0</v>
      </c>
      <c r="R5" s="3">
        <f>L5*M5</f>
        <v>115936.20000000001</v>
      </c>
      <c r="S5" s="48"/>
      <c r="T5" s="44"/>
      <c r="U5" s="3">
        <v>6000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B5" s="3">
        <f>U5*M5</f>
        <v>115936.20000000001</v>
      </c>
      <c r="AC5" s="3">
        <f t="shared" si="2"/>
        <v>0</v>
      </c>
      <c r="AD5" s="3">
        <f t="shared" si="3"/>
        <v>0</v>
      </c>
      <c r="AE5" s="3">
        <f>+X5*M5</f>
        <v>0</v>
      </c>
      <c r="AF5" s="3">
        <f t="shared" si="4"/>
        <v>0</v>
      </c>
      <c r="AG5" s="3">
        <f>+Z5*M5</f>
        <v>0</v>
      </c>
      <c r="AH5" s="46"/>
    </row>
    <row r="6" spans="1:34" x14ac:dyDescent="0.3">
      <c r="A6" s="82">
        <v>1</v>
      </c>
      <c r="B6" s="19" t="s">
        <v>1033</v>
      </c>
      <c r="C6" s="2" t="s">
        <v>1031</v>
      </c>
      <c r="D6" s="27">
        <v>45805</v>
      </c>
      <c r="E6" s="19" t="s">
        <v>1035</v>
      </c>
      <c r="F6" s="2" t="s">
        <v>1032</v>
      </c>
      <c r="G6" s="13">
        <v>0</v>
      </c>
      <c r="H6" s="13">
        <v>200</v>
      </c>
      <c r="I6" s="13">
        <v>32</v>
      </c>
      <c r="J6" s="13">
        <f t="shared" si="1"/>
        <v>232</v>
      </c>
      <c r="K6" s="13">
        <v>232</v>
      </c>
      <c r="L6" s="13">
        <f t="shared" si="5"/>
        <v>0</v>
      </c>
      <c r="M6" s="18">
        <v>19.233799999999999</v>
      </c>
      <c r="N6" s="3">
        <f t="shared" si="0"/>
        <v>3846.7599999999998</v>
      </c>
      <c r="O6" s="3">
        <f t="shared" ref="O6:O18" si="6">I6*M6</f>
        <v>615.48159999999996</v>
      </c>
      <c r="P6" s="3">
        <f t="shared" ref="P6:P18" si="7">J6*M6</f>
        <v>4462.2415999999994</v>
      </c>
      <c r="Q6" s="3">
        <f t="shared" ref="Q6:Q18" si="8">M6*K6</f>
        <v>4462.2415999999994</v>
      </c>
      <c r="R6" s="3">
        <f t="shared" ref="R6:R18" si="9">L6*M6</f>
        <v>0</v>
      </c>
      <c r="S6" s="48"/>
      <c r="T6" s="44"/>
      <c r="U6" s="3">
        <v>0</v>
      </c>
      <c r="V6" s="3">
        <v>200</v>
      </c>
      <c r="W6" s="3">
        <v>0</v>
      </c>
      <c r="X6" s="3">
        <v>0</v>
      </c>
      <c r="Y6" s="3">
        <v>0</v>
      </c>
      <c r="Z6" s="3">
        <v>0</v>
      </c>
      <c r="AB6" s="3">
        <f>U6*M6</f>
        <v>0</v>
      </c>
      <c r="AC6" s="3">
        <f t="shared" si="2"/>
        <v>3846.7599999999998</v>
      </c>
      <c r="AD6" s="3">
        <f t="shared" si="3"/>
        <v>0</v>
      </c>
      <c r="AE6" s="3">
        <f>+X6*M6</f>
        <v>0</v>
      </c>
      <c r="AF6" s="3">
        <f t="shared" si="4"/>
        <v>0</v>
      </c>
      <c r="AG6" s="3">
        <f>+Z6*M6</f>
        <v>0</v>
      </c>
      <c r="AH6" s="46"/>
    </row>
    <row r="7" spans="1:34" x14ac:dyDescent="0.3">
      <c r="A7" s="82">
        <v>1</v>
      </c>
      <c r="B7" s="19" t="s">
        <v>1034</v>
      </c>
      <c r="C7" s="2" t="s">
        <v>1031</v>
      </c>
      <c r="D7" s="27">
        <v>45805</v>
      </c>
      <c r="E7" s="19" t="s">
        <v>1035</v>
      </c>
      <c r="F7" s="2" t="s">
        <v>1032</v>
      </c>
      <c r="G7" s="13">
        <v>0</v>
      </c>
      <c r="H7" s="13">
        <f>3185.1+550</f>
        <v>3735.1</v>
      </c>
      <c r="I7" s="13">
        <v>0</v>
      </c>
      <c r="J7" s="13">
        <f t="shared" si="1"/>
        <v>3735.1</v>
      </c>
      <c r="K7" s="13">
        <v>3735.1</v>
      </c>
      <c r="L7" s="13">
        <f t="shared" si="5"/>
        <v>0</v>
      </c>
      <c r="M7" s="18">
        <v>19.233799999999999</v>
      </c>
      <c r="N7" s="3">
        <f t="shared" si="0"/>
        <v>71840.166379999995</v>
      </c>
      <c r="O7" s="3">
        <f t="shared" si="6"/>
        <v>0</v>
      </c>
      <c r="P7" s="3">
        <f t="shared" si="7"/>
        <v>71840.166379999995</v>
      </c>
      <c r="Q7" s="3">
        <f t="shared" si="8"/>
        <v>71840.166379999995</v>
      </c>
      <c r="R7" s="3">
        <f t="shared" si="9"/>
        <v>0</v>
      </c>
      <c r="S7" s="48"/>
      <c r="T7" s="44"/>
      <c r="U7" s="3">
        <v>3185.1</v>
      </c>
      <c r="V7" s="3">
        <v>0</v>
      </c>
      <c r="W7" s="3">
        <v>0</v>
      </c>
      <c r="X7" s="3">
        <v>0</v>
      </c>
      <c r="Y7" s="3">
        <v>550</v>
      </c>
      <c r="Z7" s="3">
        <v>0</v>
      </c>
      <c r="AB7" s="3">
        <f>U7*M7</f>
        <v>61261.576379999991</v>
      </c>
      <c r="AC7" s="3">
        <f t="shared" si="2"/>
        <v>0</v>
      </c>
      <c r="AD7" s="3">
        <f t="shared" si="3"/>
        <v>0</v>
      </c>
      <c r="AE7" s="3">
        <f>+X7*M7</f>
        <v>0</v>
      </c>
      <c r="AF7" s="3">
        <f t="shared" si="4"/>
        <v>10578.59</v>
      </c>
      <c r="AG7" s="3">
        <f>+Z7*M7</f>
        <v>0</v>
      </c>
      <c r="AH7" s="46"/>
    </row>
    <row r="8" spans="1:34" x14ac:dyDescent="0.3">
      <c r="A8" s="82">
        <v>1</v>
      </c>
      <c r="B8" s="19" t="s">
        <v>1062</v>
      </c>
      <c r="C8" s="2" t="s">
        <v>1060</v>
      </c>
      <c r="D8" s="27">
        <v>45806</v>
      </c>
      <c r="E8" s="19" t="s">
        <v>157</v>
      </c>
      <c r="F8" s="2" t="s">
        <v>155</v>
      </c>
      <c r="G8" s="13">
        <v>0</v>
      </c>
      <c r="H8" s="13">
        <f>3750+360</f>
        <v>4110</v>
      </c>
      <c r="I8" s="13">
        <v>0</v>
      </c>
      <c r="J8" s="13">
        <f t="shared" si="1"/>
        <v>4110</v>
      </c>
      <c r="K8" s="13">
        <v>0</v>
      </c>
      <c r="L8" s="13">
        <f t="shared" si="5"/>
        <v>4110</v>
      </c>
      <c r="M8" s="18">
        <v>19.399999999999999</v>
      </c>
      <c r="N8" s="3">
        <f t="shared" si="0"/>
        <v>79734</v>
      </c>
      <c r="O8" s="3">
        <f t="shared" si="6"/>
        <v>0</v>
      </c>
      <c r="P8" s="3">
        <f t="shared" si="7"/>
        <v>79734</v>
      </c>
      <c r="Q8" s="3">
        <f t="shared" si="8"/>
        <v>0</v>
      </c>
      <c r="R8" s="3">
        <f t="shared" si="9"/>
        <v>79734</v>
      </c>
      <c r="S8" s="48"/>
      <c r="T8" s="44"/>
      <c r="U8" s="3">
        <v>3750</v>
      </c>
      <c r="V8" s="3">
        <v>0</v>
      </c>
      <c r="W8" s="3">
        <v>0</v>
      </c>
      <c r="X8" s="3">
        <v>0</v>
      </c>
      <c r="Y8" s="3">
        <v>360</v>
      </c>
      <c r="Z8" s="3">
        <v>0</v>
      </c>
      <c r="AB8" s="3">
        <f t="shared" ref="AB8:AB18" si="10">U8*M8</f>
        <v>72750</v>
      </c>
      <c r="AC8" s="3">
        <f t="shared" si="2"/>
        <v>0</v>
      </c>
      <c r="AD8" s="3">
        <f t="shared" si="3"/>
        <v>0</v>
      </c>
      <c r="AE8" s="3">
        <f t="shared" ref="AE8:AE18" si="11">+X8*M8</f>
        <v>0</v>
      </c>
      <c r="AF8" s="3">
        <f t="shared" si="4"/>
        <v>6983.9999999999991</v>
      </c>
      <c r="AG8" s="3">
        <f t="shared" ref="AG8:AG18" si="12">+Z8*M8</f>
        <v>0</v>
      </c>
      <c r="AH8" s="46"/>
    </row>
    <row r="9" spans="1:34" x14ac:dyDescent="0.3">
      <c r="A9" s="82">
        <v>1</v>
      </c>
      <c r="B9" s="19" t="s">
        <v>1063</v>
      </c>
      <c r="C9" s="2" t="s">
        <v>1061</v>
      </c>
      <c r="D9" s="27">
        <v>45807</v>
      </c>
      <c r="E9" s="19" t="s">
        <v>330</v>
      </c>
      <c r="F9" s="2" t="s">
        <v>327</v>
      </c>
      <c r="G9" s="13">
        <v>0</v>
      </c>
      <c r="H9" s="13">
        <v>125</v>
      </c>
      <c r="I9" s="13">
        <v>0</v>
      </c>
      <c r="J9" s="13">
        <f t="shared" si="1"/>
        <v>125</v>
      </c>
      <c r="K9" s="13">
        <v>125</v>
      </c>
      <c r="L9" s="13">
        <f t="shared" si="5"/>
        <v>0</v>
      </c>
      <c r="M9" s="18">
        <v>19.327999999999999</v>
      </c>
      <c r="N9" s="3">
        <f t="shared" si="0"/>
        <v>2416</v>
      </c>
      <c r="O9" s="3">
        <f t="shared" si="6"/>
        <v>0</v>
      </c>
      <c r="P9" s="3">
        <f t="shared" si="7"/>
        <v>2416</v>
      </c>
      <c r="Q9" s="3">
        <f t="shared" si="8"/>
        <v>2416</v>
      </c>
      <c r="R9" s="3">
        <f t="shared" si="9"/>
        <v>0</v>
      </c>
      <c r="S9" s="48"/>
      <c r="T9" s="44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125</v>
      </c>
      <c r="AB9" s="3">
        <f t="shared" si="10"/>
        <v>0</v>
      </c>
      <c r="AC9" s="3">
        <f t="shared" si="2"/>
        <v>0</v>
      </c>
      <c r="AD9" s="3">
        <f t="shared" si="3"/>
        <v>0</v>
      </c>
      <c r="AE9" s="3">
        <f t="shared" si="11"/>
        <v>0</v>
      </c>
      <c r="AF9" s="3">
        <f t="shared" si="4"/>
        <v>0</v>
      </c>
      <c r="AG9" s="3">
        <f t="shared" si="12"/>
        <v>2416</v>
      </c>
      <c r="AH9" s="46"/>
    </row>
    <row r="10" spans="1:34" x14ac:dyDescent="0.3">
      <c r="A10" s="82">
        <v>1</v>
      </c>
      <c r="B10" s="19" t="s">
        <v>1064</v>
      </c>
      <c r="C10" s="2" t="s">
        <v>1061</v>
      </c>
      <c r="D10" s="27">
        <v>45807</v>
      </c>
      <c r="E10" s="19" t="s">
        <v>330</v>
      </c>
      <c r="F10" s="2" t="s">
        <v>327</v>
      </c>
      <c r="G10" s="13">
        <v>0</v>
      </c>
      <c r="H10" s="13">
        <v>245</v>
      </c>
      <c r="I10" s="13">
        <f>+H10*0.16</f>
        <v>39.200000000000003</v>
      </c>
      <c r="J10" s="13">
        <f t="shared" si="1"/>
        <v>284.2</v>
      </c>
      <c r="K10" s="13">
        <v>284.2</v>
      </c>
      <c r="L10" s="13">
        <f t="shared" si="5"/>
        <v>0</v>
      </c>
      <c r="M10" s="18">
        <v>19.327999999999999</v>
      </c>
      <c r="N10" s="3">
        <f t="shared" si="0"/>
        <v>4735.3599999999997</v>
      </c>
      <c r="O10" s="3">
        <f t="shared" si="6"/>
        <v>757.6576</v>
      </c>
      <c r="P10" s="3">
        <f t="shared" si="7"/>
        <v>5493.0175999999992</v>
      </c>
      <c r="Q10" s="3">
        <f t="shared" si="8"/>
        <v>5493.0175999999992</v>
      </c>
      <c r="R10" s="3">
        <f t="shared" si="9"/>
        <v>0</v>
      </c>
      <c r="S10" s="48"/>
      <c r="T10" s="44"/>
      <c r="U10" s="3">
        <v>0</v>
      </c>
      <c r="V10" s="3">
        <v>245</v>
      </c>
      <c r="W10" s="3">
        <v>0</v>
      </c>
      <c r="X10" s="3">
        <v>0</v>
      </c>
      <c r="Y10" s="3">
        <v>0</v>
      </c>
      <c r="Z10" s="3">
        <v>0</v>
      </c>
      <c r="AB10" s="3">
        <f t="shared" si="10"/>
        <v>0</v>
      </c>
      <c r="AC10" s="3">
        <f t="shared" si="2"/>
        <v>4735.3599999999997</v>
      </c>
      <c r="AD10" s="3">
        <f t="shared" si="3"/>
        <v>0</v>
      </c>
      <c r="AE10" s="3">
        <f t="shared" si="11"/>
        <v>0</v>
      </c>
      <c r="AF10" s="3">
        <f t="shared" si="4"/>
        <v>0</v>
      </c>
      <c r="AG10" s="3">
        <f t="shared" si="12"/>
        <v>0</v>
      </c>
      <c r="AH10" s="46"/>
    </row>
    <row r="11" spans="1:34" x14ac:dyDescent="0.3">
      <c r="A11" s="82"/>
      <c r="B11" s="19"/>
      <c r="C11" s="2"/>
      <c r="D11" s="27"/>
      <c r="E11" s="19"/>
      <c r="F11" s="2"/>
      <c r="G11" s="13"/>
      <c r="H11" s="13"/>
      <c r="I11" s="13"/>
      <c r="J11" s="13">
        <f t="shared" si="1"/>
        <v>0</v>
      </c>
      <c r="K11" s="13"/>
      <c r="L11" s="13">
        <f t="shared" si="5"/>
        <v>0</v>
      </c>
      <c r="M11" s="18"/>
      <c r="N11" s="3">
        <f t="shared" si="0"/>
        <v>0</v>
      </c>
      <c r="O11" s="3">
        <f t="shared" si="6"/>
        <v>0</v>
      </c>
      <c r="P11" s="3">
        <f t="shared" si="7"/>
        <v>0</v>
      </c>
      <c r="Q11" s="3">
        <f t="shared" si="8"/>
        <v>0</v>
      </c>
      <c r="R11" s="3">
        <f t="shared" si="9"/>
        <v>0</v>
      </c>
      <c r="S11" s="48"/>
      <c r="T11" s="44"/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B11" s="3">
        <f t="shared" si="10"/>
        <v>0</v>
      </c>
      <c r="AC11" s="3">
        <f t="shared" si="2"/>
        <v>0</v>
      </c>
      <c r="AD11" s="3">
        <f t="shared" si="3"/>
        <v>0</v>
      </c>
      <c r="AE11" s="3">
        <f t="shared" si="11"/>
        <v>0</v>
      </c>
      <c r="AF11" s="3">
        <f t="shared" si="4"/>
        <v>0</v>
      </c>
      <c r="AG11" s="3">
        <f t="shared" si="12"/>
        <v>0</v>
      </c>
      <c r="AH11" s="46"/>
    </row>
    <row r="12" spans="1:34" x14ac:dyDescent="0.3">
      <c r="A12" s="82"/>
      <c r="B12" s="19"/>
      <c r="C12" s="2"/>
      <c r="D12" s="27"/>
      <c r="E12" s="19"/>
      <c r="F12" s="2"/>
      <c r="G12" s="13"/>
      <c r="H12" s="13"/>
      <c r="I12" s="13"/>
      <c r="J12" s="13">
        <f t="shared" si="1"/>
        <v>0</v>
      </c>
      <c r="K12" s="13"/>
      <c r="L12" s="13">
        <f t="shared" si="5"/>
        <v>0</v>
      </c>
      <c r="M12" s="18"/>
      <c r="N12" s="3">
        <f t="shared" si="0"/>
        <v>0</v>
      </c>
      <c r="O12" s="3">
        <f t="shared" si="6"/>
        <v>0</v>
      </c>
      <c r="P12" s="3">
        <f t="shared" si="7"/>
        <v>0</v>
      </c>
      <c r="Q12" s="3">
        <f t="shared" si="8"/>
        <v>0</v>
      </c>
      <c r="R12" s="3">
        <f t="shared" si="9"/>
        <v>0</v>
      </c>
      <c r="S12" s="48"/>
      <c r="T12" s="44"/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B12" s="3">
        <f t="shared" si="10"/>
        <v>0</v>
      </c>
      <c r="AC12" s="3">
        <f t="shared" si="2"/>
        <v>0</v>
      </c>
      <c r="AD12" s="3">
        <f t="shared" si="3"/>
        <v>0</v>
      </c>
      <c r="AE12" s="3">
        <f t="shared" si="11"/>
        <v>0</v>
      </c>
      <c r="AF12" s="3">
        <f t="shared" si="4"/>
        <v>0</v>
      </c>
      <c r="AG12" s="3">
        <f t="shared" si="12"/>
        <v>0</v>
      </c>
      <c r="AH12" s="46"/>
    </row>
    <row r="13" spans="1:34" x14ac:dyDescent="0.3">
      <c r="A13" s="82"/>
      <c r="B13" s="19"/>
      <c r="C13" s="2"/>
      <c r="D13" s="27"/>
      <c r="E13" s="19"/>
      <c r="F13" s="2"/>
      <c r="G13" s="13"/>
      <c r="H13" s="13"/>
      <c r="I13" s="13"/>
      <c r="J13" s="13">
        <f t="shared" si="1"/>
        <v>0</v>
      </c>
      <c r="K13" s="13"/>
      <c r="L13" s="13">
        <f t="shared" si="5"/>
        <v>0</v>
      </c>
      <c r="M13" s="18"/>
      <c r="N13" s="3">
        <f t="shared" si="0"/>
        <v>0</v>
      </c>
      <c r="O13" s="3">
        <f t="shared" si="6"/>
        <v>0</v>
      </c>
      <c r="P13" s="3">
        <f t="shared" si="7"/>
        <v>0</v>
      </c>
      <c r="Q13" s="3">
        <f t="shared" si="8"/>
        <v>0</v>
      </c>
      <c r="R13" s="3">
        <f t="shared" si="9"/>
        <v>0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B13" s="3">
        <f t="shared" si="10"/>
        <v>0</v>
      </c>
      <c r="AC13" s="3">
        <f t="shared" si="2"/>
        <v>0</v>
      </c>
      <c r="AD13" s="3">
        <f t="shared" si="3"/>
        <v>0</v>
      </c>
      <c r="AE13" s="3">
        <f t="shared" si="11"/>
        <v>0</v>
      </c>
      <c r="AF13" s="3">
        <f t="shared" si="4"/>
        <v>0</v>
      </c>
      <c r="AG13" s="3">
        <f t="shared" si="12"/>
        <v>0</v>
      </c>
      <c r="AH13" s="46"/>
    </row>
    <row r="14" spans="1:34" x14ac:dyDescent="0.3">
      <c r="A14" s="82"/>
      <c r="B14" s="19"/>
      <c r="C14" s="2"/>
      <c r="D14" s="27"/>
      <c r="E14" s="19"/>
      <c r="F14" s="2"/>
      <c r="G14" s="13"/>
      <c r="H14" s="13"/>
      <c r="I14" s="13"/>
      <c r="J14" s="13">
        <f t="shared" si="1"/>
        <v>0</v>
      </c>
      <c r="K14" s="13"/>
      <c r="L14" s="13">
        <f t="shared" si="5"/>
        <v>0</v>
      </c>
      <c r="M14" s="18"/>
      <c r="N14" s="3">
        <f t="shared" si="0"/>
        <v>0</v>
      </c>
      <c r="O14" s="3">
        <f t="shared" si="6"/>
        <v>0</v>
      </c>
      <c r="P14" s="3">
        <f t="shared" si="7"/>
        <v>0</v>
      </c>
      <c r="Q14" s="3">
        <f t="shared" si="8"/>
        <v>0</v>
      </c>
      <c r="R14" s="3">
        <f t="shared" si="9"/>
        <v>0</v>
      </c>
      <c r="S14" s="48"/>
      <c r="T14" s="44"/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B14" s="3">
        <f t="shared" si="10"/>
        <v>0</v>
      </c>
      <c r="AC14" s="3">
        <f t="shared" si="2"/>
        <v>0</v>
      </c>
      <c r="AD14" s="3">
        <f t="shared" si="3"/>
        <v>0</v>
      </c>
      <c r="AE14" s="3">
        <f t="shared" si="11"/>
        <v>0</v>
      </c>
      <c r="AF14" s="3">
        <f t="shared" si="4"/>
        <v>0</v>
      </c>
      <c r="AG14" s="3">
        <f t="shared" si="12"/>
        <v>0</v>
      </c>
      <c r="AH14" s="46"/>
    </row>
    <row r="15" spans="1:34" x14ac:dyDescent="0.3">
      <c r="A15" s="82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5"/>
        <v>0</v>
      </c>
      <c r="M15" s="18"/>
      <c r="N15" s="3">
        <f t="shared" si="0"/>
        <v>0</v>
      </c>
      <c r="O15" s="3">
        <f t="shared" si="6"/>
        <v>0</v>
      </c>
      <c r="P15" s="3">
        <f t="shared" si="7"/>
        <v>0</v>
      </c>
      <c r="Q15" s="3">
        <f t="shared" si="8"/>
        <v>0</v>
      </c>
      <c r="R15" s="3">
        <f t="shared" si="9"/>
        <v>0</v>
      </c>
      <c r="S15" s="48"/>
      <c r="T15" s="44"/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B15" s="3">
        <f t="shared" si="10"/>
        <v>0</v>
      </c>
      <c r="AC15" s="3">
        <f t="shared" si="2"/>
        <v>0</v>
      </c>
      <c r="AD15" s="3">
        <f t="shared" si="3"/>
        <v>0</v>
      </c>
      <c r="AE15" s="3">
        <f t="shared" si="11"/>
        <v>0</v>
      </c>
      <c r="AF15" s="3">
        <f t="shared" si="4"/>
        <v>0</v>
      </c>
      <c r="AG15" s="3">
        <f t="shared" si="12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5"/>
        <v>0</v>
      </c>
      <c r="M16" s="18"/>
      <c r="N16" s="3">
        <f t="shared" si="0"/>
        <v>0</v>
      </c>
      <c r="O16" s="3">
        <f t="shared" si="6"/>
        <v>0</v>
      </c>
      <c r="P16" s="3">
        <f t="shared" si="7"/>
        <v>0</v>
      </c>
      <c r="Q16" s="3">
        <f t="shared" si="8"/>
        <v>0</v>
      </c>
      <c r="R16" s="3">
        <f t="shared" si="9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B16" s="3">
        <f t="shared" si="10"/>
        <v>0</v>
      </c>
      <c r="AC16" s="3">
        <f t="shared" si="2"/>
        <v>0</v>
      </c>
      <c r="AD16" s="3">
        <f t="shared" si="3"/>
        <v>0</v>
      </c>
      <c r="AE16" s="3">
        <f t="shared" si="11"/>
        <v>0</v>
      </c>
      <c r="AF16" s="3">
        <f t="shared" si="4"/>
        <v>0</v>
      </c>
      <c r="AG16" s="3">
        <f t="shared" si="12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5"/>
        <v>0</v>
      </c>
      <c r="M17" s="18"/>
      <c r="N17" s="3">
        <f t="shared" si="0"/>
        <v>0</v>
      </c>
      <c r="O17" s="3">
        <f t="shared" si="6"/>
        <v>0</v>
      </c>
      <c r="P17" s="3">
        <f t="shared" si="7"/>
        <v>0</v>
      </c>
      <c r="Q17" s="3">
        <f t="shared" si="8"/>
        <v>0</v>
      </c>
      <c r="R17" s="3">
        <f t="shared" si="9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B17" s="3">
        <f t="shared" si="10"/>
        <v>0</v>
      </c>
      <c r="AC17" s="3">
        <f t="shared" si="2"/>
        <v>0</v>
      </c>
      <c r="AD17" s="3">
        <f t="shared" si="3"/>
        <v>0</v>
      </c>
      <c r="AE17" s="3">
        <f t="shared" si="11"/>
        <v>0</v>
      </c>
      <c r="AF17" s="3">
        <f t="shared" si="4"/>
        <v>0</v>
      </c>
      <c r="AG17" s="3">
        <f t="shared" si="12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5"/>
        <v>0</v>
      </c>
      <c r="M18" s="18"/>
      <c r="N18" s="3">
        <f t="shared" si="0"/>
        <v>0</v>
      </c>
      <c r="O18" s="3">
        <f t="shared" si="6"/>
        <v>0</v>
      </c>
      <c r="P18" s="3">
        <f t="shared" si="7"/>
        <v>0</v>
      </c>
      <c r="Q18" s="3">
        <f t="shared" si="8"/>
        <v>0</v>
      </c>
      <c r="R18" s="3">
        <f t="shared" si="9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B18" s="3">
        <f t="shared" si="10"/>
        <v>0</v>
      </c>
      <c r="AC18" s="3">
        <f t="shared" si="2"/>
        <v>0</v>
      </c>
      <c r="AD18" s="3">
        <f t="shared" si="3"/>
        <v>0</v>
      </c>
      <c r="AE18" s="3">
        <f t="shared" si="11"/>
        <v>0</v>
      </c>
      <c r="AF18" s="3">
        <f t="shared" si="4"/>
        <v>0</v>
      </c>
      <c r="AG18" s="3">
        <f t="shared" si="12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13">+SUM(G3:G18)</f>
        <v>0</v>
      </c>
      <c r="H19" s="59">
        <f t="shared" si="13"/>
        <v>18359.7</v>
      </c>
      <c r="I19" s="17">
        <f t="shared" si="13"/>
        <v>71.2</v>
      </c>
      <c r="J19" s="17">
        <f t="shared" si="13"/>
        <v>18430.900000000001</v>
      </c>
      <c r="K19" s="17">
        <f t="shared" si="13"/>
        <v>4376.3</v>
      </c>
      <c r="L19" s="17">
        <f t="shared" si="13"/>
        <v>14054.6</v>
      </c>
      <c r="M19" s="14"/>
      <c r="N19" s="55">
        <f>+SUM(N3:N18)</f>
        <v>355775.31118000002</v>
      </c>
      <c r="O19" s="16">
        <f>+SUM(O3:O18)</f>
        <v>1373.1392000000001</v>
      </c>
      <c r="P19" s="16">
        <f>+SUM(P3:P18)</f>
        <v>357148.45038000005</v>
      </c>
      <c r="Q19" s="16">
        <f>+SUM(Q3:Q18)</f>
        <v>84211.425579999981</v>
      </c>
      <c r="R19" s="16">
        <f>+SUM(R3:R18)</f>
        <v>272937.02480000001</v>
      </c>
      <c r="S19" s="15"/>
      <c r="T19" s="15"/>
      <c r="U19" s="17">
        <f t="shared" ref="U19:Z19" si="14">+SUM(U3:U18)</f>
        <v>15217.1</v>
      </c>
      <c r="V19" s="17">
        <f t="shared" si="14"/>
        <v>445</v>
      </c>
      <c r="W19" s="17">
        <f t="shared" si="14"/>
        <v>0</v>
      </c>
      <c r="X19" s="17">
        <f t="shared" si="14"/>
        <v>0</v>
      </c>
      <c r="Y19" s="17">
        <f t="shared" si="14"/>
        <v>2497.6</v>
      </c>
      <c r="Z19" s="17">
        <f t="shared" si="14"/>
        <v>200</v>
      </c>
      <c r="AA19" s="14"/>
      <c r="AB19" s="16">
        <f t="shared" ref="AB19:AG19" si="15">+SUM(AB3:AB18)</f>
        <v>294647.59237999999</v>
      </c>
      <c r="AC19" s="16">
        <f t="shared" si="15"/>
        <v>8582.119999999999</v>
      </c>
      <c r="AD19" s="16">
        <f t="shared" si="15"/>
        <v>0</v>
      </c>
      <c r="AE19" s="16">
        <f t="shared" si="15"/>
        <v>0</v>
      </c>
      <c r="AF19" s="16">
        <f t="shared" si="15"/>
        <v>48660.498800000001</v>
      </c>
      <c r="AG19" s="16">
        <f t="shared" si="15"/>
        <v>3885.1000000000004</v>
      </c>
      <c r="AH19" s="14"/>
    </row>
    <row r="20" spans="1:34" ht="15" thickTop="1" x14ac:dyDescent="0.3">
      <c r="Z20" s="34">
        <f>+SUM(T19:Z19)</f>
        <v>18359.7</v>
      </c>
      <c r="AG20" s="1">
        <f>+SUM(AB19:AG19)</f>
        <v>355775.31117999996</v>
      </c>
    </row>
    <row r="21" spans="1:34" x14ac:dyDescent="0.3">
      <c r="H21" s="23"/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H22" s="23">
        <v>18359.7</v>
      </c>
      <c r="I22" s="32"/>
      <c r="M22">
        <v>16</v>
      </c>
      <c r="N22" s="46">
        <f>+N6+N10</f>
        <v>8582.119999999999</v>
      </c>
      <c r="O22" s="81"/>
    </row>
    <row r="23" spans="1:34" x14ac:dyDescent="0.3">
      <c r="M23">
        <v>0</v>
      </c>
      <c r="N23" s="23">
        <f>+N3+N4+N5+N7+N8+N9</f>
        <v>347193.19118000002</v>
      </c>
      <c r="O23" s="81"/>
    </row>
    <row r="24" spans="1:34" x14ac:dyDescent="0.3">
      <c r="N24" s="23"/>
    </row>
    <row r="25" spans="1:34" x14ac:dyDescent="0.3">
      <c r="N25" s="23">
        <f>+N22+N23</f>
        <v>355775.31118000002</v>
      </c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FDCD-8C77-4778-8E7D-F7F34326FFD5}">
  <sheetPr>
    <tabColor rgb="FF0070C0"/>
  </sheetPr>
  <dimension ref="A1:AP170"/>
  <sheetViews>
    <sheetView showGridLines="0" zoomScale="80" zoomScaleNormal="80" zoomScaleSheetLayoutView="50" workbookViewId="0">
      <pane xSplit="3" ySplit="1" topLeftCell="D124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5" width="15.6640625" style="1" customWidth="1"/>
    <col min="36" max="36" width="38.109375" style="1" bestFit="1" customWidth="1"/>
    <col min="37" max="37" width="35.6640625" style="1" customWidth="1"/>
    <col min="38" max="38" width="15.6640625" style="1" customWidth="1"/>
    <col min="39" max="39" width="12.33203125" bestFit="1" customWidth="1"/>
    <col min="40" max="40" width="13.88671875" bestFit="1" customWidth="1"/>
    <col min="41" max="41" width="12.5546875" bestFit="1" customWidth="1"/>
  </cols>
  <sheetData>
    <row r="1" spans="1:41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670</v>
      </c>
      <c r="Z1" s="5" t="s">
        <v>974</v>
      </c>
      <c r="AA1" s="5" t="s">
        <v>545</v>
      </c>
      <c r="AB1" s="5" t="s">
        <v>5</v>
      </c>
      <c r="AC1" s="5" t="s">
        <v>55</v>
      </c>
      <c r="AD1" s="5" t="s">
        <v>1219</v>
      </c>
      <c r="AE1" s="5" t="s">
        <v>1220</v>
      </c>
      <c r="AF1" s="5" t="s">
        <v>48</v>
      </c>
      <c r="AG1" s="5" t="s">
        <v>52</v>
      </c>
      <c r="AH1" s="5" t="s">
        <v>763</v>
      </c>
      <c r="AI1"/>
      <c r="AJ1"/>
      <c r="AK1" s="7"/>
      <c r="AL1" s="5" t="s">
        <v>35</v>
      </c>
      <c r="AM1" s="5" t="s">
        <v>36</v>
      </c>
      <c r="AN1" s="5" t="s">
        <v>17</v>
      </c>
      <c r="AO1" s="5" t="s">
        <v>59</v>
      </c>
    </row>
    <row r="2" spans="1:41" x14ac:dyDescent="0.3">
      <c r="A2" s="38">
        <v>2</v>
      </c>
      <c r="B2" s="38" t="s">
        <v>1088</v>
      </c>
      <c r="C2" s="38" t="s">
        <v>1067</v>
      </c>
      <c r="D2" s="39">
        <v>45842</v>
      </c>
      <c r="E2" s="38" t="s">
        <v>22</v>
      </c>
      <c r="F2" s="38" t="s">
        <v>45</v>
      </c>
      <c r="G2" s="40">
        <v>336</v>
      </c>
      <c r="H2" s="87">
        <v>17400</v>
      </c>
      <c r="I2" s="40">
        <v>2784</v>
      </c>
      <c r="J2" s="40">
        <f>SUM(G2:I2)</f>
        <v>20520</v>
      </c>
      <c r="K2" s="40">
        <v>20520</v>
      </c>
      <c r="L2" s="40">
        <f>+J2-K2</f>
        <v>0</v>
      </c>
      <c r="M2" s="38" t="s">
        <v>35</v>
      </c>
      <c r="N2" s="54"/>
      <c r="O2" s="36"/>
      <c r="P2" s="40">
        <v>0</v>
      </c>
      <c r="Q2" s="40">
        <v>336</v>
      </c>
      <c r="R2" s="41"/>
      <c r="S2" s="40">
        <f>4800+4800</f>
        <v>9600</v>
      </c>
      <c r="T2" s="40">
        <v>0</v>
      </c>
      <c r="U2" s="40">
        <v>0</v>
      </c>
      <c r="V2" s="40">
        <v>0</v>
      </c>
      <c r="W2" s="40">
        <v>7800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/>
      <c r="AH2" s="40">
        <v>0</v>
      </c>
      <c r="AI2" s="36">
        <f t="shared" ref="AI2:AI33" si="0">+SUM(S2:AH2)-H2</f>
        <v>0</v>
      </c>
      <c r="AJ2"/>
      <c r="AK2" s="37" t="s">
        <v>1</v>
      </c>
      <c r="AL2" s="1">
        <f>+S153</f>
        <v>992307.03999999969</v>
      </c>
      <c r="AM2" s="1"/>
      <c r="AN2" s="1">
        <f>SUM(AL2:AM2)</f>
        <v>992307.03999999969</v>
      </c>
      <c r="AO2" s="56">
        <f>+AN2/AN20</f>
        <v>0.15661726020367742</v>
      </c>
    </row>
    <row r="3" spans="1:41" x14ac:dyDescent="0.3">
      <c r="A3" s="38">
        <v>2</v>
      </c>
      <c r="B3" s="38" t="s">
        <v>1089</v>
      </c>
      <c r="C3" s="38" t="s">
        <v>1068</v>
      </c>
      <c r="D3" s="39">
        <v>45842</v>
      </c>
      <c r="E3" s="38" t="s">
        <v>22</v>
      </c>
      <c r="F3" s="38" t="s">
        <v>45</v>
      </c>
      <c r="G3" s="40">
        <v>336</v>
      </c>
      <c r="H3" s="87">
        <v>9700</v>
      </c>
      <c r="I3" s="40">
        <v>1552</v>
      </c>
      <c r="J3" s="40">
        <f t="shared" ref="J3:J65" si="1">SUM(G3:I3)</f>
        <v>11588</v>
      </c>
      <c r="K3" s="40">
        <v>11588</v>
      </c>
      <c r="L3" s="40">
        <f t="shared" ref="L3:L65" si="2">+J3-K3</f>
        <v>0</v>
      </c>
      <c r="M3" s="38" t="s">
        <v>35</v>
      </c>
      <c r="N3" s="54"/>
      <c r="O3" s="36"/>
      <c r="P3" s="40">
        <v>0</v>
      </c>
      <c r="Q3" s="40">
        <v>336</v>
      </c>
      <c r="R3" s="40"/>
      <c r="S3" s="40">
        <v>4800</v>
      </c>
      <c r="T3" s="40">
        <v>0</v>
      </c>
      <c r="U3" s="40">
        <v>0</v>
      </c>
      <c r="V3" s="40">
        <v>0</v>
      </c>
      <c r="W3" s="40">
        <v>4900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/>
      <c r="AK3" s="37" t="s">
        <v>50</v>
      </c>
      <c r="AL3" s="1">
        <f>+T153</f>
        <v>6585.68</v>
      </c>
      <c r="AM3" s="1">
        <f>+'JUL USD'!AD19</f>
        <v>1485.8799999999999</v>
      </c>
      <c r="AN3" s="1">
        <f t="shared" ref="AN3:AN19" si="3">SUM(AL3:AM3)</f>
        <v>8071.56</v>
      </c>
      <c r="AO3" s="56">
        <f>+AN3/AN20</f>
        <v>1.2739460286098495E-3</v>
      </c>
    </row>
    <row r="4" spans="1:41" x14ac:dyDescent="0.3">
      <c r="A4" s="38">
        <v>2</v>
      </c>
      <c r="B4" s="38" t="s">
        <v>1090</v>
      </c>
      <c r="C4" s="38" t="s">
        <v>1069</v>
      </c>
      <c r="D4" s="39">
        <v>45842</v>
      </c>
      <c r="E4" s="38" t="s">
        <v>22</v>
      </c>
      <c r="F4" s="38" t="s">
        <v>45</v>
      </c>
      <c r="G4" s="40">
        <v>336</v>
      </c>
      <c r="H4" s="87">
        <v>4200</v>
      </c>
      <c r="I4" s="40">
        <v>672</v>
      </c>
      <c r="J4" s="40">
        <f t="shared" si="1"/>
        <v>5208</v>
      </c>
      <c r="K4" s="40">
        <v>5208</v>
      </c>
      <c r="L4" s="40">
        <f t="shared" si="2"/>
        <v>0</v>
      </c>
      <c r="M4" s="38" t="s">
        <v>35</v>
      </c>
      <c r="N4" s="54"/>
      <c r="O4" s="36"/>
      <c r="P4" s="40">
        <v>0</v>
      </c>
      <c r="Q4" s="40">
        <v>336</v>
      </c>
      <c r="R4" s="40"/>
      <c r="S4" s="40">
        <v>4200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36">
        <f t="shared" si="0"/>
        <v>0</v>
      </c>
      <c r="AJ4"/>
      <c r="AK4" s="37" t="s">
        <v>54</v>
      </c>
      <c r="AL4" s="1">
        <f>+U153</f>
        <v>2179527.3200000003</v>
      </c>
      <c r="AM4" s="1"/>
      <c r="AN4" s="1">
        <f t="shared" si="3"/>
        <v>2179527.3200000003</v>
      </c>
      <c r="AO4" s="56">
        <f>+AN4/AN20</f>
        <v>0.34399795994338994</v>
      </c>
    </row>
    <row r="5" spans="1:41" x14ac:dyDescent="0.3">
      <c r="A5" s="38">
        <v>2</v>
      </c>
      <c r="B5" s="38" t="s">
        <v>1091</v>
      </c>
      <c r="C5" s="38" t="s">
        <v>1070</v>
      </c>
      <c r="D5" s="39">
        <v>45842</v>
      </c>
      <c r="E5" s="38" t="s">
        <v>22</v>
      </c>
      <c r="F5" s="38" t="s">
        <v>45</v>
      </c>
      <c r="G5" s="40">
        <v>336</v>
      </c>
      <c r="H5" s="87">
        <v>10700</v>
      </c>
      <c r="I5" s="40">
        <v>1712</v>
      </c>
      <c r="J5" s="40">
        <f t="shared" si="1"/>
        <v>12748</v>
      </c>
      <c r="K5" s="40">
        <v>18316</v>
      </c>
      <c r="L5" s="40">
        <f t="shared" si="2"/>
        <v>-5568</v>
      </c>
      <c r="M5" s="38" t="s">
        <v>35</v>
      </c>
      <c r="N5" s="54"/>
      <c r="O5" s="36"/>
      <c r="P5" s="40">
        <v>0</v>
      </c>
      <c r="Q5" s="40">
        <v>336</v>
      </c>
      <c r="R5" s="41"/>
      <c r="S5" s="40">
        <v>6000</v>
      </c>
      <c r="T5" s="40">
        <v>0</v>
      </c>
      <c r="U5" s="40">
        <v>700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4000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/>
      <c r="AK5" s="37" t="s">
        <v>43</v>
      </c>
      <c r="AL5" s="1">
        <f>+V153</f>
        <v>1219566.2700000003</v>
      </c>
      <c r="AM5" s="1"/>
      <c r="AN5" s="1">
        <f t="shared" si="3"/>
        <v>1219566.2700000003</v>
      </c>
      <c r="AO5" s="56">
        <f>+AN5/AN20</f>
        <v>0.19248591428336376</v>
      </c>
    </row>
    <row r="6" spans="1:41" x14ac:dyDescent="0.3">
      <c r="A6" s="38">
        <v>2</v>
      </c>
      <c r="B6" s="38" t="s">
        <v>1092</v>
      </c>
      <c r="C6" s="38" t="s">
        <v>1071</v>
      </c>
      <c r="D6" s="39">
        <v>45842</v>
      </c>
      <c r="E6" s="38" t="s">
        <v>22</v>
      </c>
      <c r="F6" s="38" t="s">
        <v>45</v>
      </c>
      <c r="G6" s="40">
        <v>64293</v>
      </c>
      <c r="H6" s="87">
        <v>41000</v>
      </c>
      <c r="I6" s="40">
        <v>6560</v>
      </c>
      <c r="J6" s="40">
        <f t="shared" si="1"/>
        <v>111853</v>
      </c>
      <c r="K6" s="40">
        <v>111853</v>
      </c>
      <c r="L6" s="40">
        <f t="shared" si="2"/>
        <v>0</v>
      </c>
      <c r="M6" s="38" t="s">
        <v>35</v>
      </c>
      <c r="N6" s="54"/>
      <c r="O6" s="36"/>
      <c r="P6" s="40">
        <v>0</v>
      </c>
      <c r="Q6" s="40">
        <v>64293</v>
      </c>
      <c r="R6" s="41"/>
      <c r="S6" s="40">
        <v>6000</v>
      </c>
      <c r="T6" s="40">
        <v>0</v>
      </c>
      <c r="U6" s="40">
        <v>20000</v>
      </c>
      <c r="V6" s="40">
        <v>0</v>
      </c>
      <c r="W6" s="40">
        <v>15000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36">
        <f t="shared" si="0"/>
        <v>0</v>
      </c>
      <c r="AJ6"/>
      <c r="AK6" s="37" t="s">
        <v>0</v>
      </c>
      <c r="AL6" s="1">
        <f>+W153</f>
        <v>1019120.2599999999</v>
      </c>
      <c r="AM6" s="1">
        <f>+'JUL USD'!AB19</f>
        <v>534981.38800000004</v>
      </c>
      <c r="AN6" s="1">
        <f t="shared" si="3"/>
        <v>1554101.648</v>
      </c>
      <c r="AO6" s="56">
        <f>+AN6/AN20</f>
        <v>0.24528611848584686</v>
      </c>
    </row>
    <row r="7" spans="1:41" x14ac:dyDescent="0.3">
      <c r="A7" s="38">
        <v>2</v>
      </c>
      <c r="B7" s="38" t="s">
        <v>1093</v>
      </c>
      <c r="C7" s="50" t="s">
        <v>1072</v>
      </c>
      <c r="D7" s="39">
        <v>45842</v>
      </c>
      <c r="E7" s="38" t="s">
        <v>22</v>
      </c>
      <c r="F7" s="38" t="s">
        <v>45</v>
      </c>
      <c r="G7" s="40">
        <v>1703</v>
      </c>
      <c r="H7" s="87">
        <v>4800</v>
      </c>
      <c r="I7" s="40">
        <v>768</v>
      </c>
      <c r="J7" s="40">
        <f t="shared" si="1"/>
        <v>7271</v>
      </c>
      <c r="K7" s="40">
        <v>7271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v>1703</v>
      </c>
      <c r="R7" s="41"/>
      <c r="S7" s="40">
        <v>4800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36">
        <f t="shared" si="0"/>
        <v>0</v>
      </c>
      <c r="AJ7"/>
      <c r="AK7" s="37" t="s">
        <v>478</v>
      </c>
      <c r="AL7" s="1">
        <f>+X153</f>
        <v>44200</v>
      </c>
      <c r="AM7" s="1"/>
      <c r="AN7" s="1">
        <f t="shared" si="3"/>
        <v>44200</v>
      </c>
      <c r="AO7" s="80">
        <f>+AN7/AN20</f>
        <v>6.9761501450221943E-3</v>
      </c>
    </row>
    <row r="8" spans="1:41" x14ac:dyDescent="0.3">
      <c r="A8" s="38">
        <v>2</v>
      </c>
      <c r="B8" s="38" t="s">
        <v>1094</v>
      </c>
      <c r="C8" s="38" t="s">
        <v>1073</v>
      </c>
      <c r="D8" s="39">
        <v>45842</v>
      </c>
      <c r="E8" s="38" t="s">
        <v>22</v>
      </c>
      <c r="F8" s="38" t="s">
        <v>45</v>
      </c>
      <c r="G8" s="40">
        <v>336</v>
      </c>
      <c r="H8" s="87">
        <v>4800</v>
      </c>
      <c r="I8" s="40">
        <v>768</v>
      </c>
      <c r="J8" s="40">
        <f t="shared" si="1"/>
        <v>5904</v>
      </c>
      <c r="K8" s="40">
        <v>5904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336</v>
      </c>
      <c r="R8" s="41"/>
      <c r="S8" s="40">
        <v>4800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/>
      <c r="AK8" s="37" t="s">
        <v>670</v>
      </c>
      <c r="AL8" s="1">
        <f>+Y153</f>
        <v>43376</v>
      </c>
      <c r="AM8" s="1"/>
      <c r="AN8" s="1">
        <f t="shared" si="3"/>
        <v>43376</v>
      </c>
      <c r="AO8" s="56">
        <f>+AN8/AN20</f>
        <v>6.846097029196441E-3</v>
      </c>
    </row>
    <row r="9" spans="1:41" x14ac:dyDescent="0.3">
      <c r="A9" s="38">
        <v>2</v>
      </c>
      <c r="B9" s="38" t="s">
        <v>1095</v>
      </c>
      <c r="C9" s="38" t="s">
        <v>1074</v>
      </c>
      <c r="D9" s="39">
        <v>45842</v>
      </c>
      <c r="E9" s="38" t="s">
        <v>22</v>
      </c>
      <c r="F9" s="38" t="s">
        <v>45</v>
      </c>
      <c r="G9" s="40">
        <v>781</v>
      </c>
      <c r="H9" s="87">
        <v>7276</v>
      </c>
      <c r="I9" s="40">
        <v>1164.1600000000001</v>
      </c>
      <c r="J9" s="40">
        <f t="shared" si="1"/>
        <v>9221.16</v>
      </c>
      <c r="K9" s="40">
        <v>9221.16</v>
      </c>
      <c r="L9" s="40">
        <f t="shared" si="2"/>
        <v>0</v>
      </c>
      <c r="M9" s="38" t="s">
        <v>35</v>
      </c>
      <c r="N9" s="54"/>
      <c r="O9" s="36"/>
      <c r="P9" s="40">
        <v>0</v>
      </c>
      <c r="Q9" s="40">
        <v>781</v>
      </c>
      <c r="R9" s="41"/>
      <c r="S9" s="40">
        <v>4200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1576</v>
      </c>
      <c r="Z9" s="40">
        <v>0</v>
      </c>
      <c r="AA9" s="40">
        <v>1500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/>
      <c r="AK9" s="37" t="s">
        <v>974</v>
      </c>
      <c r="AL9" s="1">
        <f>+Z153</f>
        <v>5094</v>
      </c>
      <c r="AM9" s="1"/>
      <c r="AN9" s="1">
        <f t="shared" si="3"/>
        <v>5094</v>
      </c>
      <c r="AO9" s="56">
        <f>+AN9/AN20</f>
        <v>8.0399341264124563E-4</v>
      </c>
    </row>
    <row r="10" spans="1:41" x14ac:dyDescent="0.3">
      <c r="A10" s="38">
        <v>2</v>
      </c>
      <c r="B10" s="38" t="s">
        <v>1096</v>
      </c>
      <c r="C10" s="38" t="s">
        <v>1075</v>
      </c>
      <c r="D10" s="39">
        <v>45842</v>
      </c>
      <c r="E10" s="38" t="s">
        <v>22</v>
      </c>
      <c r="F10" s="38" t="s">
        <v>45</v>
      </c>
      <c r="G10" s="40">
        <v>781</v>
      </c>
      <c r="H10" s="87">
        <v>6100</v>
      </c>
      <c r="I10" s="40">
        <v>976</v>
      </c>
      <c r="J10" s="40">
        <f t="shared" si="1"/>
        <v>7857</v>
      </c>
      <c r="K10" s="40">
        <v>7857</v>
      </c>
      <c r="L10" s="40">
        <f t="shared" si="2"/>
        <v>0</v>
      </c>
      <c r="M10" s="38" t="s">
        <v>35</v>
      </c>
      <c r="N10" s="54"/>
      <c r="O10" s="36"/>
      <c r="P10" s="40">
        <v>0</v>
      </c>
      <c r="Q10" s="40">
        <v>781</v>
      </c>
      <c r="R10" s="41"/>
      <c r="S10" s="40">
        <v>4300</v>
      </c>
      <c r="T10" s="40">
        <v>0</v>
      </c>
      <c r="U10" s="40">
        <v>0</v>
      </c>
      <c r="V10" s="40">
        <v>0</v>
      </c>
      <c r="W10" s="40">
        <v>0</v>
      </c>
      <c r="X10" s="40">
        <v>1800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/>
      <c r="AK10" s="37" t="s">
        <v>545</v>
      </c>
      <c r="AL10" s="1">
        <f>+AB153</f>
        <v>55215</v>
      </c>
      <c r="AM10" s="1"/>
      <c r="AN10" s="1">
        <f t="shared" si="3"/>
        <v>55215</v>
      </c>
      <c r="AO10" s="56">
        <f>+AN10/AN20</f>
        <v>8.7146635804841738E-3</v>
      </c>
    </row>
    <row r="11" spans="1:41" x14ac:dyDescent="0.3">
      <c r="A11" s="38">
        <v>2</v>
      </c>
      <c r="B11" s="38" t="s">
        <v>1097</v>
      </c>
      <c r="C11" s="2" t="s">
        <v>1076</v>
      </c>
      <c r="D11" s="39">
        <v>45842</v>
      </c>
      <c r="E11" s="38" t="s">
        <v>22</v>
      </c>
      <c r="F11" s="38" t="s">
        <v>45</v>
      </c>
      <c r="G11" s="40">
        <v>336</v>
      </c>
      <c r="H11" s="87">
        <v>8150</v>
      </c>
      <c r="I11" s="40">
        <v>1304</v>
      </c>
      <c r="J11" s="40">
        <f t="shared" si="1"/>
        <v>9790</v>
      </c>
      <c r="K11" s="40">
        <v>9790</v>
      </c>
      <c r="L11" s="40">
        <f t="shared" si="2"/>
        <v>0</v>
      </c>
      <c r="M11" s="38" t="s">
        <v>35</v>
      </c>
      <c r="N11" s="54"/>
      <c r="O11" s="36"/>
      <c r="P11" s="40">
        <v>0</v>
      </c>
      <c r="Q11" s="40">
        <v>336</v>
      </c>
      <c r="R11" s="41"/>
      <c r="S11" s="40">
        <v>4200</v>
      </c>
      <c r="T11" s="40">
        <v>0</v>
      </c>
      <c r="U11" s="40">
        <v>0</v>
      </c>
      <c r="V11" s="40">
        <v>0</v>
      </c>
      <c r="W11" s="40">
        <v>3950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36">
        <f t="shared" si="0"/>
        <v>0</v>
      </c>
      <c r="AJ11"/>
      <c r="AK11" s="37" t="s">
        <v>5</v>
      </c>
      <c r="AL11" s="1">
        <f>+AB153</f>
        <v>55215</v>
      </c>
      <c r="AM11" s="1"/>
      <c r="AN11" s="1">
        <f t="shared" si="3"/>
        <v>55215</v>
      </c>
      <c r="AO11" s="56">
        <f>+AN11/AN20</f>
        <v>8.7146635804841738E-3</v>
      </c>
    </row>
    <row r="12" spans="1:41" ht="14.4" customHeight="1" x14ac:dyDescent="0.3">
      <c r="A12" s="38">
        <v>2</v>
      </c>
      <c r="B12" s="38" t="s">
        <v>1098</v>
      </c>
      <c r="C12" s="2" t="s">
        <v>1077</v>
      </c>
      <c r="D12" s="39">
        <v>45842</v>
      </c>
      <c r="E12" s="38" t="s">
        <v>22</v>
      </c>
      <c r="F12" s="38" t="s">
        <v>45</v>
      </c>
      <c r="G12" s="40">
        <v>336</v>
      </c>
      <c r="H12" s="87">
        <v>17300</v>
      </c>
      <c r="I12" s="40">
        <v>2768</v>
      </c>
      <c r="J12" s="40">
        <f t="shared" si="1"/>
        <v>20404</v>
      </c>
      <c r="K12" s="40">
        <v>20404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336</v>
      </c>
      <c r="R12" s="41"/>
      <c r="S12" s="40">
        <v>4800</v>
      </c>
      <c r="T12" s="40">
        <v>0</v>
      </c>
      <c r="U12" s="40">
        <v>0</v>
      </c>
      <c r="V12" s="40">
        <v>0</v>
      </c>
      <c r="W12" s="40">
        <v>12500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/>
      <c r="AK12" s="37" t="s">
        <v>55</v>
      </c>
      <c r="AL12" s="1">
        <f>+AC153</f>
        <v>20400</v>
      </c>
      <c r="AM12" s="1"/>
      <c r="AN12" s="1">
        <f t="shared" si="3"/>
        <v>20400</v>
      </c>
      <c r="AO12" s="56">
        <f>+AN12/AN20</f>
        <v>3.219761605394859E-3</v>
      </c>
    </row>
    <row r="13" spans="1:41" x14ac:dyDescent="0.3">
      <c r="A13" s="38">
        <v>2</v>
      </c>
      <c r="B13" s="38" t="s">
        <v>1099</v>
      </c>
      <c r="C13" s="2" t="s">
        <v>1078</v>
      </c>
      <c r="D13" s="39">
        <v>45842</v>
      </c>
      <c r="E13" s="38" t="s">
        <v>22</v>
      </c>
      <c r="F13" s="38" t="s">
        <v>45</v>
      </c>
      <c r="G13" s="40">
        <v>336</v>
      </c>
      <c r="H13" s="87">
        <v>13600</v>
      </c>
      <c r="I13" s="40">
        <v>2176</v>
      </c>
      <c r="J13" s="40">
        <f t="shared" si="1"/>
        <v>16112</v>
      </c>
      <c r="K13" s="40">
        <v>16112</v>
      </c>
      <c r="L13" s="40">
        <f t="shared" si="2"/>
        <v>0</v>
      </c>
      <c r="M13" s="38" t="s">
        <v>35</v>
      </c>
      <c r="N13" s="54"/>
      <c r="O13" s="36"/>
      <c r="P13" s="40">
        <v>0</v>
      </c>
      <c r="Q13" s="40">
        <v>336</v>
      </c>
      <c r="R13" s="41"/>
      <c r="S13" s="40">
        <v>6000</v>
      </c>
      <c r="T13" s="40">
        <v>0</v>
      </c>
      <c r="U13" s="40">
        <v>3600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4000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/>
      <c r="AK13" s="37" t="s">
        <v>1219</v>
      </c>
      <c r="AL13" s="1">
        <f>+AD153</f>
        <v>4725</v>
      </c>
      <c r="AM13" s="1"/>
      <c r="AN13" s="1">
        <f t="shared" si="3"/>
        <v>4725</v>
      </c>
      <c r="AO13" s="80">
        <f>+AN13/AN20</f>
        <v>7.4575360713189742E-4</v>
      </c>
    </row>
    <row r="14" spans="1:41" x14ac:dyDescent="0.3">
      <c r="A14" s="38">
        <v>2</v>
      </c>
      <c r="B14" s="38" t="s">
        <v>1100</v>
      </c>
      <c r="C14" s="2" t="s">
        <v>1079</v>
      </c>
      <c r="D14" s="39">
        <v>45842</v>
      </c>
      <c r="E14" s="38" t="s">
        <v>22</v>
      </c>
      <c r="F14" s="38" t="s">
        <v>45</v>
      </c>
      <c r="G14" s="40">
        <v>782</v>
      </c>
      <c r="H14" s="87">
        <v>9600</v>
      </c>
      <c r="I14" s="40">
        <v>1536</v>
      </c>
      <c r="J14" s="40">
        <f t="shared" si="1"/>
        <v>11918</v>
      </c>
      <c r="K14" s="40">
        <v>11918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782</v>
      </c>
      <c r="R14" s="41"/>
      <c r="S14" s="40">
        <v>4800</v>
      </c>
      <c r="T14" s="40">
        <v>0</v>
      </c>
      <c r="U14" s="40">
        <v>0</v>
      </c>
      <c r="V14" s="40">
        <v>0</v>
      </c>
      <c r="W14" s="40">
        <v>4800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/>
      <c r="AK14" s="37" t="s">
        <v>1220</v>
      </c>
      <c r="AL14" s="1">
        <f>+AE153</f>
        <v>11025</v>
      </c>
      <c r="AM14" s="1">
        <f>+'JUL USD'!AE19</f>
        <v>1857.35</v>
      </c>
      <c r="AN14" s="1">
        <f t="shared" si="3"/>
        <v>12882.35</v>
      </c>
      <c r="AO14" s="56">
        <f>+AN14/AN20</f>
        <v>2.0332399959440421E-3</v>
      </c>
    </row>
    <row r="15" spans="1:41" x14ac:dyDescent="0.3">
      <c r="A15" s="38">
        <v>2</v>
      </c>
      <c r="B15" s="38" t="s">
        <v>1101</v>
      </c>
      <c r="C15" s="2" t="s">
        <v>1080</v>
      </c>
      <c r="D15" s="39">
        <v>45842</v>
      </c>
      <c r="E15" s="38" t="s">
        <v>22</v>
      </c>
      <c r="F15" s="38" t="s">
        <v>45</v>
      </c>
      <c r="G15" s="40">
        <v>37467</v>
      </c>
      <c r="H15" s="87">
        <v>10800</v>
      </c>
      <c r="I15" s="40">
        <v>1728</v>
      </c>
      <c r="J15" s="40">
        <f t="shared" si="1"/>
        <v>49995</v>
      </c>
      <c r="K15" s="40">
        <v>49995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37467</v>
      </c>
      <c r="R15" s="41"/>
      <c r="S15" s="40">
        <v>4800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6000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/>
      <c r="AK15" s="37" t="s">
        <v>48</v>
      </c>
      <c r="AL15" s="1">
        <f>+AF153</f>
        <v>3540</v>
      </c>
      <c r="AM15" s="1"/>
      <c r="AN15" s="1">
        <f t="shared" si="3"/>
        <v>3540</v>
      </c>
      <c r="AO15" s="56">
        <f>+AN15/AN20</f>
        <v>5.5872333740675489E-4</v>
      </c>
    </row>
    <row r="16" spans="1:41" x14ac:dyDescent="0.3">
      <c r="A16" s="38">
        <v>2</v>
      </c>
      <c r="B16" s="38" t="s">
        <v>1102</v>
      </c>
      <c r="C16" s="2" t="s">
        <v>1081</v>
      </c>
      <c r="D16" s="39">
        <v>45842</v>
      </c>
      <c r="E16" s="38" t="s">
        <v>198</v>
      </c>
      <c r="F16" s="38" t="s">
        <v>200</v>
      </c>
      <c r="G16" s="40">
        <v>0</v>
      </c>
      <c r="H16" s="87">
        <v>22000</v>
      </c>
      <c r="I16" s="40">
        <v>3520</v>
      </c>
      <c r="J16" s="40">
        <f t="shared" si="1"/>
        <v>25520</v>
      </c>
      <c r="K16" s="40">
        <v>25520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0</v>
      </c>
      <c r="R16" s="41"/>
      <c r="S16" s="40">
        <v>0</v>
      </c>
      <c r="T16" s="40">
        <v>0</v>
      </c>
      <c r="U16" s="40">
        <v>0</v>
      </c>
      <c r="V16" s="40">
        <v>0</v>
      </c>
      <c r="W16" s="40">
        <v>22000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/>
      <c r="AK16" s="37" t="s">
        <v>52</v>
      </c>
      <c r="AL16" s="1">
        <f>+AG153</f>
        <v>6346.6</v>
      </c>
      <c r="AM16" s="1">
        <f>+'JUL USD'!AG19</f>
        <v>21322.47</v>
      </c>
      <c r="AN16" s="1">
        <f t="shared" si="3"/>
        <v>27669.07</v>
      </c>
      <c r="AO16" s="56">
        <f>+AN16/AN20</f>
        <v>4.3670494726952315E-3</v>
      </c>
    </row>
    <row r="17" spans="1:41" x14ac:dyDescent="0.3">
      <c r="A17" s="38">
        <v>2</v>
      </c>
      <c r="B17" s="38" t="s">
        <v>1103</v>
      </c>
      <c r="C17" s="2" t="s">
        <v>1082</v>
      </c>
      <c r="D17" s="39">
        <v>45842</v>
      </c>
      <c r="E17" s="38" t="s">
        <v>198</v>
      </c>
      <c r="F17" s="38" t="s">
        <v>200</v>
      </c>
      <c r="G17" s="40">
        <v>0</v>
      </c>
      <c r="H17" s="87">
        <v>22000</v>
      </c>
      <c r="I17" s="40">
        <v>3520</v>
      </c>
      <c r="J17" s="40">
        <f t="shared" si="1"/>
        <v>25520</v>
      </c>
      <c r="K17" s="40">
        <v>25520</v>
      </c>
      <c r="L17" s="40">
        <f t="shared" si="2"/>
        <v>0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0</v>
      </c>
      <c r="T17" s="40">
        <v>0</v>
      </c>
      <c r="U17" s="40">
        <v>0</v>
      </c>
      <c r="V17" s="40">
        <v>0</v>
      </c>
      <c r="W17" s="40">
        <v>22000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/>
      <c r="AK17" s="37" t="s">
        <v>763</v>
      </c>
      <c r="AL17" s="1">
        <f>+AH153</f>
        <v>1900</v>
      </c>
      <c r="AM17" s="1"/>
      <c r="AN17" s="1">
        <f t="shared" si="3"/>
        <v>1900</v>
      </c>
      <c r="AO17" s="56">
        <f>+AN17/AN20</f>
        <v>2.9987975736520746E-4</v>
      </c>
    </row>
    <row r="18" spans="1:41" x14ac:dyDescent="0.3">
      <c r="A18" s="38">
        <v>2</v>
      </c>
      <c r="B18" s="38" t="s">
        <v>1104</v>
      </c>
      <c r="C18" s="2" t="s">
        <v>1083</v>
      </c>
      <c r="D18" s="39">
        <v>45842</v>
      </c>
      <c r="E18" s="38" t="s">
        <v>53</v>
      </c>
      <c r="F18" s="38" t="s">
        <v>199</v>
      </c>
      <c r="G18" s="40">
        <v>336</v>
      </c>
      <c r="H18" s="87">
        <v>9600</v>
      </c>
      <c r="I18" s="40">
        <v>1536</v>
      </c>
      <c r="J18" s="40">
        <f t="shared" si="1"/>
        <v>11472</v>
      </c>
      <c r="K18" s="40">
        <v>11472</v>
      </c>
      <c r="L18" s="40">
        <f t="shared" si="2"/>
        <v>0</v>
      </c>
      <c r="M18" s="38" t="s">
        <v>35</v>
      </c>
      <c r="N18" s="54"/>
      <c r="O18" s="36"/>
      <c r="P18" s="40">
        <v>0</v>
      </c>
      <c r="Q18" s="40">
        <v>336</v>
      </c>
      <c r="R18" s="41"/>
      <c r="S18" s="40">
        <f>4800+4800</f>
        <v>9600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/>
      <c r="AK18" s="37" t="s">
        <v>1230</v>
      </c>
      <c r="AM18" s="1">
        <f>+'JUL USD'!AC19</f>
        <v>6552</v>
      </c>
      <c r="AN18" s="1">
        <f t="shared" si="3"/>
        <v>6552</v>
      </c>
      <c r="AO18" s="56">
        <f>+AN18/AN20</f>
        <v>1.0341116685562311E-3</v>
      </c>
    </row>
    <row r="19" spans="1:41" x14ac:dyDescent="0.3">
      <c r="A19" s="38">
        <v>2</v>
      </c>
      <c r="B19" s="38" t="s">
        <v>1105</v>
      </c>
      <c r="C19" s="2" t="s">
        <v>1084</v>
      </c>
      <c r="D19" s="39">
        <v>45842</v>
      </c>
      <c r="E19" s="38" t="s">
        <v>22</v>
      </c>
      <c r="F19" s="38" t="s">
        <v>45</v>
      </c>
      <c r="G19" s="40">
        <v>336</v>
      </c>
      <c r="H19" s="87">
        <v>8300</v>
      </c>
      <c r="I19" s="40">
        <v>1328</v>
      </c>
      <c r="J19" s="40">
        <f t="shared" si="1"/>
        <v>9964</v>
      </c>
      <c r="K19" s="40">
        <v>9964</v>
      </c>
      <c r="L19" s="40">
        <f t="shared" si="2"/>
        <v>0</v>
      </c>
      <c r="M19" s="38" t="s">
        <v>35</v>
      </c>
      <c r="N19" s="54"/>
      <c r="O19" s="36"/>
      <c r="P19" s="40">
        <v>0</v>
      </c>
      <c r="Q19" s="40">
        <v>336</v>
      </c>
      <c r="R19" s="41"/>
      <c r="S19" s="40">
        <v>4800</v>
      </c>
      <c r="T19" s="40">
        <v>0</v>
      </c>
      <c r="U19" s="40">
        <v>0</v>
      </c>
      <c r="V19" s="40">
        <v>0</v>
      </c>
      <c r="W19" s="40">
        <v>0</v>
      </c>
      <c r="X19" s="40">
        <v>2300</v>
      </c>
      <c r="Y19" s="40">
        <v>1200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/>
      <c r="AK19" s="58" t="s">
        <v>514</v>
      </c>
      <c r="AM19" s="1">
        <f>+'JUL USD'!AF19</f>
        <v>101530.54879999999</v>
      </c>
      <c r="AN19" s="1">
        <f t="shared" si="3"/>
        <v>101530.54879999999</v>
      </c>
      <c r="AO19" s="56">
        <f>+AN19/AN20</f>
        <v>1.6024713862789659E-2</v>
      </c>
    </row>
    <row r="20" spans="1:41" x14ac:dyDescent="0.3">
      <c r="A20" s="38">
        <v>2</v>
      </c>
      <c r="B20" s="38" t="s">
        <v>1106</v>
      </c>
      <c r="C20" s="50" t="s">
        <v>1085</v>
      </c>
      <c r="D20" s="39">
        <v>45842</v>
      </c>
      <c r="E20" s="38" t="s">
        <v>22</v>
      </c>
      <c r="F20" s="38" t="s">
        <v>45</v>
      </c>
      <c r="G20" s="40">
        <v>0</v>
      </c>
      <c r="H20" s="87">
        <v>8600</v>
      </c>
      <c r="I20" s="40">
        <v>1376</v>
      </c>
      <c r="J20" s="40">
        <f t="shared" si="1"/>
        <v>9976</v>
      </c>
      <c r="K20" s="40">
        <v>9976</v>
      </c>
      <c r="L20" s="40">
        <f t="shared" si="2"/>
        <v>0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4800</v>
      </c>
      <c r="T20" s="40">
        <v>0</v>
      </c>
      <c r="U20" s="40">
        <v>0</v>
      </c>
      <c r="V20" s="40">
        <v>0</v>
      </c>
      <c r="W20" s="40">
        <v>3800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/>
      <c r="AK20" s="37"/>
      <c r="AL20" s="45">
        <f>+SUM(AL2:AL19)</f>
        <v>5668143.1699999999</v>
      </c>
      <c r="AM20" s="45">
        <f>+SUM(AM2:AM19)</f>
        <v>667729.63679999998</v>
      </c>
      <c r="AN20" s="45">
        <f>+SUM(AN2:AN19)</f>
        <v>6335872.8068000004</v>
      </c>
      <c r="AO20" s="57">
        <f>+SUM(AO2:AO19)</f>
        <v>1.0000000000000002</v>
      </c>
    </row>
    <row r="21" spans="1:41" x14ac:dyDescent="0.3">
      <c r="A21" s="38">
        <v>2</v>
      </c>
      <c r="B21" s="38" t="s">
        <v>1107</v>
      </c>
      <c r="C21" s="50" t="s">
        <v>1086</v>
      </c>
      <c r="D21" s="39">
        <v>45842</v>
      </c>
      <c r="E21" s="38" t="s">
        <v>22</v>
      </c>
      <c r="F21" s="38" t="s">
        <v>45</v>
      </c>
      <c r="G21" s="40">
        <v>781</v>
      </c>
      <c r="H21" s="87">
        <v>4800</v>
      </c>
      <c r="I21" s="40">
        <v>768</v>
      </c>
      <c r="J21" s="40">
        <f t="shared" si="1"/>
        <v>6349</v>
      </c>
      <c r="K21" s="40">
        <v>6349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781</v>
      </c>
      <c r="R21" s="41"/>
      <c r="S21" s="40">
        <v>4800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/>
      <c r="AL21" s="36"/>
      <c r="AM21" s="36"/>
      <c r="AN21" s="1"/>
    </row>
    <row r="22" spans="1:41" x14ac:dyDescent="0.3">
      <c r="A22" s="38">
        <v>2</v>
      </c>
      <c r="B22" s="38" t="s">
        <v>1108</v>
      </c>
      <c r="C22" s="50" t="s">
        <v>1087</v>
      </c>
      <c r="D22" s="39">
        <v>45842</v>
      </c>
      <c r="E22" s="38" t="s">
        <v>22</v>
      </c>
      <c r="F22" s="38" t="s">
        <v>45</v>
      </c>
      <c r="G22" s="40">
        <v>44608</v>
      </c>
      <c r="H22" s="87">
        <v>17500</v>
      </c>
      <c r="I22" s="40">
        <v>2800</v>
      </c>
      <c r="J22" s="40">
        <f>SUM(G22:I22)</f>
        <v>64908</v>
      </c>
      <c r="K22" s="40">
        <v>64778</v>
      </c>
      <c r="L22" s="40">
        <f t="shared" si="2"/>
        <v>130</v>
      </c>
      <c r="M22" s="38" t="s">
        <v>35</v>
      </c>
      <c r="N22" s="54"/>
      <c r="O22" s="36"/>
      <c r="P22" s="40">
        <v>0</v>
      </c>
      <c r="Q22" s="40">
        <v>44608</v>
      </c>
      <c r="R22" s="41"/>
      <c r="S22" s="40">
        <v>4900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12600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/>
      <c r="AK22" s="37"/>
      <c r="AM22" s="1"/>
      <c r="AN22" s="1"/>
    </row>
    <row r="23" spans="1:41" x14ac:dyDescent="0.3">
      <c r="A23" s="38">
        <v>2</v>
      </c>
      <c r="B23" s="38" t="s">
        <v>1109</v>
      </c>
      <c r="C23" s="38" t="s">
        <v>1115</v>
      </c>
      <c r="D23" s="39">
        <v>45845</v>
      </c>
      <c r="E23" s="38" t="s">
        <v>22</v>
      </c>
      <c r="F23" s="38" t="s">
        <v>45</v>
      </c>
      <c r="G23" s="40">
        <v>336</v>
      </c>
      <c r="H23" s="87">
        <v>8000</v>
      </c>
      <c r="I23" s="40">
        <v>1280</v>
      </c>
      <c r="J23" s="40">
        <f t="shared" si="1"/>
        <v>9616</v>
      </c>
      <c r="K23" s="40">
        <v>9616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336</v>
      </c>
      <c r="R23" s="41"/>
      <c r="S23" s="40">
        <v>4800</v>
      </c>
      <c r="T23" s="40">
        <v>0</v>
      </c>
      <c r="U23" s="40">
        <v>0</v>
      </c>
      <c r="V23" s="40">
        <v>0</v>
      </c>
      <c r="W23" s="40">
        <v>3200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/>
      <c r="AK23" s="37"/>
      <c r="AM23" s="1"/>
      <c r="AN23" s="1"/>
    </row>
    <row r="24" spans="1:41" x14ac:dyDescent="0.3">
      <c r="A24" s="38">
        <v>2</v>
      </c>
      <c r="B24" s="38" t="s">
        <v>1110</v>
      </c>
      <c r="C24" s="38" t="s">
        <v>1116</v>
      </c>
      <c r="D24" s="39">
        <v>45845</v>
      </c>
      <c r="E24" s="38" t="s">
        <v>22</v>
      </c>
      <c r="F24" s="38" t="s">
        <v>45</v>
      </c>
      <c r="G24" s="40">
        <v>12907</v>
      </c>
      <c r="H24" s="87">
        <v>7700</v>
      </c>
      <c r="I24" s="40">
        <v>1232</v>
      </c>
      <c r="J24" s="40">
        <f t="shared" si="1"/>
        <v>21839</v>
      </c>
      <c r="K24" s="40">
        <v>21839</v>
      </c>
      <c r="L24" s="40">
        <f t="shared" si="2"/>
        <v>0</v>
      </c>
      <c r="M24" s="38" t="s">
        <v>35</v>
      </c>
      <c r="N24" s="54"/>
      <c r="O24" s="36"/>
      <c r="P24" s="40">
        <v>0</v>
      </c>
      <c r="Q24" s="40">
        <v>12907</v>
      </c>
      <c r="R24" s="41"/>
      <c r="S24" s="40">
        <v>4200</v>
      </c>
      <c r="T24" s="40">
        <v>0</v>
      </c>
      <c r="U24" s="40">
        <v>0</v>
      </c>
      <c r="V24" s="40">
        <v>0</v>
      </c>
      <c r="W24" s="40">
        <v>0</v>
      </c>
      <c r="X24" s="40">
        <v>2300</v>
      </c>
      <c r="Y24" s="40">
        <v>1200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/>
      <c r="AK24" s="37"/>
      <c r="AL24" s="52"/>
      <c r="AM24" s="1"/>
      <c r="AN24" s="1"/>
    </row>
    <row r="25" spans="1:41" x14ac:dyDescent="0.3">
      <c r="A25" s="38">
        <v>2</v>
      </c>
      <c r="B25" s="38" t="s">
        <v>1111</v>
      </c>
      <c r="C25" s="38" t="s">
        <v>1117</v>
      </c>
      <c r="D25" s="39">
        <v>45845</v>
      </c>
      <c r="E25" s="38" t="s">
        <v>40</v>
      </c>
      <c r="F25" s="38" t="s">
        <v>41</v>
      </c>
      <c r="G25" s="40">
        <v>0</v>
      </c>
      <c r="H25" s="87">
        <v>42100</v>
      </c>
      <c r="I25" s="40">
        <v>6736</v>
      </c>
      <c r="J25" s="40">
        <f t="shared" si="1"/>
        <v>48836</v>
      </c>
      <c r="K25" s="40">
        <v>0</v>
      </c>
      <c r="L25" s="40">
        <f t="shared" si="2"/>
        <v>48836</v>
      </c>
      <c r="M25" s="38" t="s">
        <v>35</v>
      </c>
      <c r="N25" s="54"/>
      <c r="O25" s="36"/>
      <c r="P25" s="40">
        <v>0</v>
      </c>
      <c r="Q25" s="40">
        <v>0</v>
      </c>
      <c r="R25" s="41"/>
      <c r="S25" s="40">
        <v>4600</v>
      </c>
      <c r="T25" s="40">
        <v>0</v>
      </c>
      <c r="U25" s="40">
        <v>0</v>
      </c>
      <c r="V25" s="40">
        <v>0</v>
      </c>
      <c r="W25" s="40">
        <v>37500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/>
      <c r="AK25" s="37"/>
      <c r="AL25" s="52"/>
      <c r="AM25" s="1"/>
      <c r="AN25" s="1"/>
    </row>
    <row r="26" spans="1:41" x14ac:dyDescent="0.3">
      <c r="A26" s="38">
        <v>2</v>
      </c>
      <c r="B26" s="38" t="s">
        <v>1112</v>
      </c>
      <c r="C26" s="38" t="s">
        <v>1118</v>
      </c>
      <c r="D26" s="39">
        <v>45845</v>
      </c>
      <c r="E26" s="38" t="s">
        <v>40</v>
      </c>
      <c r="F26" s="38" t="s">
        <v>41</v>
      </c>
      <c r="G26" s="40">
        <v>0</v>
      </c>
      <c r="H26" s="87">
        <v>25200</v>
      </c>
      <c r="I26" s="40">
        <v>4032</v>
      </c>
      <c r="J26" s="40">
        <f t="shared" si="1"/>
        <v>29232</v>
      </c>
      <c r="K26" s="40">
        <v>0</v>
      </c>
      <c r="L26" s="40">
        <f t="shared" si="2"/>
        <v>29232</v>
      </c>
      <c r="M26" s="38" t="s">
        <v>35</v>
      </c>
      <c r="N26" s="54"/>
      <c r="O26" s="36"/>
      <c r="P26" s="40">
        <v>0</v>
      </c>
      <c r="Q26" s="40">
        <v>0</v>
      </c>
      <c r="R26" s="41"/>
      <c r="S26" s="40">
        <v>4400</v>
      </c>
      <c r="T26" s="40">
        <v>0</v>
      </c>
      <c r="U26" s="40">
        <v>0</v>
      </c>
      <c r="V26" s="40">
        <v>0</v>
      </c>
      <c r="W26" s="40">
        <v>19000</v>
      </c>
      <c r="X26" s="40">
        <v>1800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/>
      <c r="AK26" s="37"/>
      <c r="AM26" s="1"/>
      <c r="AN26" s="1"/>
    </row>
    <row r="27" spans="1:41" x14ac:dyDescent="0.3">
      <c r="A27" s="38">
        <v>2</v>
      </c>
      <c r="B27" s="38" t="s">
        <v>1113</v>
      </c>
      <c r="C27" s="38" t="s">
        <v>1119</v>
      </c>
      <c r="D27" s="39">
        <v>45845</v>
      </c>
      <c r="E27" s="38" t="s">
        <v>198</v>
      </c>
      <c r="F27" s="38" t="s">
        <v>200</v>
      </c>
      <c r="G27" s="40">
        <v>0</v>
      </c>
      <c r="H27" s="87">
        <v>22000</v>
      </c>
      <c r="I27" s="40">
        <v>3520</v>
      </c>
      <c r="J27" s="40">
        <f t="shared" si="1"/>
        <v>25520</v>
      </c>
      <c r="K27" s="40">
        <v>25520</v>
      </c>
      <c r="L27" s="40">
        <f t="shared" si="2"/>
        <v>0</v>
      </c>
      <c r="M27" s="38" t="s">
        <v>35</v>
      </c>
      <c r="N27" s="54"/>
      <c r="O27" s="36"/>
      <c r="P27" s="40">
        <v>0</v>
      </c>
      <c r="Q27" s="40">
        <v>0</v>
      </c>
      <c r="R27" s="41"/>
      <c r="S27" s="40">
        <v>0</v>
      </c>
      <c r="T27" s="40">
        <v>0</v>
      </c>
      <c r="U27" s="40">
        <v>0</v>
      </c>
      <c r="V27" s="40">
        <v>0</v>
      </c>
      <c r="W27" s="40">
        <v>22000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/>
      <c r="AK27" s="37"/>
      <c r="AL27" s="53"/>
      <c r="AM27" s="1"/>
      <c r="AN27" s="1"/>
    </row>
    <row r="28" spans="1:41" x14ac:dyDescent="0.3">
      <c r="A28" s="38">
        <v>1</v>
      </c>
      <c r="B28" s="38" t="s">
        <v>1114</v>
      </c>
      <c r="C28" s="38" t="s">
        <v>1120</v>
      </c>
      <c r="D28" s="39">
        <v>45845</v>
      </c>
      <c r="E28" s="38" t="s">
        <v>53</v>
      </c>
      <c r="F28" s="38" t="s">
        <v>199</v>
      </c>
      <c r="G28" s="40">
        <v>2116</v>
      </c>
      <c r="H28" s="87">
        <v>15499.2</v>
      </c>
      <c r="I28" s="40">
        <v>2479.87</v>
      </c>
      <c r="J28" s="40">
        <f t="shared" si="1"/>
        <v>20095.07</v>
      </c>
      <c r="K28" s="40">
        <v>51832</v>
      </c>
      <c r="L28" s="40">
        <f t="shared" si="2"/>
        <v>-31736.93</v>
      </c>
      <c r="M28" s="38" t="s">
        <v>35</v>
      </c>
      <c r="N28" s="54"/>
      <c r="O28" s="36"/>
      <c r="P28" s="40">
        <v>0</v>
      </c>
      <c r="Q28" s="40">
        <v>2116</v>
      </c>
      <c r="R28" s="41"/>
      <c r="S28" s="40">
        <v>7200</v>
      </c>
      <c r="T28" s="40">
        <v>0</v>
      </c>
      <c r="U28" s="40">
        <v>5299.2</v>
      </c>
      <c r="V28" s="40">
        <v>0</v>
      </c>
      <c r="W28" s="40">
        <v>0</v>
      </c>
      <c r="X28" s="40">
        <v>3000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/>
      <c r="AK28" s="37"/>
      <c r="AM28" s="1"/>
      <c r="AN28" s="1"/>
    </row>
    <row r="29" spans="1:41" x14ac:dyDescent="0.3">
      <c r="A29" s="38">
        <v>2</v>
      </c>
      <c r="B29" s="38" t="s">
        <v>1121</v>
      </c>
      <c r="C29" s="38" t="s">
        <v>1122</v>
      </c>
      <c r="D29" s="39">
        <v>45846</v>
      </c>
      <c r="E29" s="38" t="s">
        <v>40</v>
      </c>
      <c r="F29" s="38" t="s">
        <v>41</v>
      </c>
      <c r="G29" s="40">
        <v>0</v>
      </c>
      <c r="H29" s="87">
        <f>4400+1800+19000</f>
        <v>25200</v>
      </c>
      <c r="I29" s="40">
        <v>4032</v>
      </c>
      <c r="J29" s="40">
        <f t="shared" si="1"/>
        <v>29232</v>
      </c>
      <c r="K29" s="40">
        <v>0</v>
      </c>
      <c r="L29" s="40">
        <f t="shared" si="2"/>
        <v>29232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4400</v>
      </c>
      <c r="T29" s="40">
        <v>0</v>
      </c>
      <c r="U29" s="40">
        <v>0</v>
      </c>
      <c r="V29" s="40">
        <v>0</v>
      </c>
      <c r="W29" s="40">
        <v>19000</v>
      </c>
      <c r="X29" s="40">
        <v>1800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/>
      <c r="AK29" s="37"/>
      <c r="AM29" s="1"/>
      <c r="AN29" s="1"/>
    </row>
    <row r="30" spans="1:41" x14ac:dyDescent="0.3">
      <c r="A30" s="38">
        <v>2</v>
      </c>
      <c r="B30" s="38" t="s">
        <v>1123</v>
      </c>
      <c r="C30" s="38" t="s">
        <v>1124</v>
      </c>
      <c r="D30" s="39">
        <v>45846</v>
      </c>
      <c r="E30" s="38" t="s">
        <v>22</v>
      </c>
      <c r="F30" s="38" t="s">
        <v>45</v>
      </c>
      <c r="G30" s="40">
        <v>336</v>
      </c>
      <c r="H30" s="87">
        <f>12000+1250</f>
        <v>13250</v>
      </c>
      <c r="I30" s="40">
        <v>2120</v>
      </c>
      <c r="J30" s="40">
        <f t="shared" si="1"/>
        <v>15706</v>
      </c>
      <c r="K30" s="40">
        <v>32480</v>
      </c>
      <c r="L30" s="40">
        <f t="shared" si="2"/>
        <v>-16774</v>
      </c>
      <c r="M30" s="38" t="s">
        <v>35</v>
      </c>
      <c r="N30" s="54"/>
      <c r="O30" s="36"/>
      <c r="P30" s="40">
        <v>0</v>
      </c>
      <c r="Q30" s="40">
        <v>336</v>
      </c>
      <c r="R30" s="41"/>
      <c r="S30" s="40">
        <v>12000</v>
      </c>
      <c r="T30" s="40">
        <v>0</v>
      </c>
      <c r="U30" s="40">
        <v>1250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/>
      <c r="AK30" s="37"/>
      <c r="AM30" s="1"/>
      <c r="AN30" s="1"/>
    </row>
    <row r="31" spans="1:41" x14ac:dyDescent="0.3">
      <c r="A31" s="38">
        <v>1</v>
      </c>
      <c r="B31" s="38" t="s">
        <v>1125</v>
      </c>
      <c r="C31" s="38" t="s">
        <v>1126</v>
      </c>
      <c r="D31" s="39">
        <v>45846</v>
      </c>
      <c r="E31" s="38" t="s">
        <v>53</v>
      </c>
      <c r="F31" s="38" t="s">
        <v>199</v>
      </c>
      <c r="G31" s="40">
        <v>781</v>
      </c>
      <c r="H31" s="88">
        <f>6872.32+2530.65+3915+608.92</f>
        <v>13926.89</v>
      </c>
      <c r="I31" s="40">
        <v>2228.3000000000002</v>
      </c>
      <c r="J31" s="40">
        <f t="shared" si="1"/>
        <v>16936.189999999999</v>
      </c>
      <c r="K31" s="40">
        <v>28294.3</v>
      </c>
      <c r="L31" s="40">
        <f t="shared" si="2"/>
        <v>-11358.11</v>
      </c>
      <c r="M31" s="38" t="s">
        <v>35</v>
      </c>
      <c r="N31" s="54"/>
      <c r="O31" s="36"/>
      <c r="P31" s="40">
        <v>0</v>
      </c>
      <c r="Q31" s="40">
        <v>781</v>
      </c>
      <c r="R31" s="41"/>
      <c r="S31" s="40">
        <v>6872.32</v>
      </c>
      <c r="T31" s="40">
        <v>608.91999999999996</v>
      </c>
      <c r="U31" s="40">
        <v>2530.65</v>
      </c>
      <c r="V31" s="40">
        <v>0</v>
      </c>
      <c r="W31" s="40">
        <v>3915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si="0"/>
        <v>0</v>
      </c>
      <c r="AJ31"/>
      <c r="AK31" s="37"/>
      <c r="AM31" s="1"/>
      <c r="AN31" s="1"/>
    </row>
    <row r="32" spans="1:41" x14ac:dyDescent="0.3">
      <c r="A32" s="38">
        <v>2</v>
      </c>
      <c r="B32" s="38" t="s">
        <v>1127</v>
      </c>
      <c r="C32" s="38" t="s">
        <v>1142</v>
      </c>
      <c r="D32" s="39">
        <v>45847</v>
      </c>
      <c r="E32" s="38" t="s">
        <v>22</v>
      </c>
      <c r="F32" s="38" t="s">
        <v>45</v>
      </c>
      <c r="G32" s="40">
        <v>336</v>
      </c>
      <c r="H32" s="87">
        <v>14103</v>
      </c>
      <c r="I32" s="40">
        <v>2256.48</v>
      </c>
      <c r="J32" s="40">
        <f t="shared" si="1"/>
        <v>16695.48</v>
      </c>
      <c r="K32" s="40">
        <v>16695.48</v>
      </c>
      <c r="L32" s="40">
        <f t="shared" si="2"/>
        <v>0</v>
      </c>
      <c r="M32" s="38" t="s">
        <v>35</v>
      </c>
      <c r="N32" s="54"/>
      <c r="O32" s="36"/>
      <c r="P32" s="40">
        <v>0</v>
      </c>
      <c r="Q32" s="40">
        <v>336</v>
      </c>
      <c r="R32" s="41"/>
      <c r="S32" s="40">
        <v>5903</v>
      </c>
      <c r="T32" s="40">
        <v>0</v>
      </c>
      <c r="U32" s="40">
        <v>0</v>
      </c>
      <c r="V32" s="40">
        <v>0</v>
      </c>
      <c r="W32" s="40">
        <v>6200</v>
      </c>
      <c r="X32" s="40">
        <v>2000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0"/>
        <v>0</v>
      </c>
      <c r="AJ32"/>
      <c r="AK32" s="37"/>
      <c r="AM32" s="1"/>
      <c r="AN32" s="1"/>
    </row>
    <row r="33" spans="1:40" x14ac:dyDescent="0.3">
      <c r="A33" s="38">
        <v>1</v>
      </c>
      <c r="B33" s="38" t="s">
        <v>1128</v>
      </c>
      <c r="C33" s="38" t="s">
        <v>1143</v>
      </c>
      <c r="D33" s="39">
        <v>45847</v>
      </c>
      <c r="E33" s="38" t="s">
        <v>53</v>
      </c>
      <c r="F33" s="38" t="s">
        <v>199</v>
      </c>
      <c r="G33" s="40">
        <v>781</v>
      </c>
      <c r="H33" s="87">
        <v>18041.650000000001</v>
      </c>
      <c r="I33" s="40">
        <v>2886.67</v>
      </c>
      <c r="J33" s="40">
        <f t="shared" si="1"/>
        <v>21709.32</v>
      </c>
      <c r="K33" s="40">
        <v>35051.800000000003</v>
      </c>
      <c r="L33" s="40">
        <f t="shared" si="2"/>
        <v>-13342.480000000003</v>
      </c>
      <c r="M33" s="38" t="s">
        <v>35</v>
      </c>
      <c r="N33" s="54"/>
      <c r="O33" s="36"/>
      <c r="P33" s="40">
        <v>0</v>
      </c>
      <c r="Q33" s="40">
        <v>781</v>
      </c>
      <c r="R33" s="41"/>
      <c r="S33" s="40">
        <v>6887.41</v>
      </c>
      <c r="T33" s="40">
        <v>0</v>
      </c>
      <c r="U33" s="40">
        <v>5739.24</v>
      </c>
      <c r="V33" s="40">
        <v>0</v>
      </c>
      <c r="W33" s="40">
        <v>3915</v>
      </c>
      <c r="X33" s="40">
        <v>1500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0"/>
        <v>0</v>
      </c>
      <c r="AJ33"/>
      <c r="AK33" s="37"/>
      <c r="AM33" s="1"/>
      <c r="AN33" s="1"/>
    </row>
    <row r="34" spans="1:40" x14ac:dyDescent="0.3">
      <c r="A34" s="38">
        <v>1</v>
      </c>
      <c r="B34" s="38" t="s">
        <v>1129</v>
      </c>
      <c r="C34" s="38" t="s">
        <v>1144</v>
      </c>
      <c r="D34" s="39">
        <v>45848</v>
      </c>
      <c r="E34" s="38" t="s">
        <v>53</v>
      </c>
      <c r="F34" s="38" t="s">
        <v>199</v>
      </c>
      <c r="G34" s="40">
        <v>0</v>
      </c>
      <c r="H34" s="87">
        <v>37539.64</v>
      </c>
      <c r="I34" s="40">
        <v>6006.34</v>
      </c>
      <c r="J34" s="40">
        <f t="shared" si="1"/>
        <v>43545.979999999996</v>
      </c>
      <c r="K34" s="40">
        <v>71832</v>
      </c>
      <c r="L34" s="40">
        <f t="shared" si="2"/>
        <v>-28286.020000000004</v>
      </c>
      <c r="M34" s="38" t="s">
        <v>35</v>
      </c>
      <c r="N34" s="54"/>
      <c r="O34" s="36"/>
      <c r="P34" s="40">
        <v>0</v>
      </c>
      <c r="Q34" s="40">
        <v>0</v>
      </c>
      <c r="R34" s="41"/>
      <c r="S34" s="40">
        <v>7200</v>
      </c>
      <c r="T34" s="40">
        <v>0</v>
      </c>
      <c r="U34" s="40">
        <v>30339.64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ref="AI34:AI65" si="4">+SUM(S34:AH34)-H34</f>
        <v>0</v>
      </c>
      <c r="AJ34"/>
      <c r="AK34" s="37"/>
      <c r="AM34" s="1"/>
      <c r="AN34" s="1"/>
    </row>
    <row r="35" spans="1:40" x14ac:dyDescent="0.3">
      <c r="A35" s="38">
        <v>1</v>
      </c>
      <c r="B35" s="38" t="s">
        <v>1130</v>
      </c>
      <c r="C35" s="38" t="s">
        <v>1145</v>
      </c>
      <c r="D35" s="39">
        <v>45848</v>
      </c>
      <c r="E35" s="38" t="s">
        <v>53</v>
      </c>
      <c r="F35" s="38" t="s">
        <v>199</v>
      </c>
      <c r="G35" s="40">
        <v>0</v>
      </c>
      <c r="H35" s="87">
        <v>43320.06</v>
      </c>
      <c r="I35" s="40">
        <v>6931.21</v>
      </c>
      <c r="J35" s="40">
        <f t="shared" si="1"/>
        <v>50251.27</v>
      </c>
      <c r="K35" s="40">
        <v>71832</v>
      </c>
      <c r="L35" s="40">
        <f t="shared" si="2"/>
        <v>-21580.730000000003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7200</v>
      </c>
      <c r="T35" s="40">
        <v>0</v>
      </c>
      <c r="U35" s="40">
        <v>36120.06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6">
        <f t="shared" si="4"/>
        <v>0</v>
      </c>
      <c r="AJ35"/>
      <c r="AK35" s="37"/>
      <c r="AM35" s="1"/>
      <c r="AN35" s="1"/>
    </row>
    <row r="36" spans="1:40" x14ac:dyDescent="0.3">
      <c r="A36" s="38">
        <v>1</v>
      </c>
      <c r="B36" s="38" t="s">
        <v>1131</v>
      </c>
      <c r="C36" s="38" t="s">
        <v>1146</v>
      </c>
      <c r="D36" s="39">
        <v>45848</v>
      </c>
      <c r="E36" s="38" t="s">
        <v>53</v>
      </c>
      <c r="F36" s="38" t="s">
        <v>199</v>
      </c>
      <c r="G36" s="40">
        <v>0</v>
      </c>
      <c r="H36" s="87">
        <v>27429.66</v>
      </c>
      <c r="I36" s="40">
        <v>4388.75</v>
      </c>
      <c r="J36" s="40">
        <f t="shared" si="1"/>
        <v>31818.41</v>
      </c>
      <c r="K36" s="40">
        <v>61832</v>
      </c>
      <c r="L36" s="40">
        <f t="shared" si="2"/>
        <v>-30013.59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7200</v>
      </c>
      <c r="T36" s="40">
        <v>0</v>
      </c>
      <c r="U36" s="40">
        <v>20229.66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4"/>
        <v>0</v>
      </c>
      <c r="AJ36"/>
      <c r="AK36" s="37"/>
      <c r="AM36" s="1"/>
      <c r="AN36" s="1"/>
    </row>
    <row r="37" spans="1:40" x14ac:dyDescent="0.3">
      <c r="A37" s="38">
        <v>1</v>
      </c>
      <c r="B37" s="38" t="s">
        <v>1132</v>
      </c>
      <c r="C37" s="38" t="s">
        <v>1147</v>
      </c>
      <c r="D37" s="39">
        <v>45848</v>
      </c>
      <c r="E37" s="38" t="s">
        <v>53</v>
      </c>
      <c r="F37" s="38" t="s">
        <v>199</v>
      </c>
      <c r="G37" s="40">
        <v>0</v>
      </c>
      <c r="H37" s="87">
        <v>22871.13</v>
      </c>
      <c r="I37" s="40">
        <v>3659.38</v>
      </c>
      <c r="J37" s="40">
        <f t="shared" si="1"/>
        <v>26530.510000000002</v>
      </c>
      <c r="K37" s="40">
        <v>58352</v>
      </c>
      <c r="L37" s="40">
        <f t="shared" si="2"/>
        <v>-31821.489999999998</v>
      </c>
      <c r="M37" s="38" t="s">
        <v>35</v>
      </c>
      <c r="N37" s="54"/>
      <c r="O37" s="36"/>
      <c r="P37" s="40">
        <v>0</v>
      </c>
      <c r="Q37" s="40">
        <v>0</v>
      </c>
      <c r="R37" s="41"/>
      <c r="S37" s="40">
        <v>7200</v>
      </c>
      <c r="T37" s="40">
        <v>0</v>
      </c>
      <c r="U37" s="40">
        <v>15671.13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4"/>
        <v>0</v>
      </c>
      <c r="AJ37"/>
      <c r="AK37" s="37"/>
      <c r="AM37" s="1"/>
      <c r="AN37" s="1"/>
    </row>
    <row r="38" spans="1:40" x14ac:dyDescent="0.3">
      <c r="A38" s="38">
        <v>1</v>
      </c>
      <c r="B38" s="38" t="s">
        <v>1133</v>
      </c>
      <c r="C38" s="50" t="s">
        <v>1148</v>
      </c>
      <c r="D38" s="39">
        <v>45848</v>
      </c>
      <c r="E38" s="38" t="s">
        <v>53</v>
      </c>
      <c r="F38" s="38" t="s">
        <v>199</v>
      </c>
      <c r="G38" s="40">
        <v>0</v>
      </c>
      <c r="H38" s="87">
        <v>17287.900000000001</v>
      </c>
      <c r="I38" s="40">
        <v>2766.06</v>
      </c>
      <c r="J38" s="40">
        <f t="shared" si="1"/>
        <v>20053.960000000003</v>
      </c>
      <c r="K38" s="40">
        <v>98352</v>
      </c>
      <c r="L38" s="40">
        <f t="shared" si="2"/>
        <v>-78298.039999999994</v>
      </c>
      <c r="M38" s="38" t="s">
        <v>35</v>
      </c>
      <c r="N38" s="54"/>
      <c r="O38" s="36"/>
      <c r="P38" s="40">
        <v>0</v>
      </c>
      <c r="Q38" s="40">
        <v>0</v>
      </c>
      <c r="R38" s="41"/>
      <c r="S38" s="40">
        <v>7200</v>
      </c>
      <c r="T38" s="40">
        <v>0</v>
      </c>
      <c r="U38" s="40">
        <v>10087.9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4"/>
        <v>0</v>
      </c>
      <c r="AJ38"/>
      <c r="AK38" s="37"/>
      <c r="AM38" s="1"/>
      <c r="AN38" s="1"/>
    </row>
    <row r="39" spans="1:40" x14ac:dyDescent="0.3">
      <c r="A39" s="38">
        <v>2</v>
      </c>
      <c r="B39" s="38" t="s">
        <v>1134</v>
      </c>
      <c r="C39" s="50" t="s">
        <v>1149</v>
      </c>
      <c r="D39" s="39">
        <v>45848</v>
      </c>
      <c r="E39" s="38" t="s">
        <v>22</v>
      </c>
      <c r="F39" s="38" t="s">
        <v>45</v>
      </c>
      <c r="G39" s="40">
        <v>336</v>
      </c>
      <c r="H39" s="87">
        <v>8300</v>
      </c>
      <c r="I39" s="40">
        <v>1328</v>
      </c>
      <c r="J39" s="40">
        <f t="shared" si="1"/>
        <v>9964</v>
      </c>
      <c r="K39" s="40">
        <v>9964</v>
      </c>
      <c r="L39" s="40">
        <f t="shared" si="2"/>
        <v>0</v>
      </c>
      <c r="M39" s="38" t="s">
        <v>35</v>
      </c>
      <c r="N39" s="54"/>
      <c r="O39" s="36"/>
      <c r="P39" s="40">
        <v>0</v>
      </c>
      <c r="Q39" s="40">
        <v>336</v>
      </c>
      <c r="R39" s="41"/>
      <c r="S39" s="40">
        <v>3000</v>
      </c>
      <c r="T39" s="40">
        <v>0</v>
      </c>
      <c r="U39" s="40">
        <v>0</v>
      </c>
      <c r="V39" s="40">
        <v>0</v>
      </c>
      <c r="W39" s="40">
        <v>3950</v>
      </c>
      <c r="X39" s="40">
        <v>0</v>
      </c>
      <c r="Y39" s="40">
        <v>0</v>
      </c>
      <c r="Z39" s="40">
        <v>1350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4"/>
        <v>0</v>
      </c>
      <c r="AJ39"/>
      <c r="AK39" s="37"/>
      <c r="AM39" s="1"/>
      <c r="AN39" s="1"/>
    </row>
    <row r="40" spans="1:40" x14ac:dyDescent="0.3">
      <c r="A40" s="38">
        <v>2</v>
      </c>
      <c r="B40" s="38" t="s">
        <v>1135</v>
      </c>
      <c r="C40" s="50" t="s">
        <v>1150</v>
      </c>
      <c r="D40" s="39">
        <v>45849</v>
      </c>
      <c r="E40" s="38" t="s">
        <v>22</v>
      </c>
      <c r="F40" s="38" t="s">
        <v>45</v>
      </c>
      <c r="G40" s="40">
        <v>336</v>
      </c>
      <c r="H40" s="87">
        <v>8150</v>
      </c>
      <c r="I40" s="40">
        <v>1304</v>
      </c>
      <c r="J40" s="40">
        <f t="shared" si="1"/>
        <v>9790</v>
      </c>
      <c r="K40" s="40">
        <v>9790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336</v>
      </c>
      <c r="R40" s="41"/>
      <c r="S40" s="40">
        <v>4200</v>
      </c>
      <c r="T40" s="40">
        <v>0</v>
      </c>
      <c r="U40" s="40">
        <v>0</v>
      </c>
      <c r="V40" s="40">
        <v>0</v>
      </c>
      <c r="W40" s="40">
        <v>3950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4"/>
        <v>0</v>
      </c>
      <c r="AJ40"/>
      <c r="AK40" s="37"/>
      <c r="AM40" s="1"/>
      <c r="AN40" s="1"/>
    </row>
    <row r="41" spans="1:40" x14ac:dyDescent="0.3">
      <c r="A41" s="38">
        <v>2</v>
      </c>
      <c r="B41" s="38" t="s">
        <v>1136</v>
      </c>
      <c r="C41" s="38" t="s">
        <v>1151</v>
      </c>
      <c r="D41" s="39">
        <v>45849</v>
      </c>
      <c r="E41" s="38" t="s">
        <v>22</v>
      </c>
      <c r="F41" s="38" t="s">
        <v>45</v>
      </c>
      <c r="G41" s="40">
        <v>336</v>
      </c>
      <c r="H41" s="87">
        <v>8000</v>
      </c>
      <c r="I41" s="40">
        <v>1280</v>
      </c>
      <c r="J41" s="40">
        <f t="shared" si="1"/>
        <v>9616</v>
      </c>
      <c r="K41" s="40">
        <v>9616</v>
      </c>
      <c r="L41" s="40">
        <f t="shared" si="2"/>
        <v>0</v>
      </c>
      <c r="M41" s="38" t="s">
        <v>35</v>
      </c>
      <c r="N41" s="54"/>
      <c r="O41" s="36"/>
      <c r="P41" s="40">
        <v>0</v>
      </c>
      <c r="Q41" s="40">
        <v>336</v>
      </c>
      <c r="R41" s="41"/>
      <c r="S41" s="40">
        <v>4800</v>
      </c>
      <c r="T41" s="40">
        <v>0</v>
      </c>
      <c r="U41" s="40">
        <v>0</v>
      </c>
      <c r="V41" s="40">
        <v>0</v>
      </c>
      <c r="W41" s="40">
        <v>3200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4"/>
        <v>0</v>
      </c>
      <c r="AJ41"/>
      <c r="AK41" s="37"/>
      <c r="AM41" s="1"/>
      <c r="AN41" s="1"/>
    </row>
    <row r="42" spans="1:40" x14ac:dyDescent="0.3">
      <c r="A42" s="38">
        <v>1</v>
      </c>
      <c r="B42" s="38" t="s">
        <v>1137</v>
      </c>
      <c r="C42" s="50" t="s">
        <v>1152</v>
      </c>
      <c r="D42" s="39">
        <v>45849</v>
      </c>
      <c r="E42" s="38" t="s">
        <v>53</v>
      </c>
      <c r="F42" s="38" t="s">
        <v>199</v>
      </c>
      <c r="G42" s="40">
        <v>2116</v>
      </c>
      <c r="H42" s="87">
        <v>25060.27</v>
      </c>
      <c r="I42" s="40">
        <v>4009.64</v>
      </c>
      <c r="J42" s="40">
        <f t="shared" si="1"/>
        <v>31185.91</v>
      </c>
      <c r="K42" s="40">
        <v>60000</v>
      </c>
      <c r="L42" s="40">
        <f t="shared" si="2"/>
        <v>-28814.09</v>
      </c>
      <c r="M42" s="38" t="s">
        <v>35</v>
      </c>
      <c r="N42" s="54"/>
      <c r="O42" s="36"/>
      <c r="P42" s="40">
        <v>0</v>
      </c>
      <c r="Q42" s="40">
        <v>2116</v>
      </c>
      <c r="R42" s="41"/>
      <c r="S42" s="40">
        <v>7200</v>
      </c>
      <c r="T42" s="40">
        <v>0</v>
      </c>
      <c r="U42" s="40">
        <v>17860.27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4"/>
        <v>0</v>
      </c>
      <c r="AJ42"/>
      <c r="AK42" s="37"/>
      <c r="AM42" s="1"/>
      <c r="AN42" s="1"/>
    </row>
    <row r="43" spans="1:40" x14ac:dyDescent="0.3">
      <c r="A43" s="38">
        <v>2</v>
      </c>
      <c r="B43" s="38" t="s">
        <v>1138</v>
      </c>
      <c r="C43" s="38" t="s">
        <v>1153</v>
      </c>
      <c r="D43" s="39">
        <v>45849</v>
      </c>
      <c r="E43" s="38" t="s">
        <v>198</v>
      </c>
      <c r="F43" s="38" t="s">
        <v>200</v>
      </c>
      <c r="G43" s="40">
        <v>0</v>
      </c>
      <c r="H43" s="87">
        <v>22000</v>
      </c>
      <c r="I43" s="40">
        <v>3520</v>
      </c>
      <c r="J43" s="40">
        <f t="shared" si="1"/>
        <v>25520</v>
      </c>
      <c r="K43" s="40">
        <v>25520</v>
      </c>
      <c r="L43" s="40">
        <f t="shared" si="2"/>
        <v>0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0</v>
      </c>
      <c r="T43" s="40">
        <v>0</v>
      </c>
      <c r="U43" s="40">
        <v>0</v>
      </c>
      <c r="V43" s="40">
        <v>0</v>
      </c>
      <c r="W43" s="40">
        <v>22000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36">
        <f t="shared" si="4"/>
        <v>0</v>
      </c>
      <c r="AJ43"/>
      <c r="AK43" s="37"/>
      <c r="AM43" s="1"/>
      <c r="AN43" s="1"/>
    </row>
    <row r="44" spans="1:40" x14ac:dyDescent="0.3">
      <c r="A44" s="38">
        <v>2</v>
      </c>
      <c r="B44" s="38" t="s">
        <v>1139</v>
      </c>
      <c r="C44" s="38" t="s">
        <v>1154</v>
      </c>
      <c r="D44" s="39">
        <v>45849</v>
      </c>
      <c r="E44" s="38" t="s">
        <v>40</v>
      </c>
      <c r="F44" s="38" t="s">
        <v>41</v>
      </c>
      <c r="G44" s="40">
        <v>0</v>
      </c>
      <c r="H44" s="87">
        <v>41500</v>
      </c>
      <c r="I44" s="40">
        <v>6640</v>
      </c>
      <c r="J44" s="40">
        <f t="shared" si="1"/>
        <v>48140</v>
      </c>
      <c r="K44" s="40">
        <v>0</v>
      </c>
      <c r="L44" s="40">
        <f t="shared" si="2"/>
        <v>48140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4000</v>
      </c>
      <c r="T44" s="40">
        <v>0</v>
      </c>
      <c r="U44" s="40">
        <v>0</v>
      </c>
      <c r="V44" s="40">
        <v>0</v>
      </c>
      <c r="W44" s="40">
        <v>37500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4"/>
        <v>0</v>
      </c>
      <c r="AJ44"/>
      <c r="AK44" s="37"/>
      <c r="AM44" s="1"/>
      <c r="AN44" s="1"/>
    </row>
    <row r="45" spans="1:40" x14ac:dyDescent="0.3">
      <c r="A45" s="38">
        <v>2</v>
      </c>
      <c r="B45" s="38" t="s">
        <v>1140</v>
      </c>
      <c r="C45" s="38" t="s">
        <v>1155</v>
      </c>
      <c r="D45" s="39">
        <v>45849</v>
      </c>
      <c r="E45" s="38" t="s">
        <v>198</v>
      </c>
      <c r="F45" s="38" t="s">
        <v>200</v>
      </c>
      <c r="G45" s="40">
        <v>0</v>
      </c>
      <c r="H45" s="88">
        <v>22000</v>
      </c>
      <c r="I45" s="40">
        <v>3520</v>
      </c>
      <c r="J45" s="40">
        <f t="shared" si="1"/>
        <v>25520</v>
      </c>
      <c r="K45" s="40">
        <v>25520</v>
      </c>
      <c r="L45" s="40">
        <f t="shared" si="2"/>
        <v>0</v>
      </c>
      <c r="M45" s="38" t="s">
        <v>35</v>
      </c>
      <c r="N45" s="54"/>
      <c r="O45" s="36"/>
      <c r="P45" s="40">
        <v>0</v>
      </c>
      <c r="Q45" s="40">
        <v>0</v>
      </c>
      <c r="R45" s="41"/>
      <c r="S45" s="40">
        <v>0</v>
      </c>
      <c r="T45" s="40">
        <v>0</v>
      </c>
      <c r="U45" s="40">
        <v>0</v>
      </c>
      <c r="V45" s="40">
        <v>0</v>
      </c>
      <c r="W45" s="40">
        <v>22000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36">
        <f t="shared" si="4"/>
        <v>0</v>
      </c>
      <c r="AJ45"/>
      <c r="AK45" s="37"/>
      <c r="AM45" s="1"/>
      <c r="AN45" s="1"/>
    </row>
    <row r="46" spans="1:40" x14ac:dyDescent="0.3">
      <c r="A46" s="38">
        <v>2</v>
      </c>
      <c r="B46" s="38" t="s">
        <v>1141</v>
      </c>
      <c r="C46" s="50" t="s">
        <v>1156</v>
      </c>
      <c r="D46" s="39">
        <v>45849</v>
      </c>
      <c r="E46" s="38" t="s">
        <v>198</v>
      </c>
      <c r="F46" s="38" t="s">
        <v>200</v>
      </c>
      <c r="G46" s="40">
        <v>0</v>
      </c>
      <c r="H46" s="87">
        <v>22000</v>
      </c>
      <c r="I46" s="40">
        <v>3520</v>
      </c>
      <c r="J46" s="40">
        <f t="shared" si="1"/>
        <v>25520</v>
      </c>
      <c r="K46" s="40">
        <v>25520</v>
      </c>
      <c r="L46" s="40">
        <f t="shared" si="2"/>
        <v>0</v>
      </c>
      <c r="M46" s="38" t="s">
        <v>35</v>
      </c>
      <c r="N46" s="54"/>
      <c r="O46" s="36"/>
      <c r="P46" s="40">
        <v>0</v>
      </c>
      <c r="Q46" s="40">
        <v>0</v>
      </c>
      <c r="R46" s="41"/>
      <c r="S46" s="40">
        <v>0</v>
      </c>
      <c r="T46" s="40">
        <v>0</v>
      </c>
      <c r="U46" s="40">
        <v>0</v>
      </c>
      <c r="V46" s="40">
        <v>0</v>
      </c>
      <c r="W46" s="40">
        <v>22000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4"/>
        <v>0</v>
      </c>
      <c r="AJ46"/>
      <c r="AK46" s="37"/>
      <c r="AM46" s="1"/>
      <c r="AN46" s="1"/>
    </row>
    <row r="47" spans="1:40" x14ac:dyDescent="0.3">
      <c r="A47" s="38">
        <v>2</v>
      </c>
      <c r="B47" s="38" t="s">
        <v>1161</v>
      </c>
      <c r="C47" s="38" t="s">
        <v>1162</v>
      </c>
      <c r="D47" s="39">
        <v>45852</v>
      </c>
      <c r="E47" s="38" t="s">
        <v>22</v>
      </c>
      <c r="F47" s="38" t="s">
        <v>45</v>
      </c>
      <c r="G47" s="40">
        <v>336</v>
      </c>
      <c r="H47" s="87">
        <v>6800</v>
      </c>
      <c r="I47" s="40">
        <v>1088</v>
      </c>
      <c r="J47" s="40">
        <f t="shared" si="1"/>
        <v>8224</v>
      </c>
      <c r="K47" s="40">
        <v>8224</v>
      </c>
      <c r="L47" s="40">
        <f t="shared" si="2"/>
        <v>0</v>
      </c>
      <c r="M47" s="38" t="s">
        <v>35</v>
      </c>
      <c r="N47" s="54"/>
      <c r="O47" s="36"/>
      <c r="P47" s="40">
        <v>0</v>
      </c>
      <c r="Q47" s="40">
        <v>336</v>
      </c>
      <c r="R47" s="41"/>
      <c r="S47" s="40">
        <v>6800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4"/>
        <v>0</v>
      </c>
      <c r="AJ47"/>
      <c r="AK47" s="37"/>
      <c r="AM47" s="1"/>
      <c r="AN47" s="1"/>
    </row>
    <row r="48" spans="1:40" x14ac:dyDescent="0.3">
      <c r="A48" s="38">
        <v>2</v>
      </c>
      <c r="B48" s="38" t="s">
        <v>1163</v>
      </c>
      <c r="C48" s="38" t="s">
        <v>1164</v>
      </c>
      <c r="D48" s="39">
        <v>45852</v>
      </c>
      <c r="E48" s="38" t="s">
        <v>22</v>
      </c>
      <c r="F48" s="38" t="s">
        <v>45</v>
      </c>
      <c r="G48" s="40">
        <v>336</v>
      </c>
      <c r="H48" s="87">
        <f>4200+6400</f>
        <v>10600</v>
      </c>
      <c r="I48" s="40">
        <v>1696</v>
      </c>
      <c r="J48" s="40">
        <f t="shared" si="1"/>
        <v>12632</v>
      </c>
      <c r="K48" s="40">
        <v>12632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336</v>
      </c>
      <c r="R48" s="41"/>
      <c r="S48" s="40">
        <v>4200</v>
      </c>
      <c r="T48" s="40">
        <v>0</v>
      </c>
      <c r="U48" s="40">
        <v>0</v>
      </c>
      <c r="V48" s="40">
        <v>0</v>
      </c>
      <c r="W48" s="40">
        <v>6400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4"/>
        <v>0</v>
      </c>
      <c r="AJ48"/>
      <c r="AK48" s="37"/>
      <c r="AM48" s="1"/>
      <c r="AN48" s="1"/>
    </row>
    <row r="49" spans="1:40" x14ac:dyDescent="0.3">
      <c r="A49" s="38">
        <v>2</v>
      </c>
      <c r="B49" s="38" t="s">
        <v>1165</v>
      </c>
      <c r="C49" s="50" t="s">
        <v>1166</v>
      </c>
      <c r="D49" s="39">
        <v>45852</v>
      </c>
      <c r="E49" s="38" t="s">
        <v>22</v>
      </c>
      <c r="F49" s="38" t="s">
        <v>45</v>
      </c>
      <c r="G49" s="40">
        <v>0</v>
      </c>
      <c r="H49" s="87">
        <f>4200+3950</f>
        <v>8150</v>
      </c>
      <c r="I49" s="40">
        <v>1304</v>
      </c>
      <c r="J49" s="40">
        <f t="shared" si="1"/>
        <v>9454</v>
      </c>
      <c r="K49" s="40">
        <v>9454</v>
      </c>
      <c r="L49" s="40">
        <f t="shared" si="2"/>
        <v>0</v>
      </c>
      <c r="M49" s="38" t="s">
        <v>35</v>
      </c>
      <c r="N49" s="54"/>
      <c r="O49" s="36"/>
      <c r="P49" s="40">
        <v>0</v>
      </c>
      <c r="Q49" s="40">
        <v>0</v>
      </c>
      <c r="R49" s="41"/>
      <c r="S49" s="40">
        <v>4200</v>
      </c>
      <c r="T49" s="40">
        <v>0</v>
      </c>
      <c r="U49" s="40">
        <v>0</v>
      </c>
      <c r="V49" s="40">
        <v>0</v>
      </c>
      <c r="W49" s="40">
        <v>3950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4"/>
        <v>0</v>
      </c>
      <c r="AJ49"/>
      <c r="AK49" s="37"/>
      <c r="AM49" s="1"/>
      <c r="AN49" s="1"/>
    </row>
    <row r="50" spans="1:40" x14ac:dyDescent="0.3">
      <c r="A50" s="38">
        <v>1</v>
      </c>
      <c r="B50" s="38" t="s">
        <v>1182</v>
      </c>
      <c r="C50" s="50" t="s">
        <v>1167</v>
      </c>
      <c r="D50" s="39">
        <v>45852</v>
      </c>
      <c r="E50" s="38" t="s">
        <v>42</v>
      </c>
      <c r="F50" s="38" t="s">
        <v>49</v>
      </c>
      <c r="G50" s="40">
        <v>55513</v>
      </c>
      <c r="H50" s="87">
        <f>6785.39+4811.6</f>
        <v>11596.990000000002</v>
      </c>
      <c r="I50" s="40">
        <v>1855.52</v>
      </c>
      <c r="J50" s="40">
        <f t="shared" si="1"/>
        <v>68965.510000000009</v>
      </c>
      <c r="K50" s="40">
        <v>76724.05</v>
      </c>
      <c r="L50" s="40">
        <f t="shared" si="2"/>
        <v>-7758.5399999999936</v>
      </c>
      <c r="M50" s="38" t="s">
        <v>35</v>
      </c>
      <c r="N50" s="54"/>
      <c r="O50" s="36"/>
      <c r="P50" s="40">
        <v>0</v>
      </c>
      <c r="Q50" s="40">
        <v>55513</v>
      </c>
      <c r="R50" s="41"/>
      <c r="S50" s="40">
        <v>6785.39</v>
      </c>
      <c r="T50" s="40">
        <v>0</v>
      </c>
      <c r="U50" s="40">
        <v>4811.6000000000004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6">
        <f t="shared" si="4"/>
        <v>0</v>
      </c>
      <c r="AJ50"/>
      <c r="AK50" s="37"/>
      <c r="AM50" s="1"/>
      <c r="AN50" s="1"/>
    </row>
    <row r="51" spans="1:40" x14ac:dyDescent="0.3">
      <c r="A51" s="38">
        <v>1</v>
      </c>
      <c r="B51" s="38" t="s">
        <v>1168</v>
      </c>
      <c r="C51" s="38" t="s">
        <v>1169</v>
      </c>
      <c r="D51" s="39">
        <v>45853</v>
      </c>
      <c r="E51" s="38" t="s">
        <v>53</v>
      </c>
      <c r="F51" s="38" t="s">
        <v>199</v>
      </c>
      <c r="G51" s="40">
        <f>428+2561</f>
        <v>2989</v>
      </c>
      <c r="H51" s="87">
        <f>3000+7200+65160.52</f>
        <v>75360.51999999999</v>
      </c>
      <c r="I51" s="40">
        <v>12057.68</v>
      </c>
      <c r="J51" s="40">
        <f t="shared" si="1"/>
        <v>90407.199999999983</v>
      </c>
      <c r="K51" s="40">
        <v>90407.2</v>
      </c>
      <c r="L51" s="40">
        <f t="shared" si="2"/>
        <v>0</v>
      </c>
      <c r="M51" s="38" t="s">
        <v>35</v>
      </c>
      <c r="N51" s="54"/>
      <c r="O51" s="36"/>
      <c r="P51" s="40">
        <v>0</v>
      </c>
      <c r="Q51" s="40">
        <f>428+2561</f>
        <v>2989</v>
      </c>
      <c r="R51" s="41"/>
      <c r="S51" s="40">
        <f>3000+7200</f>
        <v>10200</v>
      </c>
      <c r="T51" s="40">
        <v>0</v>
      </c>
      <c r="U51" s="40">
        <v>65160.52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4"/>
        <v>0</v>
      </c>
      <c r="AJ51"/>
      <c r="AK51" s="37"/>
      <c r="AM51" s="1"/>
      <c r="AN51" s="1"/>
    </row>
    <row r="52" spans="1:40" x14ac:dyDescent="0.3">
      <c r="A52" s="38">
        <v>2</v>
      </c>
      <c r="B52" s="2" t="s">
        <v>1170</v>
      </c>
      <c r="C52" s="50" t="s">
        <v>1171</v>
      </c>
      <c r="D52" s="39">
        <v>45853</v>
      </c>
      <c r="E52" s="38" t="s">
        <v>198</v>
      </c>
      <c r="F52" s="38" t="s">
        <v>200</v>
      </c>
      <c r="G52" s="40">
        <v>0</v>
      </c>
      <c r="H52" s="87">
        <v>22000</v>
      </c>
      <c r="I52" s="40">
        <v>3520</v>
      </c>
      <c r="J52" s="40">
        <f t="shared" si="1"/>
        <v>25520</v>
      </c>
      <c r="K52" s="40">
        <v>25520</v>
      </c>
      <c r="L52" s="40">
        <f t="shared" si="2"/>
        <v>0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0</v>
      </c>
      <c r="T52" s="40">
        <v>0</v>
      </c>
      <c r="U52" s="40">
        <v>0</v>
      </c>
      <c r="V52" s="40">
        <v>0</v>
      </c>
      <c r="W52" s="40">
        <v>22000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4"/>
        <v>0</v>
      </c>
      <c r="AJ52"/>
      <c r="AK52" s="37"/>
      <c r="AM52" s="1"/>
      <c r="AN52" s="1"/>
    </row>
    <row r="53" spans="1:40" x14ac:dyDescent="0.3">
      <c r="A53" s="38">
        <v>2</v>
      </c>
      <c r="B53" s="2" t="s">
        <v>1172</v>
      </c>
      <c r="C53" s="38" t="s">
        <v>1173</v>
      </c>
      <c r="D53" s="39">
        <v>45853</v>
      </c>
      <c r="E53" s="38" t="s">
        <v>40</v>
      </c>
      <c r="F53" s="38" t="s">
        <v>41</v>
      </c>
      <c r="G53" s="40">
        <v>0</v>
      </c>
      <c r="H53" s="87">
        <f>4200+1900+37500</f>
        <v>43600</v>
      </c>
      <c r="I53" s="40">
        <v>6976</v>
      </c>
      <c r="J53" s="40">
        <f t="shared" si="1"/>
        <v>50576</v>
      </c>
      <c r="K53" s="40">
        <v>0</v>
      </c>
      <c r="L53" s="40">
        <f t="shared" si="2"/>
        <v>50576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4200</v>
      </c>
      <c r="T53" s="40">
        <v>0</v>
      </c>
      <c r="U53" s="40">
        <v>0</v>
      </c>
      <c r="V53" s="40">
        <v>0</v>
      </c>
      <c r="W53" s="40">
        <v>37500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1900</v>
      </c>
      <c r="AI53" s="36">
        <f t="shared" si="4"/>
        <v>0</v>
      </c>
      <c r="AJ53"/>
      <c r="AK53" s="37"/>
      <c r="AM53" s="1"/>
      <c r="AN53" s="1"/>
    </row>
    <row r="54" spans="1:40" x14ac:dyDescent="0.3">
      <c r="A54" s="38">
        <v>2</v>
      </c>
      <c r="B54" s="2" t="s">
        <v>1174</v>
      </c>
      <c r="C54" s="38" t="s">
        <v>1175</v>
      </c>
      <c r="D54" s="39">
        <v>45853</v>
      </c>
      <c r="E54" s="38" t="s">
        <v>40</v>
      </c>
      <c r="F54" s="38" t="s">
        <v>41</v>
      </c>
      <c r="G54" s="40">
        <v>0</v>
      </c>
      <c r="H54" s="87">
        <v>4000</v>
      </c>
      <c r="I54" s="40">
        <v>640</v>
      </c>
      <c r="J54" s="40">
        <f t="shared" si="1"/>
        <v>4640</v>
      </c>
      <c r="K54" s="40">
        <v>0</v>
      </c>
      <c r="L54" s="40">
        <f t="shared" si="2"/>
        <v>4640</v>
      </c>
      <c r="M54" s="38" t="s">
        <v>35</v>
      </c>
      <c r="N54" s="54"/>
      <c r="O54" s="36"/>
      <c r="P54" s="40">
        <v>0</v>
      </c>
      <c r="Q54" s="40">
        <v>0</v>
      </c>
      <c r="R54" s="41"/>
      <c r="S54" s="40">
        <v>4000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6">
        <f t="shared" si="4"/>
        <v>0</v>
      </c>
      <c r="AJ54"/>
      <c r="AK54" s="37"/>
      <c r="AM54" s="1"/>
      <c r="AN54" s="1"/>
    </row>
    <row r="55" spans="1:40" x14ac:dyDescent="0.3">
      <c r="A55" s="38">
        <v>1</v>
      </c>
      <c r="B55" s="2" t="s">
        <v>1176</v>
      </c>
      <c r="C55" s="50" t="s">
        <v>1177</v>
      </c>
      <c r="D55" s="39">
        <v>45853</v>
      </c>
      <c r="E55" s="38" t="s">
        <v>223</v>
      </c>
      <c r="F55" s="38" t="s">
        <v>1178</v>
      </c>
      <c r="G55" s="40">
        <v>6063</v>
      </c>
      <c r="H55" s="87">
        <f>6500+9300+2200+1500</f>
        <v>19500</v>
      </c>
      <c r="I55" s="40">
        <v>3120</v>
      </c>
      <c r="J55" s="40">
        <f t="shared" si="1"/>
        <v>28683</v>
      </c>
      <c r="K55" s="40">
        <v>28901</v>
      </c>
      <c r="L55" s="40">
        <f t="shared" si="2"/>
        <v>-218</v>
      </c>
      <c r="M55" s="38" t="s">
        <v>35</v>
      </c>
      <c r="N55" s="54"/>
      <c r="O55" s="36"/>
      <c r="P55" s="40">
        <v>0</v>
      </c>
      <c r="Q55" s="40">
        <v>6063</v>
      </c>
      <c r="R55" s="41"/>
      <c r="S55" s="40">
        <v>6500</v>
      </c>
      <c r="T55" s="40">
        <v>1500</v>
      </c>
      <c r="U55" s="40">
        <v>9300</v>
      </c>
      <c r="V55" s="40">
        <v>0</v>
      </c>
      <c r="W55" s="40">
        <v>2200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4"/>
        <v>0</v>
      </c>
      <c r="AJ55"/>
      <c r="AK55" s="37"/>
      <c r="AM55" s="1"/>
      <c r="AN55" s="1"/>
    </row>
    <row r="56" spans="1:40" x14ac:dyDescent="0.3">
      <c r="A56" s="38">
        <v>2</v>
      </c>
      <c r="B56" s="2" t="s">
        <v>1179</v>
      </c>
      <c r="C56" s="50" t="s">
        <v>1180</v>
      </c>
      <c r="D56" s="39">
        <v>45853</v>
      </c>
      <c r="E56" s="38" t="s">
        <v>61</v>
      </c>
      <c r="F56" s="38" t="s">
        <v>1181</v>
      </c>
      <c r="G56" s="40">
        <v>0</v>
      </c>
      <c r="H56" s="87">
        <v>11640.93</v>
      </c>
      <c r="I56" s="40">
        <v>1862.55</v>
      </c>
      <c r="J56" s="40">
        <f t="shared" si="1"/>
        <v>13503.48</v>
      </c>
      <c r="K56" s="40">
        <v>13503.48</v>
      </c>
      <c r="L56" s="40">
        <f t="shared" si="2"/>
        <v>0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0</v>
      </c>
      <c r="T56" s="40">
        <v>0</v>
      </c>
      <c r="U56" s="40">
        <v>0</v>
      </c>
      <c r="V56" s="40">
        <v>0</v>
      </c>
      <c r="W56" s="40">
        <v>11640.93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4"/>
        <v>0</v>
      </c>
      <c r="AJ56"/>
      <c r="AK56" s="37"/>
      <c r="AM56" s="1"/>
      <c r="AN56" s="1"/>
    </row>
    <row r="57" spans="1:40" x14ac:dyDescent="0.3">
      <c r="A57" s="38">
        <v>1</v>
      </c>
      <c r="B57" s="2" t="s">
        <v>1183</v>
      </c>
      <c r="C57" s="38" t="s">
        <v>1184</v>
      </c>
      <c r="D57" s="39">
        <v>45854</v>
      </c>
      <c r="E57" s="38" t="s">
        <v>53</v>
      </c>
      <c r="F57" s="38" t="s">
        <v>199</v>
      </c>
      <c r="G57" s="40">
        <v>0</v>
      </c>
      <c r="H57" s="87">
        <f>7200+52251.85</f>
        <v>59451.85</v>
      </c>
      <c r="I57" s="40">
        <v>9512.2999999999993</v>
      </c>
      <c r="J57" s="40">
        <f t="shared" si="1"/>
        <v>68964.149999999994</v>
      </c>
      <c r="K57" s="40">
        <v>72272</v>
      </c>
      <c r="L57" s="40">
        <f t="shared" si="2"/>
        <v>-3307.8500000000058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7200</v>
      </c>
      <c r="T57" s="40">
        <v>0</v>
      </c>
      <c r="U57" s="40">
        <v>52251.85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36">
        <f t="shared" si="4"/>
        <v>0</v>
      </c>
      <c r="AJ57"/>
      <c r="AK57" s="37"/>
      <c r="AM57" s="1"/>
      <c r="AN57" s="1"/>
    </row>
    <row r="58" spans="1:40" x14ac:dyDescent="0.3">
      <c r="A58" s="38">
        <v>2</v>
      </c>
      <c r="B58" s="2" t="s">
        <v>1189</v>
      </c>
      <c r="C58" s="38" t="s">
        <v>1190</v>
      </c>
      <c r="D58" s="39">
        <v>45854</v>
      </c>
      <c r="E58" s="38" t="s">
        <v>22</v>
      </c>
      <c r="F58" s="38" t="s">
        <v>45</v>
      </c>
      <c r="G58" s="40">
        <v>18384</v>
      </c>
      <c r="H58" s="87">
        <f>4900+1800+2800+1500</f>
        <v>11000</v>
      </c>
      <c r="I58" s="40">
        <v>1760</v>
      </c>
      <c r="J58" s="40">
        <f t="shared" si="1"/>
        <v>31144</v>
      </c>
      <c r="K58" s="40">
        <v>31144</v>
      </c>
      <c r="L58" s="40">
        <f t="shared" si="2"/>
        <v>0</v>
      </c>
      <c r="M58" s="38" t="s">
        <v>35</v>
      </c>
      <c r="N58" s="54"/>
      <c r="O58" s="36"/>
      <c r="P58" s="40">
        <v>0</v>
      </c>
      <c r="Q58" s="40">
        <v>18384</v>
      </c>
      <c r="R58" s="41"/>
      <c r="S58" s="40">
        <v>4900</v>
      </c>
      <c r="T58" s="40">
        <v>0</v>
      </c>
      <c r="U58" s="40">
        <v>1500</v>
      </c>
      <c r="V58" s="40">
        <v>0</v>
      </c>
      <c r="W58" s="40">
        <v>0</v>
      </c>
      <c r="X58" s="40">
        <v>1800</v>
      </c>
      <c r="Y58" s="40">
        <v>2800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4"/>
        <v>0</v>
      </c>
      <c r="AJ58"/>
      <c r="AK58" s="37"/>
      <c r="AM58" s="1"/>
      <c r="AN58" s="1"/>
    </row>
    <row r="59" spans="1:40" x14ac:dyDescent="0.3">
      <c r="A59" s="38">
        <v>2</v>
      </c>
      <c r="B59" s="2" t="s">
        <v>1191</v>
      </c>
      <c r="C59" s="38" t="s">
        <v>1192</v>
      </c>
      <c r="D59" s="39">
        <v>45854</v>
      </c>
      <c r="E59" s="38" t="s">
        <v>22</v>
      </c>
      <c r="F59" s="38" t="s">
        <v>45</v>
      </c>
      <c r="G59" s="40">
        <v>781</v>
      </c>
      <c r="H59" s="87">
        <f>4800+1200</f>
        <v>6000</v>
      </c>
      <c r="I59" s="40">
        <v>960</v>
      </c>
      <c r="J59" s="40">
        <f t="shared" si="1"/>
        <v>7741</v>
      </c>
      <c r="K59" s="40">
        <v>7741</v>
      </c>
      <c r="L59" s="40">
        <f t="shared" si="2"/>
        <v>0</v>
      </c>
      <c r="M59" s="38" t="s">
        <v>35</v>
      </c>
      <c r="N59" s="54"/>
      <c r="O59" s="36"/>
      <c r="P59" s="40">
        <v>0</v>
      </c>
      <c r="Q59" s="40">
        <v>781</v>
      </c>
      <c r="R59" s="41"/>
      <c r="S59" s="40">
        <v>4800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1200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4"/>
        <v>0</v>
      </c>
      <c r="AJ59"/>
      <c r="AK59" s="37"/>
      <c r="AM59" s="1"/>
      <c r="AN59" s="1"/>
    </row>
    <row r="60" spans="1:40" x14ac:dyDescent="0.3">
      <c r="A60" s="38">
        <v>1</v>
      </c>
      <c r="B60" s="2" t="s">
        <v>1193</v>
      </c>
      <c r="C60" s="38" t="s">
        <v>1194</v>
      </c>
      <c r="D60" s="39">
        <v>45854</v>
      </c>
      <c r="E60" s="38" t="s">
        <v>319</v>
      </c>
      <c r="F60" s="38" t="s">
        <v>1195</v>
      </c>
      <c r="G60" s="40">
        <v>2463</v>
      </c>
      <c r="H60" s="87">
        <f>4450+4198.47+2800</f>
        <v>11448.470000000001</v>
      </c>
      <c r="I60" s="40">
        <v>1831.76</v>
      </c>
      <c r="J60" s="40">
        <f t="shared" si="1"/>
        <v>15743.230000000001</v>
      </c>
      <c r="K60" s="40">
        <v>29810</v>
      </c>
      <c r="L60" s="40">
        <f t="shared" si="2"/>
        <v>-14066.769999999999</v>
      </c>
      <c r="M60" s="38" t="s">
        <v>35</v>
      </c>
      <c r="N60" s="54"/>
      <c r="O60" s="36"/>
      <c r="P60" s="40">
        <v>0</v>
      </c>
      <c r="Q60" s="40">
        <v>2463</v>
      </c>
      <c r="R60" s="41"/>
      <c r="S60" s="40">
        <v>4450</v>
      </c>
      <c r="T60" s="40">
        <v>0</v>
      </c>
      <c r="U60" s="40">
        <v>4198.47</v>
      </c>
      <c r="V60" s="40">
        <v>0</v>
      </c>
      <c r="W60" s="40">
        <v>2800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4"/>
        <v>0</v>
      </c>
      <c r="AJ60"/>
      <c r="AK60" s="37"/>
      <c r="AM60" s="1"/>
      <c r="AN60" s="1"/>
    </row>
    <row r="61" spans="1:40" x14ac:dyDescent="0.3">
      <c r="A61" s="38">
        <v>2</v>
      </c>
      <c r="B61" s="2" t="s">
        <v>1196</v>
      </c>
      <c r="C61" s="38" t="s">
        <v>1197</v>
      </c>
      <c r="D61" s="39">
        <v>45854</v>
      </c>
      <c r="E61" s="38" t="s">
        <v>22</v>
      </c>
      <c r="F61" s="38" t="s">
        <v>45</v>
      </c>
      <c r="G61" s="40">
        <v>1494</v>
      </c>
      <c r="H61" s="87">
        <f>4900+1800</f>
        <v>6700</v>
      </c>
      <c r="I61" s="40">
        <v>1072</v>
      </c>
      <c r="J61" s="40">
        <f t="shared" si="1"/>
        <v>9266</v>
      </c>
      <c r="K61" s="40">
        <v>9266</v>
      </c>
      <c r="L61" s="40">
        <f t="shared" si="2"/>
        <v>0</v>
      </c>
      <c r="M61" s="38" t="s">
        <v>35</v>
      </c>
      <c r="N61" s="54"/>
      <c r="O61" s="36"/>
      <c r="P61" s="40">
        <v>0</v>
      </c>
      <c r="Q61" s="40">
        <v>1494</v>
      </c>
      <c r="R61" s="41"/>
      <c r="S61" s="40">
        <v>4900</v>
      </c>
      <c r="T61" s="40">
        <v>0</v>
      </c>
      <c r="U61" s="40">
        <v>0</v>
      </c>
      <c r="V61" s="40">
        <v>0</v>
      </c>
      <c r="W61" s="40">
        <v>0</v>
      </c>
      <c r="X61" s="40">
        <v>1800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si="4"/>
        <v>0</v>
      </c>
      <c r="AJ61"/>
      <c r="AK61" s="37"/>
      <c r="AM61" s="1"/>
      <c r="AN61" s="1"/>
    </row>
    <row r="62" spans="1:40" x14ac:dyDescent="0.3">
      <c r="A62" s="38">
        <v>1</v>
      </c>
      <c r="B62" s="2" t="s">
        <v>1198</v>
      </c>
      <c r="C62" s="38" t="s">
        <v>1199</v>
      </c>
      <c r="D62" s="39">
        <v>45854</v>
      </c>
      <c r="E62" s="38" t="s">
        <v>53</v>
      </c>
      <c r="F62" s="38" t="s">
        <v>199</v>
      </c>
      <c r="G62" s="40">
        <v>781</v>
      </c>
      <c r="H62" s="84">
        <f>6849.61+3552.52+3915</f>
        <v>14317.13</v>
      </c>
      <c r="I62" s="40">
        <v>2290.7399999999998</v>
      </c>
      <c r="J62" s="40">
        <f t="shared" si="1"/>
        <v>17388.87</v>
      </c>
      <c r="K62" s="40">
        <v>33267.949999999997</v>
      </c>
      <c r="L62" s="40">
        <f t="shared" si="2"/>
        <v>-15879.079999999998</v>
      </c>
      <c r="M62" s="38" t="s">
        <v>35</v>
      </c>
      <c r="N62" s="54"/>
      <c r="O62" s="36"/>
      <c r="P62" s="40">
        <v>0</v>
      </c>
      <c r="Q62" s="40">
        <v>781</v>
      </c>
      <c r="R62" s="41"/>
      <c r="S62" s="40">
        <v>6849.61</v>
      </c>
      <c r="T62" s="40">
        <v>0</v>
      </c>
      <c r="U62" s="40">
        <v>3552.52</v>
      </c>
      <c r="V62" s="40">
        <v>0</v>
      </c>
      <c r="W62" s="40">
        <v>3915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36">
        <f t="shared" si="4"/>
        <v>0</v>
      </c>
      <c r="AJ62"/>
      <c r="AK62" s="37"/>
      <c r="AM62" s="1"/>
      <c r="AN62" s="1"/>
    </row>
    <row r="63" spans="1:40" x14ac:dyDescent="0.3">
      <c r="A63" s="38">
        <v>1</v>
      </c>
      <c r="B63" s="2" t="s">
        <v>1200</v>
      </c>
      <c r="C63" s="38" t="s">
        <v>1206</v>
      </c>
      <c r="D63" s="39">
        <v>45855</v>
      </c>
      <c r="E63" s="38" t="s">
        <v>53</v>
      </c>
      <c r="F63" s="38" t="s">
        <v>199</v>
      </c>
      <c r="G63" s="40">
        <v>781</v>
      </c>
      <c r="H63" s="84">
        <f>34007.04+4590+159481.47+53155.32+3375</f>
        <v>254608.83000000002</v>
      </c>
      <c r="I63" s="40">
        <v>40737.42</v>
      </c>
      <c r="J63" s="40">
        <f t="shared" si="1"/>
        <v>296127.25</v>
      </c>
      <c r="K63" s="40">
        <v>364429.4</v>
      </c>
      <c r="L63" s="40">
        <f t="shared" si="2"/>
        <v>-68302.150000000023</v>
      </c>
      <c r="M63" s="38" t="s">
        <v>35</v>
      </c>
      <c r="N63" s="54"/>
      <c r="O63" s="36"/>
      <c r="P63" s="40">
        <v>0</v>
      </c>
      <c r="Q63" s="40">
        <v>781</v>
      </c>
      <c r="R63" s="41"/>
      <c r="S63" s="40">
        <v>34007.040000000001</v>
      </c>
      <c r="T63" s="40">
        <v>0</v>
      </c>
      <c r="U63" s="40">
        <v>159481.47</v>
      </c>
      <c r="V63" s="40">
        <v>53155.32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4590</v>
      </c>
      <c r="AC63" s="40">
        <v>3375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si="4"/>
        <v>0</v>
      </c>
      <c r="AJ63"/>
      <c r="AK63" s="37"/>
      <c r="AM63" s="1"/>
      <c r="AN63" s="1"/>
    </row>
    <row r="64" spans="1:40" x14ac:dyDescent="0.3">
      <c r="A64" s="38">
        <v>1</v>
      </c>
      <c r="B64" s="2" t="s">
        <v>1201</v>
      </c>
      <c r="C64" s="38" t="s">
        <v>1207</v>
      </c>
      <c r="D64" s="39">
        <v>45855</v>
      </c>
      <c r="E64" s="38" t="s">
        <v>53</v>
      </c>
      <c r="F64" s="38" t="s">
        <v>199</v>
      </c>
      <c r="G64" s="40">
        <v>781</v>
      </c>
      <c r="H64" s="84">
        <f>13602.82+2295+55326.36+23717.6+1350</f>
        <v>96291.78</v>
      </c>
      <c r="I64" s="40">
        <v>15406.69</v>
      </c>
      <c r="J64" s="40">
        <f t="shared" si="1"/>
        <v>112479.47</v>
      </c>
      <c r="K64" s="40">
        <v>146772.79999999999</v>
      </c>
      <c r="L64" s="40">
        <f t="shared" si="2"/>
        <v>-34293.329999999987</v>
      </c>
      <c r="M64" s="38" t="s">
        <v>35</v>
      </c>
      <c r="N64" s="54"/>
      <c r="O64" s="36"/>
      <c r="P64" s="40">
        <v>0</v>
      </c>
      <c r="Q64" s="40">
        <v>781</v>
      </c>
      <c r="R64" s="41"/>
      <c r="S64" s="40">
        <v>13602.82</v>
      </c>
      <c r="T64" s="40">
        <v>0</v>
      </c>
      <c r="U64" s="40">
        <v>55326.36</v>
      </c>
      <c r="V64" s="40">
        <v>23717.599999999999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2295</v>
      </c>
      <c r="AC64" s="40">
        <v>1350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4"/>
        <v>0</v>
      </c>
      <c r="AJ64"/>
      <c r="AK64" s="37"/>
      <c r="AM64" s="1"/>
      <c r="AN64" s="1"/>
    </row>
    <row r="65" spans="1:40" x14ac:dyDescent="0.3">
      <c r="A65" s="38">
        <v>2</v>
      </c>
      <c r="B65" s="38" t="s">
        <v>1202</v>
      </c>
      <c r="C65" s="38" t="s">
        <v>1208</v>
      </c>
      <c r="D65" s="39">
        <v>45855</v>
      </c>
      <c r="E65" s="38" t="s">
        <v>22</v>
      </c>
      <c r="F65" s="38" t="s">
        <v>45</v>
      </c>
      <c r="G65" s="40">
        <v>94184</v>
      </c>
      <c r="H65" s="84">
        <f>4900+2300+10700</f>
        <v>17900</v>
      </c>
      <c r="I65" s="40">
        <v>2864</v>
      </c>
      <c r="J65" s="40">
        <f t="shared" si="1"/>
        <v>114948</v>
      </c>
      <c r="K65" s="40">
        <v>125784</v>
      </c>
      <c r="L65" s="40">
        <f t="shared" si="2"/>
        <v>-10836</v>
      </c>
      <c r="M65" s="38" t="s">
        <v>35</v>
      </c>
      <c r="N65" s="54"/>
      <c r="O65" s="36"/>
      <c r="P65" s="40">
        <v>0</v>
      </c>
      <c r="Q65" s="40">
        <v>94184</v>
      </c>
      <c r="R65" s="41"/>
      <c r="S65" s="40">
        <v>4900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10700</v>
      </c>
      <c r="Z65" s="40">
        <v>0</v>
      </c>
      <c r="AA65" s="40">
        <v>2300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4"/>
        <v>0</v>
      </c>
      <c r="AJ65"/>
      <c r="AK65" s="37"/>
      <c r="AM65" s="1"/>
      <c r="AN65" s="1"/>
    </row>
    <row r="66" spans="1:40" x14ac:dyDescent="0.3">
      <c r="A66" s="38">
        <v>2</v>
      </c>
      <c r="B66" s="38" t="s">
        <v>1203</v>
      </c>
      <c r="C66" s="38" t="s">
        <v>1211</v>
      </c>
      <c r="D66" s="39">
        <v>45855</v>
      </c>
      <c r="E66" s="38" t="s">
        <v>22</v>
      </c>
      <c r="F66" s="38" t="s">
        <v>45</v>
      </c>
      <c r="G66" s="40">
        <v>336</v>
      </c>
      <c r="H66" s="84">
        <f>4800+3500</f>
        <v>8300</v>
      </c>
      <c r="I66" s="40">
        <v>1328</v>
      </c>
      <c r="J66" s="40">
        <f t="shared" ref="J66:J152" si="5">SUM(G66:I66)</f>
        <v>9964</v>
      </c>
      <c r="K66" s="40">
        <v>9964</v>
      </c>
      <c r="L66" s="40">
        <f t="shared" ref="L66:L73" si="6">+J66-K66</f>
        <v>0</v>
      </c>
      <c r="M66" s="38" t="s">
        <v>35</v>
      </c>
      <c r="N66" s="54"/>
      <c r="O66" s="36"/>
      <c r="P66" s="40">
        <v>0</v>
      </c>
      <c r="Q66" s="40">
        <v>336</v>
      </c>
      <c r="R66" s="41"/>
      <c r="S66" s="40">
        <v>4800</v>
      </c>
      <c r="T66" s="40">
        <v>0</v>
      </c>
      <c r="U66" s="40">
        <v>0</v>
      </c>
      <c r="V66" s="40">
        <v>0</v>
      </c>
      <c r="W66" s="40">
        <v>3500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ref="AI66:AI152" si="7">+SUM(S66:AH66)-H66</f>
        <v>0</v>
      </c>
      <c r="AJ66"/>
      <c r="AK66" s="37"/>
      <c r="AM66" s="1"/>
      <c r="AN66" s="1"/>
    </row>
    <row r="67" spans="1:40" x14ac:dyDescent="0.3">
      <c r="A67" s="38">
        <v>1</v>
      </c>
      <c r="B67" s="38" t="s">
        <v>1212</v>
      </c>
      <c r="C67" s="38" t="s">
        <v>1213</v>
      </c>
      <c r="D67" s="39">
        <v>45856</v>
      </c>
      <c r="E67" s="38" t="s">
        <v>40</v>
      </c>
      <c r="F67" s="38" t="s">
        <v>41</v>
      </c>
      <c r="G67" s="40">
        <v>0</v>
      </c>
      <c r="H67" s="89">
        <v>104036.54</v>
      </c>
      <c r="I67" s="40">
        <v>16645.849999999999</v>
      </c>
      <c r="J67" s="40">
        <f t="shared" si="5"/>
        <v>120682.38999999998</v>
      </c>
      <c r="K67" s="40">
        <v>0</v>
      </c>
      <c r="L67" s="40">
        <f t="shared" si="6"/>
        <v>120682.38999999998</v>
      </c>
      <c r="M67" s="38" t="s">
        <v>35</v>
      </c>
      <c r="N67" s="54"/>
      <c r="O67" s="36"/>
      <c r="P67" s="40">
        <v>0</v>
      </c>
      <c r="Q67" s="40">
        <v>0</v>
      </c>
      <c r="R67" s="41"/>
      <c r="S67" s="40">
        <v>5629.5</v>
      </c>
      <c r="T67" s="40">
        <v>0</v>
      </c>
      <c r="U67" s="40">
        <v>29072.04</v>
      </c>
      <c r="V67" s="40">
        <v>0</v>
      </c>
      <c r="W67" s="40">
        <v>69335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7"/>
        <v>0</v>
      </c>
      <c r="AJ67"/>
      <c r="AK67" s="37"/>
      <c r="AM67" s="1"/>
      <c r="AN67" s="1"/>
    </row>
    <row r="68" spans="1:40" x14ac:dyDescent="0.3">
      <c r="A68" s="38">
        <v>1</v>
      </c>
      <c r="B68" s="38" t="s">
        <v>1214</v>
      </c>
      <c r="C68" s="38" t="s">
        <v>1215</v>
      </c>
      <c r="D68" s="39">
        <v>45856</v>
      </c>
      <c r="E68" s="38" t="s">
        <v>40</v>
      </c>
      <c r="F68" s="38" t="s">
        <v>41</v>
      </c>
      <c r="G68" s="40">
        <v>0</v>
      </c>
      <c r="H68" s="90">
        <v>121895.34</v>
      </c>
      <c r="I68" s="40">
        <v>19503.259999999998</v>
      </c>
      <c r="J68" s="40">
        <f t="shared" si="5"/>
        <v>141398.6</v>
      </c>
      <c r="K68" s="40">
        <v>0</v>
      </c>
      <c r="L68" s="40">
        <f t="shared" si="6"/>
        <v>141398.6</v>
      </c>
      <c r="M68" s="38" t="s">
        <v>35</v>
      </c>
      <c r="N68" s="54"/>
      <c r="O68" s="36"/>
      <c r="P68" s="40">
        <v>0</v>
      </c>
      <c r="Q68" s="40">
        <v>0</v>
      </c>
      <c r="R68" s="41"/>
      <c r="S68" s="40">
        <f>3000+5629.5</f>
        <v>8629.5</v>
      </c>
      <c r="T68" s="40">
        <v>0</v>
      </c>
      <c r="U68" s="40">
        <v>29072.04</v>
      </c>
      <c r="V68" s="40">
        <v>11858.8</v>
      </c>
      <c r="W68" s="40">
        <v>69335</v>
      </c>
      <c r="X68" s="40">
        <v>3000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7"/>
        <v>0</v>
      </c>
      <c r="AJ68"/>
      <c r="AK68" s="37"/>
      <c r="AM68" s="1"/>
      <c r="AN68" s="1"/>
    </row>
    <row r="69" spans="1:40" x14ac:dyDescent="0.3">
      <c r="A69" s="38">
        <v>1</v>
      </c>
      <c r="B69" s="38" t="s">
        <v>1216</v>
      </c>
      <c r="C69" s="38" t="s">
        <v>1217</v>
      </c>
      <c r="D69" s="39">
        <v>45856</v>
      </c>
      <c r="E69" s="38" t="s">
        <v>53</v>
      </c>
      <c r="F69" s="38" t="s">
        <v>199</v>
      </c>
      <c r="G69" s="40">
        <v>781</v>
      </c>
      <c r="H69" s="84">
        <f>20677.46+2295+50882.46+38099.59+2025</f>
        <v>113979.51</v>
      </c>
      <c r="I69" s="40">
        <v>18236.71</v>
      </c>
      <c r="J69" s="40">
        <f t="shared" si="5"/>
        <v>132997.22</v>
      </c>
      <c r="K69" s="40">
        <v>178722</v>
      </c>
      <c r="L69" s="40">
        <f t="shared" si="6"/>
        <v>-45724.78</v>
      </c>
      <c r="M69" s="38" t="s">
        <v>35</v>
      </c>
      <c r="N69" s="54"/>
      <c r="O69" s="36"/>
      <c r="P69" s="40">
        <v>0</v>
      </c>
      <c r="Q69" s="40">
        <v>781</v>
      </c>
      <c r="R69" s="41"/>
      <c r="S69" s="40">
        <v>20677.46</v>
      </c>
      <c r="T69" s="40">
        <v>0</v>
      </c>
      <c r="U69" s="40">
        <v>50882.46</v>
      </c>
      <c r="V69" s="40">
        <v>38099.589999999997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2295</v>
      </c>
      <c r="AC69" s="40">
        <v>2025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7"/>
        <v>0</v>
      </c>
      <c r="AJ69"/>
      <c r="AK69" s="37"/>
      <c r="AM69" s="1"/>
      <c r="AN69" s="1"/>
    </row>
    <row r="70" spans="1:40" x14ac:dyDescent="0.3">
      <c r="A70" s="38">
        <v>1</v>
      </c>
      <c r="B70" s="38" t="s">
        <v>1218</v>
      </c>
      <c r="C70" s="38" t="s">
        <v>1217</v>
      </c>
      <c r="D70" s="39">
        <v>45856</v>
      </c>
      <c r="E70" s="38" t="s">
        <v>53</v>
      </c>
      <c r="F70" s="38" t="s">
        <v>199</v>
      </c>
      <c r="G70" s="40">
        <v>15776.85</v>
      </c>
      <c r="H70" s="84">
        <f>1575+3675</f>
        <v>5250</v>
      </c>
      <c r="I70" s="40">
        <v>0</v>
      </c>
      <c r="J70" s="40">
        <f t="shared" si="5"/>
        <v>21026.85</v>
      </c>
      <c r="K70" s="40">
        <v>22197</v>
      </c>
      <c r="L70" s="40">
        <f t="shared" si="6"/>
        <v>-1170.1500000000015</v>
      </c>
      <c r="M70" s="38" t="s">
        <v>35</v>
      </c>
      <c r="N70" s="54"/>
      <c r="O70" s="36"/>
      <c r="P70" s="40">
        <v>15776.85</v>
      </c>
      <c r="Q70" s="40">
        <v>0</v>
      </c>
      <c r="R70" s="41"/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1575</v>
      </c>
      <c r="AE70" s="40">
        <v>3675</v>
      </c>
      <c r="AF70" s="40">
        <v>0</v>
      </c>
      <c r="AG70" s="40">
        <v>0</v>
      </c>
      <c r="AH70" s="40">
        <v>0</v>
      </c>
      <c r="AI70" s="36">
        <f t="shared" si="7"/>
        <v>0</v>
      </c>
      <c r="AJ70"/>
      <c r="AK70" s="37"/>
      <c r="AM70" s="1"/>
      <c r="AN70" s="1"/>
    </row>
    <row r="71" spans="1:40" x14ac:dyDescent="0.3">
      <c r="A71" s="38">
        <v>1</v>
      </c>
      <c r="B71" s="38" t="s">
        <v>1222</v>
      </c>
      <c r="C71" s="38" t="s">
        <v>1221</v>
      </c>
      <c r="D71" s="39">
        <v>45856</v>
      </c>
      <c r="E71" s="38" t="s">
        <v>53</v>
      </c>
      <c r="F71" s="38" t="s">
        <v>199</v>
      </c>
      <c r="G71" s="40">
        <v>781</v>
      </c>
      <c r="H71" s="84">
        <f>40808.45+4590+100115.12+142873.47+4050</f>
        <v>292437.04000000004</v>
      </c>
      <c r="I71" s="40">
        <v>46789.93</v>
      </c>
      <c r="J71" s="40">
        <f t="shared" si="5"/>
        <v>340007.97000000003</v>
      </c>
      <c r="K71" s="40">
        <v>515009</v>
      </c>
      <c r="L71" s="40">
        <f t="shared" si="6"/>
        <v>-175001.02999999997</v>
      </c>
      <c r="M71" s="38" t="s">
        <v>35</v>
      </c>
      <c r="N71" s="54"/>
      <c r="O71" s="36"/>
      <c r="P71" s="40">
        <v>0</v>
      </c>
      <c r="Q71" s="40">
        <v>781</v>
      </c>
      <c r="R71" s="41"/>
      <c r="S71" s="40">
        <v>40808.449999999997</v>
      </c>
      <c r="T71" s="40">
        <v>0</v>
      </c>
      <c r="U71" s="40">
        <v>100115.12</v>
      </c>
      <c r="V71" s="40">
        <v>142873.47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4590</v>
      </c>
      <c r="AC71" s="40">
        <v>4050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7"/>
        <v>0</v>
      </c>
      <c r="AJ71"/>
      <c r="AK71" s="37"/>
      <c r="AM71" s="1"/>
      <c r="AN71" s="1"/>
    </row>
    <row r="72" spans="1:40" x14ac:dyDescent="0.3">
      <c r="A72" s="38">
        <v>1</v>
      </c>
      <c r="B72" s="38" t="s">
        <v>1223</v>
      </c>
      <c r="C72" s="38" t="s">
        <v>1221</v>
      </c>
      <c r="D72" s="39">
        <v>45856</v>
      </c>
      <c r="E72" s="38" t="s">
        <v>53</v>
      </c>
      <c r="F72" s="38" t="s">
        <v>199</v>
      </c>
      <c r="G72" s="40">
        <v>30673.95</v>
      </c>
      <c r="H72" s="84">
        <f>1575+3675</f>
        <v>5250</v>
      </c>
      <c r="I72" s="40">
        <v>0</v>
      </c>
      <c r="J72" s="40">
        <f t="shared" si="5"/>
        <v>35923.949999999997</v>
      </c>
      <c r="K72" s="40">
        <v>38199</v>
      </c>
      <c r="L72" s="40">
        <f t="shared" si="6"/>
        <v>-2275.0500000000029</v>
      </c>
      <c r="M72" s="38" t="s">
        <v>35</v>
      </c>
      <c r="N72" s="54"/>
      <c r="O72" s="36"/>
      <c r="P72" s="40">
        <v>30673.95</v>
      </c>
      <c r="Q72" s="40">
        <v>0</v>
      </c>
      <c r="R72" s="41"/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1575</v>
      </c>
      <c r="AE72" s="40">
        <v>3675</v>
      </c>
      <c r="AF72" s="40">
        <v>0</v>
      </c>
      <c r="AG72" s="40">
        <v>0</v>
      </c>
      <c r="AH72" s="40">
        <v>0</v>
      </c>
      <c r="AI72" s="36">
        <f t="shared" si="7"/>
        <v>0</v>
      </c>
      <c r="AJ72"/>
      <c r="AK72" s="37"/>
      <c r="AM72" s="1"/>
      <c r="AN72" s="1"/>
    </row>
    <row r="73" spans="1:40" x14ac:dyDescent="0.3">
      <c r="A73" s="38">
        <v>2</v>
      </c>
      <c r="B73" s="38" t="s">
        <v>1232</v>
      </c>
      <c r="C73" s="38" t="s">
        <v>1224</v>
      </c>
      <c r="D73" s="39">
        <v>45859</v>
      </c>
      <c r="E73" s="38" t="s">
        <v>198</v>
      </c>
      <c r="F73" s="38" t="s">
        <v>200</v>
      </c>
      <c r="G73" s="40">
        <v>0</v>
      </c>
      <c r="H73" s="84">
        <f>1900+22000</f>
        <v>23900</v>
      </c>
      <c r="I73" s="40">
        <v>3824</v>
      </c>
      <c r="J73" s="40">
        <f t="shared" si="5"/>
        <v>27724</v>
      </c>
      <c r="K73" s="40">
        <v>27724</v>
      </c>
      <c r="L73" s="40">
        <f t="shared" si="6"/>
        <v>0</v>
      </c>
      <c r="M73" s="38" t="s">
        <v>35</v>
      </c>
      <c r="N73" s="54"/>
      <c r="O73" s="36"/>
      <c r="P73" s="40">
        <v>0</v>
      </c>
      <c r="Q73" s="40">
        <v>0</v>
      </c>
      <c r="R73" s="41"/>
      <c r="S73" s="40">
        <v>0</v>
      </c>
      <c r="T73" s="40">
        <v>0</v>
      </c>
      <c r="U73" s="40">
        <v>0</v>
      </c>
      <c r="V73" s="40">
        <v>0</v>
      </c>
      <c r="W73" s="40">
        <f>1900+22000</f>
        <v>23900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7"/>
        <v>0</v>
      </c>
      <c r="AJ73"/>
      <c r="AK73" s="37"/>
      <c r="AM73" s="1"/>
      <c r="AN73" s="1"/>
    </row>
    <row r="74" spans="1:40" ht="15.6" customHeight="1" x14ac:dyDescent="0.3">
      <c r="A74" s="38">
        <v>2</v>
      </c>
      <c r="B74" s="38" t="s">
        <v>1231</v>
      </c>
      <c r="C74" s="38" t="s">
        <v>1233</v>
      </c>
      <c r="D74" s="39">
        <v>45859</v>
      </c>
      <c r="E74" s="38" t="s">
        <v>40</v>
      </c>
      <c r="F74" s="38" t="s">
        <v>41</v>
      </c>
      <c r="G74" s="40">
        <v>0</v>
      </c>
      <c r="H74" s="89">
        <f>4500+3744+54288</f>
        <v>62532</v>
      </c>
      <c r="I74" s="40">
        <v>10005.120000000001</v>
      </c>
      <c r="J74" s="40">
        <f t="shared" si="5"/>
        <v>72537.119999999995</v>
      </c>
      <c r="K74" s="40">
        <v>0</v>
      </c>
      <c r="L74" s="40">
        <f t="shared" ref="L74:L112" si="8">+J74-K74</f>
        <v>72537.119999999995</v>
      </c>
      <c r="M74" s="38" t="s">
        <v>35</v>
      </c>
      <c r="N74" s="54"/>
      <c r="O74" s="36"/>
      <c r="P74" s="40">
        <v>0</v>
      </c>
      <c r="Q74" s="40">
        <v>0</v>
      </c>
      <c r="R74" s="41"/>
      <c r="S74" s="40">
        <v>4500</v>
      </c>
      <c r="T74" s="40">
        <v>0</v>
      </c>
      <c r="U74" s="40">
        <v>0</v>
      </c>
      <c r="V74" s="40">
        <v>0</v>
      </c>
      <c r="W74" s="40">
        <v>54288</v>
      </c>
      <c r="X74" s="40">
        <v>0</v>
      </c>
      <c r="Y74" s="40">
        <v>0</v>
      </c>
      <c r="Z74" s="40">
        <v>3744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7"/>
        <v>0</v>
      </c>
      <c r="AJ74"/>
      <c r="AK74" s="37"/>
      <c r="AM74" s="1"/>
      <c r="AN74" s="1"/>
    </row>
    <row r="75" spans="1:40" ht="15.6" customHeight="1" x14ac:dyDescent="0.3">
      <c r="A75" s="38">
        <v>2</v>
      </c>
      <c r="B75" s="38" t="s">
        <v>1234</v>
      </c>
      <c r="C75" s="38" t="s">
        <v>1235</v>
      </c>
      <c r="D75" s="39">
        <v>45859</v>
      </c>
      <c r="E75" s="38" t="s">
        <v>20</v>
      </c>
      <c r="F75" s="38" t="s">
        <v>1236</v>
      </c>
      <c r="G75" s="40">
        <v>315937</v>
      </c>
      <c r="H75" s="84">
        <v>7700</v>
      </c>
      <c r="I75" s="40">
        <v>1232</v>
      </c>
      <c r="J75" s="40">
        <f t="shared" si="5"/>
        <v>324869</v>
      </c>
      <c r="K75" s="40">
        <v>327261</v>
      </c>
      <c r="L75" s="40">
        <f t="shared" si="8"/>
        <v>-2392</v>
      </c>
      <c r="M75" s="38" t="s">
        <v>35</v>
      </c>
      <c r="N75" s="54"/>
      <c r="O75" s="36"/>
      <c r="P75" s="40">
        <v>0</v>
      </c>
      <c r="Q75" s="40">
        <v>315937</v>
      </c>
      <c r="R75" s="41"/>
      <c r="S75" s="40">
        <v>7700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7"/>
        <v>0</v>
      </c>
      <c r="AJ75"/>
      <c r="AK75" s="37"/>
      <c r="AM75" s="1"/>
      <c r="AN75" s="1"/>
    </row>
    <row r="76" spans="1:40" ht="15.6" customHeight="1" x14ac:dyDescent="0.3">
      <c r="A76" s="38">
        <v>2</v>
      </c>
      <c r="B76" s="38" t="s">
        <v>1237</v>
      </c>
      <c r="C76" s="38" t="s">
        <v>1242</v>
      </c>
      <c r="D76" s="39">
        <v>45860</v>
      </c>
      <c r="E76" s="38" t="s">
        <v>53</v>
      </c>
      <c r="F76" s="38" t="s">
        <v>199</v>
      </c>
      <c r="G76" s="40">
        <v>782</v>
      </c>
      <c r="H76" s="84">
        <v>7063.22</v>
      </c>
      <c r="I76" s="40">
        <v>1130.1199999999999</v>
      </c>
      <c r="J76" s="40">
        <f t="shared" si="5"/>
        <v>8975.34</v>
      </c>
      <c r="K76" s="40">
        <v>8975.34</v>
      </c>
      <c r="L76" s="40">
        <f t="shared" si="8"/>
        <v>0</v>
      </c>
      <c r="M76" s="38" t="s">
        <v>35</v>
      </c>
      <c r="N76" s="54"/>
      <c r="O76" s="36"/>
      <c r="P76" s="40">
        <v>0</v>
      </c>
      <c r="Q76" s="40">
        <v>782</v>
      </c>
      <c r="R76" s="41"/>
      <c r="S76" s="40">
        <v>7063.22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36">
        <f t="shared" si="7"/>
        <v>0</v>
      </c>
      <c r="AJ76"/>
      <c r="AK76" s="37"/>
      <c r="AM76" s="1"/>
      <c r="AN76" s="1"/>
    </row>
    <row r="77" spans="1:40" ht="15.6" customHeight="1" x14ac:dyDescent="0.3">
      <c r="A77" s="38">
        <v>1</v>
      </c>
      <c r="B77" s="38" t="s">
        <v>1238</v>
      </c>
      <c r="C77" s="38" t="s">
        <v>1243</v>
      </c>
      <c r="D77" s="39">
        <v>45860</v>
      </c>
      <c r="E77" s="38" t="s">
        <v>22</v>
      </c>
      <c r="F77" s="38" t="s">
        <v>45</v>
      </c>
      <c r="G77" s="40">
        <v>336</v>
      </c>
      <c r="H77" s="84">
        <f>6000+2500</f>
        <v>8500</v>
      </c>
      <c r="I77" s="40">
        <v>1360</v>
      </c>
      <c r="J77" s="40">
        <f t="shared" si="5"/>
        <v>10196</v>
      </c>
      <c r="K77" s="40">
        <v>10776</v>
      </c>
      <c r="L77" s="40">
        <f t="shared" si="8"/>
        <v>-580</v>
      </c>
      <c r="M77" s="38" t="s">
        <v>35</v>
      </c>
      <c r="N77" s="54"/>
      <c r="O77" s="36"/>
      <c r="P77" s="40">
        <v>0</v>
      </c>
      <c r="Q77" s="40">
        <v>336</v>
      </c>
      <c r="R77" s="41"/>
      <c r="S77" s="40">
        <v>6000</v>
      </c>
      <c r="T77" s="40">
        <v>0</v>
      </c>
      <c r="U77" s="40">
        <v>2500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36">
        <f t="shared" si="7"/>
        <v>0</v>
      </c>
      <c r="AJ77"/>
      <c r="AK77" s="37"/>
      <c r="AM77" s="1"/>
      <c r="AN77" s="1"/>
    </row>
    <row r="78" spans="1:40" ht="15.6" customHeight="1" x14ac:dyDescent="0.3">
      <c r="A78" s="38">
        <v>1</v>
      </c>
      <c r="B78" s="38" t="s">
        <v>1239</v>
      </c>
      <c r="C78" s="38" t="s">
        <v>1245</v>
      </c>
      <c r="D78" s="39">
        <v>45860</v>
      </c>
      <c r="E78" s="38" t="s">
        <v>1244</v>
      </c>
      <c r="F78" s="38" t="s">
        <v>1246</v>
      </c>
      <c r="G78" s="40">
        <v>336</v>
      </c>
      <c r="H78" s="84">
        <f>7200+3000+2400</f>
        <v>12600</v>
      </c>
      <c r="I78" s="40">
        <v>2016</v>
      </c>
      <c r="J78" s="40">
        <f t="shared" si="5"/>
        <v>14952</v>
      </c>
      <c r="K78" s="40">
        <v>14952</v>
      </c>
      <c r="L78" s="40">
        <f t="shared" si="8"/>
        <v>0</v>
      </c>
      <c r="M78" s="38" t="s">
        <v>35</v>
      </c>
      <c r="N78" s="54"/>
      <c r="O78" s="36"/>
      <c r="P78" s="40">
        <v>0</v>
      </c>
      <c r="Q78" s="40">
        <v>336</v>
      </c>
      <c r="R78" s="41"/>
      <c r="S78" s="40">
        <v>7200</v>
      </c>
      <c r="T78" s="40">
        <v>0</v>
      </c>
      <c r="U78" s="40">
        <v>3000</v>
      </c>
      <c r="V78" s="40">
        <v>0</v>
      </c>
      <c r="W78" s="40">
        <v>2400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7"/>
        <v>0</v>
      </c>
      <c r="AJ78"/>
      <c r="AK78" s="37"/>
      <c r="AM78" s="1"/>
      <c r="AN78" s="1"/>
    </row>
    <row r="79" spans="1:40" ht="15.6" customHeight="1" x14ac:dyDescent="0.3">
      <c r="A79" s="38">
        <v>2</v>
      </c>
      <c r="B79" s="38" t="s">
        <v>1240</v>
      </c>
      <c r="C79" s="38" t="s">
        <v>1247</v>
      </c>
      <c r="D79" s="39">
        <v>45860</v>
      </c>
      <c r="E79" s="38" t="s">
        <v>53</v>
      </c>
      <c r="F79" s="38" t="s">
        <v>199</v>
      </c>
      <c r="G79" s="40">
        <v>782</v>
      </c>
      <c r="H79" s="84">
        <v>7400</v>
      </c>
      <c r="I79" s="40">
        <v>1184</v>
      </c>
      <c r="J79" s="40">
        <f t="shared" si="5"/>
        <v>9366</v>
      </c>
      <c r="K79" s="40">
        <v>9366</v>
      </c>
      <c r="L79" s="40">
        <f t="shared" si="8"/>
        <v>0</v>
      </c>
      <c r="M79" s="38" t="s">
        <v>35</v>
      </c>
      <c r="N79" s="54"/>
      <c r="O79" s="36"/>
      <c r="P79" s="40">
        <v>0</v>
      </c>
      <c r="Q79" s="40">
        <v>782</v>
      </c>
      <c r="R79" s="41"/>
      <c r="S79" s="40">
        <v>7400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7"/>
        <v>0</v>
      </c>
      <c r="AJ79"/>
      <c r="AK79" s="37"/>
      <c r="AM79" s="1"/>
      <c r="AN79" s="1"/>
    </row>
    <row r="80" spans="1:40" ht="15.6" customHeight="1" x14ac:dyDescent="0.3">
      <c r="A80" s="38">
        <v>1</v>
      </c>
      <c r="B80" s="38" t="s">
        <v>1241</v>
      </c>
      <c r="C80" s="38" t="s">
        <v>1248</v>
      </c>
      <c r="D80" s="39">
        <v>45860</v>
      </c>
      <c r="E80" s="38" t="s">
        <v>40</v>
      </c>
      <c r="F80" s="38" t="s">
        <v>41</v>
      </c>
      <c r="G80" s="40">
        <v>0</v>
      </c>
      <c r="H80" s="84">
        <v>3540</v>
      </c>
      <c r="I80" s="40">
        <v>566.4</v>
      </c>
      <c r="J80" s="40">
        <f t="shared" si="5"/>
        <v>4106.3999999999996</v>
      </c>
      <c r="K80" s="40">
        <v>0</v>
      </c>
      <c r="L80" s="40">
        <f t="shared" si="8"/>
        <v>4106.3999999999996</v>
      </c>
      <c r="M80" s="38" t="s">
        <v>35</v>
      </c>
      <c r="N80" s="54"/>
      <c r="O80" s="36"/>
      <c r="P80" s="40">
        <v>0</v>
      </c>
      <c r="Q80" s="40">
        <v>0</v>
      </c>
      <c r="R80" s="41"/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3540</v>
      </c>
      <c r="AG80" s="40">
        <v>0</v>
      </c>
      <c r="AH80" s="40">
        <v>0</v>
      </c>
      <c r="AI80" s="36">
        <f t="shared" si="7"/>
        <v>0</v>
      </c>
      <c r="AJ80"/>
      <c r="AK80" s="37"/>
      <c r="AM80" s="1"/>
      <c r="AN80" s="1"/>
    </row>
    <row r="81" spans="1:40" ht="15.6" customHeight="1" x14ac:dyDescent="0.3">
      <c r="A81" s="38">
        <v>1</v>
      </c>
      <c r="B81" s="38" t="s">
        <v>1249</v>
      </c>
      <c r="C81" s="38" t="s">
        <v>1250</v>
      </c>
      <c r="D81" s="39">
        <v>45860</v>
      </c>
      <c r="E81" s="38" t="s">
        <v>53</v>
      </c>
      <c r="F81" s="38" t="s">
        <v>199</v>
      </c>
      <c r="G81" s="40">
        <v>781</v>
      </c>
      <c r="H81" s="84">
        <f>6751.54+2530.65+3915</f>
        <v>13197.19</v>
      </c>
      <c r="I81" s="40">
        <v>2111.5500000000002</v>
      </c>
      <c r="J81" s="40">
        <f t="shared" si="5"/>
        <v>16089.740000000002</v>
      </c>
      <c r="K81" s="40">
        <v>33154.19</v>
      </c>
      <c r="L81" s="40">
        <f t="shared" si="8"/>
        <v>-17064.45</v>
      </c>
      <c r="M81" s="38" t="s">
        <v>35</v>
      </c>
      <c r="N81" s="54"/>
      <c r="O81" s="36"/>
      <c r="P81" s="40">
        <v>0</v>
      </c>
      <c r="Q81" s="40">
        <v>781</v>
      </c>
      <c r="R81" s="41"/>
      <c r="S81" s="40">
        <v>6751.54</v>
      </c>
      <c r="T81" s="40">
        <v>0</v>
      </c>
      <c r="U81" s="40">
        <v>2530.65</v>
      </c>
      <c r="V81" s="40">
        <v>0</v>
      </c>
      <c r="W81" s="40">
        <v>3915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36">
        <f t="shared" si="7"/>
        <v>0</v>
      </c>
      <c r="AJ81"/>
      <c r="AK81" s="37"/>
      <c r="AM81" s="1"/>
      <c r="AN81" s="1"/>
    </row>
    <row r="82" spans="1:40" ht="15.6" customHeight="1" x14ac:dyDescent="0.3">
      <c r="A82" s="38">
        <v>1</v>
      </c>
      <c r="B82" s="38" t="s">
        <v>1251</v>
      </c>
      <c r="C82" s="38" t="s">
        <v>1252</v>
      </c>
      <c r="D82" s="39">
        <v>45861</v>
      </c>
      <c r="E82" s="38" t="s">
        <v>53</v>
      </c>
      <c r="F82" s="38" t="s">
        <v>199</v>
      </c>
      <c r="G82" s="40">
        <v>3006</v>
      </c>
      <c r="H82" s="84">
        <f>7200+17348.08</f>
        <v>24548.080000000002</v>
      </c>
      <c r="I82" s="40">
        <v>3927.69</v>
      </c>
      <c r="J82" s="40">
        <f t="shared" si="5"/>
        <v>31481.77</v>
      </c>
      <c r="K82" s="40">
        <v>71358</v>
      </c>
      <c r="L82" s="40">
        <f t="shared" si="8"/>
        <v>-39876.229999999996</v>
      </c>
      <c r="M82" s="38" t="s">
        <v>35</v>
      </c>
      <c r="N82" s="54"/>
      <c r="O82" s="36"/>
      <c r="P82" s="40">
        <v>0</v>
      </c>
      <c r="Q82" s="40">
        <v>3006</v>
      </c>
      <c r="R82" s="41"/>
      <c r="S82" s="40">
        <v>7200</v>
      </c>
      <c r="T82" s="40">
        <v>0</v>
      </c>
      <c r="U82" s="40">
        <v>17348.080000000002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7"/>
        <v>0</v>
      </c>
      <c r="AJ82"/>
      <c r="AK82" s="37"/>
      <c r="AM82" s="1"/>
      <c r="AN82" s="1"/>
    </row>
    <row r="83" spans="1:40" ht="15.6" customHeight="1" x14ac:dyDescent="0.3">
      <c r="A83" s="38">
        <v>1</v>
      </c>
      <c r="B83" s="38" t="s">
        <v>1253</v>
      </c>
      <c r="C83" s="38" t="s">
        <v>1254</v>
      </c>
      <c r="D83" s="39">
        <v>45861</v>
      </c>
      <c r="E83" s="38" t="s">
        <v>53</v>
      </c>
      <c r="F83" s="38" t="s">
        <v>199</v>
      </c>
      <c r="G83" s="40">
        <v>0</v>
      </c>
      <c r="H83" s="84">
        <f>7200+32245.77</f>
        <v>39445.770000000004</v>
      </c>
      <c r="I83" s="40">
        <v>6311.32</v>
      </c>
      <c r="J83" s="40">
        <f t="shared" si="5"/>
        <v>45757.090000000004</v>
      </c>
      <c r="K83" s="40">
        <v>58352</v>
      </c>
      <c r="L83" s="40">
        <f t="shared" si="8"/>
        <v>-12594.909999999996</v>
      </c>
      <c r="M83" s="38" t="s">
        <v>35</v>
      </c>
      <c r="N83" s="54"/>
      <c r="O83" s="36"/>
      <c r="P83" s="40">
        <v>0</v>
      </c>
      <c r="Q83" s="40">
        <v>0</v>
      </c>
      <c r="R83" s="41"/>
      <c r="S83" s="40">
        <v>7200</v>
      </c>
      <c r="T83" s="40">
        <v>0</v>
      </c>
      <c r="U83" s="40">
        <v>32245.77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7"/>
        <v>0</v>
      </c>
      <c r="AJ83"/>
      <c r="AK83" s="37"/>
      <c r="AM83" s="1"/>
      <c r="AN83" s="1"/>
    </row>
    <row r="84" spans="1:40" ht="15.6" customHeight="1" x14ac:dyDescent="0.3">
      <c r="A84" s="38">
        <v>1</v>
      </c>
      <c r="B84" s="38" t="s">
        <v>1255</v>
      </c>
      <c r="C84" s="38" t="s">
        <v>1256</v>
      </c>
      <c r="D84" s="39">
        <v>45861</v>
      </c>
      <c r="E84" s="38" t="s">
        <v>53</v>
      </c>
      <c r="F84" s="38" t="s">
        <v>199</v>
      </c>
      <c r="G84" s="40">
        <v>0</v>
      </c>
      <c r="H84" s="84">
        <f>7200+19671.34</f>
        <v>26871.34</v>
      </c>
      <c r="I84" s="40">
        <v>4299.41</v>
      </c>
      <c r="J84" s="40">
        <f t="shared" si="5"/>
        <v>31170.75</v>
      </c>
      <c r="K84" s="40">
        <v>68352</v>
      </c>
      <c r="L84" s="40">
        <f t="shared" si="8"/>
        <v>-37181.25</v>
      </c>
      <c r="M84" s="38" t="s">
        <v>35</v>
      </c>
      <c r="N84" s="54"/>
      <c r="O84" s="36"/>
      <c r="P84" s="40">
        <v>0</v>
      </c>
      <c r="Q84" s="40">
        <v>0</v>
      </c>
      <c r="R84" s="41"/>
      <c r="S84" s="40">
        <v>7200</v>
      </c>
      <c r="T84" s="40">
        <v>0</v>
      </c>
      <c r="U84" s="40">
        <v>19671.34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36">
        <f t="shared" si="7"/>
        <v>0</v>
      </c>
      <c r="AJ84"/>
      <c r="AK84" s="37"/>
      <c r="AM84" s="1"/>
      <c r="AN84" s="1"/>
    </row>
    <row r="85" spans="1:40" ht="15.6" customHeight="1" x14ac:dyDescent="0.3">
      <c r="A85" s="38">
        <v>1</v>
      </c>
      <c r="B85" s="38" t="s">
        <v>1257</v>
      </c>
      <c r="C85" s="38" t="s">
        <v>1258</v>
      </c>
      <c r="D85" s="39">
        <v>45861</v>
      </c>
      <c r="E85" s="38" t="s">
        <v>53</v>
      </c>
      <c r="F85" s="38" t="s">
        <v>199</v>
      </c>
      <c r="G85" s="40">
        <v>0</v>
      </c>
      <c r="H85" s="84">
        <f>7200+1800+3000+24721.11</f>
        <v>36721.11</v>
      </c>
      <c r="I85" s="40">
        <v>5875.38</v>
      </c>
      <c r="J85" s="40">
        <f t="shared" si="5"/>
        <v>42596.49</v>
      </c>
      <c r="K85" s="40">
        <v>80015.87</v>
      </c>
      <c r="L85" s="40">
        <f t="shared" si="8"/>
        <v>-37419.379999999997</v>
      </c>
      <c r="M85" s="38" t="s">
        <v>35</v>
      </c>
      <c r="N85" s="54"/>
      <c r="O85" s="36"/>
      <c r="P85" s="40">
        <v>0</v>
      </c>
      <c r="Q85" s="40">
        <v>0</v>
      </c>
      <c r="R85" s="41"/>
      <c r="S85" s="40">
        <v>7200</v>
      </c>
      <c r="T85" s="40">
        <v>0</v>
      </c>
      <c r="U85" s="40">
        <v>24721.11</v>
      </c>
      <c r="V85" s="40">
        <v>0</v>
      </c>
      <c r="W85" s="40">
        <v>0</v>
      </c>
      <c r="X85" s="40">
        <v>1800</v>
      </c>
      <c r="Y85" s="40">
        <v>0</v>
      </c>
      <c r="Z85" s="40">
        <v>0</v>
      </c>
      <c r="AA85" s="40">
        <v>3000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7"/>
        <v>0</v>
      </c>
      <c r="AJ85"/>
      <c r="AK85" s="37"/>
      <c r="AM85" s="1"/>
      <c r="AN85" s="1"/>
    </row>
    <row r="86" spans="1:40" ht="15.6" customHeight="1" x14ac:dyDescent="0.3">
      <c r="A86" s="38">
        <v>1</v>
      </c>
      <c r="B86" s="38" t="s">
        <v>1259</v>
      </c>
      <c r="C86" s="38" t="s">
        <v>1260</v>
      </c>
      <c r="D86" s="39">
        <v>45861</v>
      </c>
      <c r="E86" s="38" t="s">
        <v>53</v>
      </c>
      <c r="F86" s="38" t="s">
        <v>199</v>
      </c>
      <c r="G86" s="40">
        <v>0</v>
      </c>
      <c r="H86" s="84">
        <f>7200+3000+41169.54</f>
        <v>51369.54</v>
      </c>
      <c r="I86" s="40">
        <v>8219.1299999999992</v>
      </c>
      <c r="J86" s="40">
        <f t="shared" si="5"/>
        <v>59588.67</v>
      </c>
      <c r="K86" s="40">
        <v>101832</v>
      </c>
      <c r="L86" s="40">
        <f t="shared" si="8"/>
        <v>-42243.33</v>
      </c>
      <c r="M86" s="38" t="s">
        <v>35</v>
      </c>
      <c r="N86" s="54"/>
      <c r="O86" s="36"/>
      <c r="P86" s="40">
        <v>0</v>
      </c>
      <c r="Q86" s="40">
        <v>0</v>
      </c>
      <c r="R86" s="41"/>
      <c r="S86" s="40">
        <v>7200</v>
      </c>
      <c r="T86" s="40">
        <v>0</v>
      </c>
      <c r="U86" s="40">
        <v>41169.54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3000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7"/>
        <v>0</v>
      </c>
      <c r="AJ86"/>
      <c r="AK86" s="37"/>
      <c r="AM86" s="1"/>
      <c r="AN86" s="1"/>
    </row>
    <row r="87" spans="1:40" ht="15.6" customHeight="1" x14ac:dyDescent="0.3">
      <c r="A87" s="38">
        <v>1</v>
      </c>
      <c r="B87" s="38" t="s">
        <v>1261</v>
      </c>
      <c r="C87" s="38" t="s">
        <v>1262</v>
      </c>
      <c r="D87" s="39">
        <v>45861</v>
      </c>
      <c r="E87" s="38" t="s">
        <v>53</v>
      </c>
      <c r="F87" s="38" t="s">
        <v>199</v>
      </c>
      <c r="G87" s="40">
        <v>0</v>
      </c>
      <c r="H87" s="84">
        <f>7200+3000+25455.1</f>
        <v>35655.1</v>
      </c>
      <c r="I87" s="40">
        <v>5704.82</v>
      </c>
      <c r="J87" s="40">
        <f t="shared" si="5"/>
        <v>41359.919999999998</v>
      </c>
      <c r="K87" s="40">
        <v>91832</v>
      </c>
      <c r="L87" s="40">
        <f t="shared" si="8"/>
        <v>-50472.08</v>
      </c>
      <c r="M87" s="38" t="s">
        <v>35</v>
      </c>
      <c r="N87" s="54"/>
      <c r="O87" s="36"/>
      <c r="P87" s="40">
        <v>0</v>
      </c>
      <c r="Q87" s="40">
        <v>0</v>
      </c>
      <c r="R87" s="41"/>
      <c r="S87" s="40">
        <v>7200</v>
      </c>
      <c r="T87" s="40">
        <v>0</v>
      </c>
      <c r="U87" s="40">
        <v>25455.1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3000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7"/>
        <v>0</v>
      </c>
      <c r="AJ87"/>
      <c r="AK87" s="37"/>
      <c r="AM87" s="1"/>
      <c r="AN87" s="1"/>
    </row>
    <row r="88" spans="1:40" ht="15.6" customHeight="1" x14ac:dyDescent="0.3">
      <c r="A88" s="38">
        <v>1</v>
      </c>
      <c r="B88" s="38" t="s">
        <v>1263</v>
      </c>
      <c r="C88" s="38" t="s">
        <v>1264</v>
      </c>
      <c r="D88" s="39">
        <v>45861</v>
      </c>
      <c r="E88" s="38" t="s">
        <v>22</v>
      </c>
      <c r="F88" s="38" t="s">
        <v>45</v>
      </c>
      <c r="G88" s="40">
        <v>336</v>
      </c>
      <c r="H88" s="84">
        <f>12000+5200</f>
        <v>17200</v>
      </c>
      <c r="I88" s="40">
        <v>2752</v>
      </c>
      <c r="J88" s="40">
        <f t="shared" si="5"/>
        <v>20288</v>
      </c>
      <c r="K88" s="40">
        <v>31656</v>
      </c>
      <c r="L88" s="40">
        <f t="shared" si="8"/>
        <v>-11368</v>
      </c>
      <c r="M88" s="38" t="s">
        <v>35</v>
      </c>
      <c r="N88" s="54"/>
      <c r="O88" s="36"/>
      <c r="P88" s="40">
        <v>0</v>
      </c>
      <c r="Q88" s="40">
        <v>336</v>
      </c>
      <c r="R88" s="41"/>
      <c r="S88" s="40">
        <v>12000</v>
      </c>
      <c r="T88" s="40">
        <v>0</v>
      </c>
      <c r="U88" s="40">
        <v>5200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7"/>
        <v>0</v>
      </c>
      <c r="AJ88"/>
      <c r="AK88" s="37"/>
      <c r="AM88" s="1"/>
      <c r="AN88" s="1"/>
    </row>
    <row r="89" spans="1:40" ht="15.6" customHeight="1" x14ac:dyDescent="0.3">
      <c r="A89" s="38">
        <v>2</v>
      </c>
      <c r="B89" s="38" t="s">
        <v>1265</v>
      </c>
      <c r="C89" s="38" t="s">
        <v>1266</v>
      </c>
      <c r="D89" s="39">
        <v>45861</v>
      </c>
      <c r="E89" s="38" t="s">
        <v>22</v>
      </c>
      <c r="F89" s="38" t="s">
        <v>45</v>
      </c>
      <c r="G89" s="40">
        <v>781</v>
      </c>
      <c r="H89" s="84">
        <f>4500+2500+1500</f>
        <v>8500</v>
      </c>
      <c r="I89" s="40">
        <v>1360</v>
      </c>
      <c r="J89" s="40">
        <f t="shared" si="5"/>
        <v>10641</v>
      </c>
      <c r="K89" s="40">
        <v>10641</v>
      </c>
      <c r="L89" s="40">
        <f t="shared" si="8"/>
        <v>0</v>
      </c>
      <c r="M89" s="38" t="s">
        <v>35</v>
      </c>
      <c r="N89" s="54"/>
      <c r="O89" s="36"/>
      <c r="P89" s="40">
        <v>0</v>
      </c>
      <c r="Q89" s="40">
        <v>781</v>
      </c>
      <c r="R89" s="41"/>
      <c r="S89" s="40">
        <v>4500</v>
      </c>
      <c r="T89" s="40">
        <v>0</v>
      </c>
      <c r="U89" s="40">
        <v>0</v>
      </c>
      <c r="V89" s="40">
        <v>0</v>
      </c>
      <c r="W89" s="40">
        <v>0</v>
      </c>
      <c r="X89" s="40">
        <v>2500</v>
      </c>
      <c r="Y89" s="40">
        <v>0</v>
      </c>
      <c r="Z89" s="40">
        <v>0</v>
      </c>
      <c r="AA89" s="40">
        <v>1500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7"/>
        <v>0</v>
      </c>
      <c r="AJ89"/>
      <c r="AK89" s="37"/>
      <c r="AM89" s="1"/>
      <c r="AN89" s="1"/>
    </row>
    <row r="90" spans="1:40" ht="15.6" customHeight="1" x14ac:dyDescent="0.3">
      <c r="A90" s="38">
        <v>2</v>
      </c>
      <c r="B90" s="38" t="s">
        <v>1275</v>
      </c>
      <c r="C90" s="38" t="s">
        <v>1276</v>
      </c>
      <c r="D90" s="39">
        <v>45862</v>
      </c>
      <c r="E90" s="38" t="s">
        <v>22</v>
      </c>
      <c r="F90" s="38" t="s">
        <v>45</v>
      </c>
      <c r="G90" s="40">
        <v>336</v>
      </c>
      <c r="H90" s="84">
        <f>4800+8500</f>
        <v>13300</v>
      </c>
      <c r="I90" s="40">
        <v>2128</v>
      </c>
      <c r="J90" s="40">
        <f t="shared" si="5"/>
        <v>15764</v>
      </c>
      <c r="K90" s="40">
        <v>15764</v>
      </c>
      <c r="L90" s="40">
        <f t="shared" si="8"/>
        <v>0</v>
      </c>
      <c r="M90" s="38" t="s">
        <v>35</v>
      </c>
      <c r="N90" s="54"/>
      <c r="O90" s="36"/>
      <c r="P90" s="40">
        <v>0</v>
      </c>
      <c r="Q90" s="40">
        <v>336</v>
      </c>
      <c r="R90" s="41"/>
      <c r="S90" s="40">
        <v>4800</v>
      </c>
      <c r="T90" s="40">
        <v>0</v>
      </c>
      <c r="U90" s="40">
        <v>0</v>
      </c>
      <c r="V90" s="40">
        <v>0</v>
      </c>
      <c r="W90" s="40">
        <v>8500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7"/>
        <v>0</v>
      </c>
      <c r="AJ90"/>
      <c r="AK90" s="37"/>
      <c r="AM90" s="1"/>
      <c r="AN90" s="1"/>
    </row>
    <row r="91" spans="1:40" ht="15.6" customHeight="1" x14ac:dyDescent="0.3">
      <c r="A91" s="38">
        <v>2</v>
      </c>
      <c r="B91" s="38" t="s">
        <v>1277</v>
      </c>
      <c r="C91" s="38" t="s">
        <v>1278</v>
      </c>
      <c r="D91" s="39">
        <v>45862</v>
      </c>
      <c r="E91" s="38" t="s">
        <v>22</v>
      </c>
      <c r="F91" s="38" t="s">
        <v>45</v>
      </c>
      <c r="G91" s="40">
        <v>0</v>
      </c>
      <c r="H91" s="84">
        <v>650</v>
      </c>
      <c r="I91" s="40">
        <v>104</v>
      </c>
      <c r="J91" s="40">
        <f t="shared" si="5"/>
        <v>754</v>
      </c>
      <c r="K91" s="40">
        <v>754</v>
      </c>
      <c r="L91" s="40">
        <f t="shared" si="8"/>
        <v>0</v>
      </c>
      <c r="M91" s="38" t="s">
        <v>35</v>
      </c>
      <c r="N91" s="54"/>
      <c r="O91" s="36"/>
      <c r="P91" s="40">
        <v>0</v>
      </c>
      <c r="Q91" s="40">
        <v>0</v>
      </c>
      <c r="R91" s="41"/>
      <c r="S91" s="40">
        <v>0</v>
      </c>
      <c r="T91" s="40">
        <v>0</v>
      </c>
      <c r="U91" s="40">
        <v>0</v>
      </c>
      <c r="V91" s="40">
        <v>0</v>
      </c>
      <c r="W91" s="40">
        <v>650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36">
        <f t="shared" si="7"/>
        <v>0</v>
      </c>
      <c r="AJ91"/>
      <c r="AK91" s="37"/>
      <c r="AM91" s="1"/>
      <c r="AN91" s="1"/>
    </row>
    <row r="92" spans="1:40" ht="15.6" customHeight="1" x14ac:dyDescent="0.3">
      <c r="A92" s="38">
        <v>2</v>
      </c>
      <c r="B92" s="38" t="s">
        <v>1279</v>
      </c>
      <c r="C92" s="38" t="s">
        <v>1280</v>
      </c>
      <c r="D92" s="39">
        <v>45862</v>
      </c>
      <c r="E92" s="38" t="s">
        <v>22</v>
      </c>
      <c r="F92" s="38" t="s">
        <v>45</v>
      </c>
      <c r="G92" s="40">
        <v>336</v>
      </c>
      <c r="H92" s="84">
        <f>4200+3950</f>
        <v>8150</v>
      </c>
      <c r="I92" s="40">
        <v>1304</v>
      </c>
      <c r="J92" s="40">
        <f t="shared" si="5"/>
        <v>9790</v>
      </c>
      <c r="K92" s="40">
        <v>9790</v>
      </c>
      <c r="L92" s="40">
        <f t="shared" si="8"/>
        <v>0</v>
      </c>
      <c r="M92" s="38" t="s">
        <v>35</v>
      </c>
      <c r="N92" s="54"/>
      <c r="O92" s="36"/>
      <c r="P92" s="40">
        <v>0</v>
      </c>
      <c r="Q92" s="40">
        <v>336</v>
      </c>
      <c r="R92" s="41"/>
      <c r="S92" s="40">
        <v>4200</v>
      </c>
      <c r="T92" s="40">
        <v>0</v>
      </c>
      <c r="U92" s="40">
        <v>0</v>
      </c>
      <c r="V92" s="40">
        <v>0</v>
      </c>
      <c r="W92" s="40">
        <v>3950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36">
        <f t="shared" si="7"/>
        <v>0</v>
      </c>
      <c r="AJ92"/>
      <c r="AK92" s="37"/>
      <c r="AM92" s="1"/>
      <c r="AN92" s="1"/>
    </row>
    <row r="93" spans="1:40" ht="15.6" customHeight="1" x14ac:dyDescent="0.3">
      <c r="A93" s="38">
        <v>1</v>
      </c>
      <c r="B93" s="38" t="s">
        <v>1281</v>
      </c>
      <c r="C93" s="38" t="s">
        <v>1282</v>
      </c>
      <c r="D93" s="39">
        <v>45862</v>
      </c>
      <c r="E93" s="38" t="s">
        <v>40</v>
      </c>
      <c r="F93" s="38" t="s">
        <v>41</v>
      </c>
      <c r="G93" s="40">
        <v>0</v>
      </c>
      <c r="H93" s="89">
        <f>5599.56+3000+25750+41175</f>
        <v>75524.56</v>
      </c>
      <c r="I93" s="40">
        <v>12083.93</v>
      </c>
      <c r="J93" s="40">
        <f t="shared" si="5"/>
        <v>87608.489999999991</v>
      </c>
      <c r="K93" s="40">
        <v>0</v>
      </c>
      <c r="L93" s="40">
        <f t="shared" si="8"/>
        <v>87608.489999999991</v>
      </c>
      <c r="M93" s="38" t="s">
        <v>35</v>
      </c>
      <c r="N93" s="54"/>
      <c r="O93" s="36"/>
      <c r="P93" s="40">
        <v>0</v>
      </c>
      <c r="Q93" s="40">
        <v>0</v>
      </c>
      <c r="R93" s="41"/>
      <c r="S93" s="40">
        <v>5599.56</v>
      </c>
      <c r="T93" s="40">
        <v>0</v>
      </c>
      <c r="U93" s="40">
        <v>25750</v>
      </c>
      <c r="V93" s="40">
        <v>0</v>
      </c>
      <c r="W93" s="40">
        <v>41175</v>
      </c>
      <c r="X93" s="40">
        <v>3000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36">
        <f t="shared" si="7"/>
        <v>0</v>
      </c>
      <c r="AJ93"/>
      <c r="AK93" s="37"/>
      <c r="AM93" s="1"/>
      <c r="AN93" s="1"/>
    </row>
    <row r="94" spans="1:40" ht="15.6" customHeight="1" x14ac:dyDescent="0.3">
      <c r="A94" s="38">
        <v>2</v>
      </c>
      <c r="B94" s="38" t="s">
        <v>1283</v>
      </c>
      <c r="C94" s="38" t="s">
        <v>1284</v>
      </c>
      <c r="D94" s="39">
        <v>45862</v>
      </c>
      <c r="E94" s="38" t="s">
        <v>40</v>
      </c>
      <c r="F94" s="38" t="s">
        <v>41</v>
      </c>
      <c r="G94" s="40">
        <v>0</v>
      </c>
      <c r="H94" s="89">
        <f>4900+37500</f>
        <v>42400</v>
      </c>
      <c r="I94" s="40">
        <v>6784</v>
      </c>
      <c r="J94" s="40">
        <f t="shared" si="5"/>
        <v>49184</v>
      </c>
      <c r="K94" s="40">
        <v>0</v>
      </c>
      <c r="L94" s="40">
        <f t="shared" si="8"/>
        <v>49184</v>
      </c>
      <c r="M94" s="38" t="s">
        <v>35</v>
      </c>
      <c r="N94" s="54"/>
      <c r="O94" s="36"/>
      <c r="P94" s="40">
        <v>0</v>
      </c>
      <c r="Q94" s="40">
        <v>0</v>
      </c>
      <c r="R94" s="41"/>
      <c r="S94" s="40">
        <v>4900</v>
      </c>
      <c r="T94" s="40">
        <v>0</v>
      </c>
      <c r="U94" s="40">
        <v>0</v>
      </c>
      <c r="V94" s="40">
        <v>0</v>
      </c>
      <c r="W94" s="40">
        <v>37500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6">
        <f t="shared" si="7"/>
        <v>0</v>
      </c>
      <c r="AJ94"/>
      <c r="AK94" s="37"/>
      <c r="AM94" s="1"/>
      <c r="AN94" s="1"/>
    </row>
    <row r="95" spans="1:40" ht="15.6" customHeight="1" x14ac:dyDescent="0.3">
      <c r="A95" s="38">
        <v>2</v>
      </c>
      <c r="B95" s="38" t="s">
        <v>1285</v>
      </c>
      <c r="C95" s="38" t="s">
        <v>1286</v>
      </c>
      <c r="D95" s="39">
        <v>45862</v>
      </c>
      <c r="E95" s="38" t="s">
        <v>40</v>
      </c>
      <c r="F95" s="38" t="s">
        <v>41</v>
      </c>
      <c r="G95" s="40">
        <v>0</v>
      </c>
      <c r="H95" s="89">
        <v>4900</v>
      </c>
      <c r="I95" s="40">
        <v>784</v>
      </c>
      <c r="J95" s="40">
        <f t="shared" si="5"/>
        <v>5684</v>
      </c>
      <c r="K95" s="40">
        <v>0</v>
      </c>
      <c r="L95" s="40">
        <f t="shared" si="8"/>
        <v>5684</v>
      </c>
      <c r="M95" s="38" t="s">
        <v>35</v>
      </c>
      <c r="N95" s="54"/>
      <c r="O95" s="36"/>
      <c r="P95" s="40">
        <v>0</v>
      </c>
      <c r="Q95" s="40">
        <v>0</v>
      </c>
      <c r="R95" s="41"/>
      <c r="S95" s="40">
        <v>4900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36">
        <f t="shared" si="7"/>
        <v>0</v>
      </c>
      <c r="AJ95"/>
      <c r="AK95" s="37"/>
      <c r="AM95" s="1"/>
      <c r="AN95" s="1"/>
    </row>
    <row r="96" spans="1:40" ht="15.6" customHeight="1" x14ac:dyDescent="0.3">
      <c r="A96" s="38">
        <v>1</v>
      </c>
      <c r="B96" s="38" t="s">
        <v>1287</v>
      </c>
      <c r="C96" s="38" t="s">
        <v>1288</v>
      </c>
      <c r="D96" s="39">
        <v>45862</v>
      </c>
      <c r="E96" s="38" t="s">
        <v>53</v>
      </c>
      <c r="F96" s="38" t="s">
        <v>199</v>
      </c>
      <c r="G96" s="40">
        <v>177763</v>
      </c>
      <c r="H96" s="84">
        <f>6779.95+16770.45+6890.62+2500</f>
        <v>32941.020000000004</v>
      </c>
      <c r="I96" s="40">
        <v>5270.56</v>
      </c>
      <c r="J96" s="40">
        <f t="shared" si="5"/>
        <v>215974.58000000002</v>
      </c>
      <c r="K96" s="40">
        <v>256596.6</v>
      </c>
      <c r="L96" s="40">
        <f t="shared" si="8"/>
        <v>-40622.01999999999</v>
      </c>
      <c r="M96" s="38" t="s">
        <v>35</v>
      </c>
      <c r="N96" s="54"/>
      <c r="O96" s="36"/>
      <c r="P96" s="40">
        <v>177763</v>
      </c>
      <c r="Q96" s="40">
        <v>0</v>
      </c>
      <c r="R96" s="41"/>
      <c r="S96" s="40">
        <v>6779.95</v>
      </c>
      <c r="T96" s="40">
        <v>2500</v>
      </c>
      <c r="U96" s="40">
        <v>16770.45</v>
      </c>
      <c r="V96" s="40">
        <v>6890.62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36">
        <f t="shared" si="7"/>
        <v>0</v>
      </c>
      <c r="AJ96"/>
      <c r="AK96" s="37"/>
      <c r="AM96" s="1"/>
      <c r="AN96" s="1"/>
    </row>
    <row r="97" spans="1:40" ht="15.6" customHeight="1" x14ac:dyDescent="0.3">
      <c r="A97" s="38">
        <v>2</v>
      </c>
      <c r="B97" s="38" t="s">
        <v>1289</v>
      </c>
      <c r="C97" s="38" t="s">
        <v>1290</v>
      </c>
      <c r="D97" s="39">
        <v>45861</v>
      </c>
      <c r="E97" s="38" t="s">
        <v>198</v>
      </c>
      <c r="F97" s="38" t="s">
        <v>200</v>
      </c>
      <c r="G97" s="40">
        <v>0</v>
      </c>
      <c r="H97" s="84">
        <v>22000</v>
      </c>
      <c r="I97" s="40">
        <v>3520</v>
      </c>
      <c r="J97" s="40">
        <f t="shared" si="5"/>
        <v>25520</v>
      </c>
      <c r="K97" s="40">
        <v>25520</v>
      </c>
      <c r="L97" s="40">
        <f t="shared" si="8"/>
        <v>0</v>
      </c>
      <c r="M97" s="38" t="s">
        <v>35</v>
      </c>
      <c r="N97" s="54"/>
      <c r="O97" s="36"/>
      <c r="P97" s="40">
        <v>0</v>
      </c>
      <c r="Q97" s="40">
        <v>0</v>
      </c>
      <c r="R97" s="41"/>
      <c r="S97" s="40">
        <v>0</v>
      </c>
      <c r="T97" s="40">
        <v>0</v>
      </c>
      <c r="U97" s="40">
        <v>0</v>
      </c>
      <c r="V97" s="40">
        <v>0</v>
      </c>
      <c r="W97" s="40">
        <v>22000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36">
        <f t="shared" si="7"/>
        <v>0</v>
      </c>
      <c r="AJ97"/>
      <c r="AK97" s="37"/>
      <c r="AM97" s="1"/>
      <c r="AN97" s="1"/>
    </row>
    <row r="98" spans="1:40" ht="15.6" customHeight="1" x14ac:dyDescent="0.3">
      <c r="A98" s="38">
        <v>2</v>
      </c>
      <c r="B98" s="38" t="s">
        <v>1291</v>
      </c>
      <c r="C98" s="38" t="s">
        <v>1292</v>
      </c>
      <c r="D98" s="39">
        <v>45863</v>
      </c>
      <c r="E98" s="38" t="s">
        <v>22</v>
      </c>
      <c r="F98" s="38" t="s">
        <v>45</v>
      </c>
      <c r="G98" s="40">
        <v>336</v>
      </c>
      <c r="H98" s="84">
        <f>4800+4500</f>
        <v>9300</v>
      </c>
      <c r="I98" s="40">
        <v>1488</v>
      </c>
      <c r="J98" s="40">
        <f t="shared" si="5"/>
        <v>11124</v>
      </c>
      <c r="K98" s="40">
        <v>14952</v>
      </c>
      <c r="L98" s="40">
        <f t="shared" si="8"/>
        <v>-3828</v>
      </c>
      <c r="M98" s="38" t="s">
        <v>35</v>
      </c>
      <c r="N98" s="54"/>
      <c r="O98" s="36"/>
      <c r="P98" s="40">
        <v>0</v>
      </c>
      <c r="Q98" s="40">
        <v>336</v>
      </c>
      <c r="R98" s="41"/>
      <c r="S98" s="40">
        <v>4800</v>
      </c>
      <c r="T98" s="40">
        <v>0</v>
      </c>
      <c r="U98" s="40">
        <v>0</v>
      </c>
      <c r="V98" s="40">
        <v>0</v>
      </c>
      <c r="W98" s="40">
        <v>4500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36">
        <f t="shared" si="7"/>
        <v>0</v>
      </c>
      <c r="AJ98"/>
      <c r="AK98" s="37"/>
      <c r="AM98" s="1"/>
      <c r="AN98" s="1"/>
    </row>
    <row r="99" spans="1:40" ht="15.6" customHeight="1" x14ac:dyDescent="0.3">
      <c r="A99" s="38">
        <v>2</v>
      </c>
      <c r="B99" s="38" t="s">
        <v>1293</v>
      </c>
      <c r="C99" s="38" t="s">
        <v>1294</v>
      </c>
      <c r="D99" s="39">
        <v>45863</v>
      </c>
      <c r="E99" s="38" t="s">
        <v>22</v>
      </c>
      <c r="F99" s="38" t="s">
        <v>45</v>
      </c>
      <c r="G99" s="40">
        <v>0</v>
      </c>
      <c r="H99" s="84">
        <f>4500+3800</f>
        <v>8300</v>
      </c>
      <c r="I99" s="40">
        <v>1328</v>
      </c>
      <c r="J99" s="40">
        <f t="shared" si="5"/>
        <v>9628</v>
      </c>
      <c r="K99" s="40">
        <v>12528</v>
      </c>
      <c r="L99" s="40">
        <f t="shared" si="8"/>
        <v>-2900</v>
      </c>
      <c r="M99" s="38" t="s">
        <v>35</v>
      </c>
      <c r="N99" s="54"/>
      <c r="O99" s="36"/>
      <c r="P99" s="40">
        <v>0</v>
      </c>
      <c r="Q99" s="40">
        <v>0</v>
      </c>
      <c r="R99" s="41"/>
      <c r="S99" s="40">
        <v>4500</v>
      </c>
      <c r="T99" s="40">
        <v>0</v>
      </c>
      <c r="U99" s="40">
        <v>0</v>
      </c>
      <c r="V99" s="40">
        <v>0</v>
      </c>
      <c r="W99" s="40">
        <v>3800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36">
        <f t="shared" si="7"/>
        <v>0</v>
      </c>
      <c r="AJ99"/>
      <c r="AK99" s="37"/>
      <c r="AM99" s="1"/>
      <c r="AN99" s="1"/>
    </row>
    <row r="100" spans="1:40" ht="15.6" customHeight="1" x14ac:dyDescent="0.3">
      <c r="A100" s="38">
        <v>1</v>
      </c>
      <c r="B100" s="38" t="s">
        <v>1295</v>
      </c>
      <c r="C100" s="38" t="s">
        <v>1296</v>
      </c>
      <c r="D100" s="39">
        <v>45863</v>
      </c>
      <c r="E100" s="38" t="s">
        <v>53</v>
      </c>
      <c r="F100" s="38" t="s">
        <v>199</v>
      </c>
      <c r="G100" s="40">
        <f>7948+4644+3581+100102</f>
        <v>116275</v>
      </c>
      <c r="H100" s="84">
        <f>20215.22+20703.6+16200+2295+155507.57+197754+2025</f>
        <v>414700.39</v>
      </c>
      <c r="I100" s="40">
        <v>66352.070000000007</v>
      </c>
      <c r="J100" s="40">
        <f t="shared" si="5"/>
        <v>597327.46</v>
      </c>
      <c r="K100" s="40">
        <v>778878.8</v>
      </c>
      <c r="L100" s="40">
        <f t="shared" si="8"/>
        <v>-181551.34000000008</v>
      </c>
      <c r="M100" s="38" t="s">
        <v>35</v>
      </c>
      <c r="N100" s="54"/>
      <c r="O100" s="36"/>
      <c r="P100" s="40">
        <v>0</v>
      </c>
      <c r="Q100" s="40">
        <f>7948+4644+3581+100102</f>
        <v>116275</v>
      </c>
      <c r="R100" s="41"/>
      <c r="S100" s="40">
        <f>20215.22+20703.6</f>
        <v>40918.82</v>
      </c>
      <c r="T100" s="40">
        <v>0</v>
      </c>
      <c r="U100" s="40">
        <v>155507.57</v>
      </c>
      <c r="V100" s="40">
        <v>197754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f>16200+2295</f>
        <v>18495</v>
      </c>
      <c r="AC100" s="40">
        <v>2025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36">
        <f t="shared" si="7"/>
        <v>0</v>
      </c>
      <c r="AJ100"/>
      <c r="AK100" s="37"/>
      <c r="AM100" s="1"/>
      <c r="AN100" s="1"/>
    </row>
    <row r="101" spans="1:40" ht="15.6" customHeight="1" x14ac:dyDescent="0.3">
      <c r="A101" s="38">
        <v>1</v>
      </c>
      <c r="B101" s="38" t="s">
        <v>1297</v>
      </c>
      <c r="C101" s="38" t="s">
        <v>1298</v>
      </c>
      <c r="D101" s="39">
        <v>45863</v>
      </c>
      <c r="E101" s="38" t="s">
        <v>53</v>
      </c>
      <c r="F101" s="38" t="s">
        <v>199</v>
      </c>
      <c r="G101" s="40">
        <v>0</v>
      </c>
      <c r="H101" s="84">
        <f>7200+3000+1800+26196.33</f>
        <v>38196.33</v>
      </c>
      <c r="I101" s="40">
        <v>6111.41</v>
      </c>
      <c r="J101" s="40">
        <f t="shared" si="5"/>
        <v>44307.740000000005</v>
      </c>
      <c r="K101" s="40">
        <v>68352</v>
      </c>
      <c r="L101" s="40">
        <f t="shared" si="8"/>
        <v>-24044.259999999995</v>
      </c>
      <c r="M101" s="38" t="s">
        <v>35</v>
      </c>
      <c r="N101" s="54"/>
      <c r="O101" s="36"/>
      <c r="P101" s="40">
        <v>0</v>
      </c>
      <c r="Q101" s="40">
        <v>0</v>
      </c>
      <c r="R101" s="41"/>
      <c r="S101" s="40">
        <v>7200</v>
      </c>
      <c r="T101" s="40">
        <v>0</v>
      </c>
      <c r="U101" s="40">
        <v>26196.33</v>
      </c>
      <c r="V101" s="40">
        <v>0</v>
      </c>
      <c r="W101" s="40">
        <v>0</v>
      </c>
      <c r="X101" s="40">
        <v>3000</v>
      </c>
      <c r="Y101" s="40">
        <v>0</v>
      </c>
      <c r="Z101" s="40">
        <v>0</v>
      </c>
      <c r="AA101" s="40">
        <v>1800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36">
        <f t="shared" si="7"/>
        <v>0</v>
      </c>
      <c r="AJ101"/>
      <c r="AK101" s="37"/>
      <c r="AM101" s="1"/>
      <c r="AN101" s="1"/>
    </row>
    <row r="102" spans="1:40" ht="15.6" customHeight="1" x14ac:dyDescent="0.3">
      <c r="A102" s="38">
        <v>1</v>
      </c>
      <c r="B102" s="38" t="s">
        <v>1299</v>
      </c>
      <c r="C102" s="38" t="s">
        <v>1300</v>
      </c>
      <c r="D102" s="39">
        <v>45863</v>
      </c>
      <c r="E102" s="38" t="s">
        <v>53</v>
      </c>
      <c r="F102" s="38" t="s">
        <v>199</v>
      </c>
      <c r="G102" s="40">
        <v>0</v>
      </c>
      <c r="H102" s="84">
        <f>7200+3000+1800+26435.5</f>
        <v>38435.5</v>
      </c>
      <c r="I102" s="40">
        <v>6149.68</v>
      </c>
      <c r="J102" s="40">
        <f t="shared" si="5"/>
        <v>44585.18</v>
      </c>
      <c r="K102" s="40">
        <v>68352</v>
      </c>
      <c r="L102" s="40">
        <f t="shared" si="8"/>
        <v>-23766.82</v>
      </c>
      <c r="M102" s="38" t="s">
        <v>35</v>
      </c>
      <c r="N102" s="54"/>
      <c r="O102" s="36"/>
      <c r="P102" s="40">
        <v>0</v>
      </c>
      <c r="Q102" s="40">
        <v>0</v>
      </c>
      <c r="R102" s="41"/>
      <c r="S102" s="40">
        <v>7200</v>
      </c>
      <c r="T102" s="40">
        <v>0</v>
      </c>
      <c r="U102" s="40">
        <v>26435.5</v>
      </c>
      <c r="V102" s="40">
        <v>0</v>
      </c>
      <c r="W102" s="40">
        <v>0</v>
      </c>
      <c r="X102" s="40">
        <v>3000</v>
      </c>
      <c r="Y102" s="40">
        <v>0</v>
      </c>
      <c r="Z102" s="40">
        <v>0</v>
      </c>
      <c r="AA102" s="40">
        <v>1800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36">
        <f t="shared" si="7"/>
        <v>0</v>
      </c>
      <c r="AJ102"/>
      <c r="AK102" s="37"/>
      <c r="AM102" s="1"/>
      <c r="AN102" s="1"/>
    </row>
    <row r="103" spans="1:40" ht="15.6" customHeight="1" x14ac:dyDescent="0.3">
      <c r="A103" s="38">
        <v>1</v>
      </c>
      <c r="B103" s="38" t="s">
        <v>1301</v>
      </c>
      <c r="C103" s="38" t="s">
        <v>1302</v>
      </c>
      <c r="D103" s="39">
        <v>45863</v>
      </c>
      <c r="E103" s="38" t="s">
        <v>53</v>
      </c>
      <c r="F103" s="38" t="s">
        <v>199</v>
      </c>
      <c r="G103" s="40">
        <v>1671</v>
      </c>
      <c r="H103" s="84">
        <f>7200+10827.77</f>
        <v>18027.77</v>
      </c>
      <c r="I103" s="40">
        <v>2884.44</v>
      </c>
      <c r="J103" s="40">
        <f t="shared" si="5"/>
        <v>22583.21</v>
      </c>
      <c r="K103" s="40">
        <v>70023</v>
      </c>
      <c r="L103" s="40">
        <f t="shared" si="8"/>
        <v>-47439.79</v>
      </c>
      <c r="M103" s="38" t="s">
        <v>35</v>
      </c>
      <c r="N103" s="54"/>
      <c r="O103" s="36"/>
      <c r="P103" s="40">
        <v>0</v>
      </c>
      <c r="Q103" s="40">
        <v>1671</v>
      </c>
      <c r="R103" s="41"/>
      <c r="S103" s="40">
        <v>7200</v>
      </c>
      <c r="T103" s="40">
        <v>0</v>
      </c>
      <c r="U103" s="40">
        <v>10827.77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36">
        <f t="shared" si="7"/>
        <v>0</v>
      </c>
      <c r="AJ103"/>
      <c r="AK103" s="37"/>
      <c r="AM103" s="1"/>
      <c r="AN103" s="1"/>
    </row>
    <row r="104" spans="1:40" ht="15.6" customHeight="1" x14ac:dyDescent="0.3">
      <c r="A104" s="38">
        <v>2</v>
      </c>
      <c r="B104" s="38" t="s">
        <v>1303</v>
      </c>
      <c r="C104" s="38" t="s">
        <v>1304</v>
      </c>
      <c r="D104" s="39">
        <v>45863</v>
      </c>
      <c r="E104" s="38" t="s">
        <v>22</v>
      </c>
      <c r="F104" s="38" t="s">
        <v>45</v>
      </c>
      <c r="G104" s="40">
        <v>0</v>
      </c>
      <c r="H104" s="84">
        <f>4900+3600</f>
        <v>8500</v>
      </c>
      <c r="I104" s="40">
        <v>1360</v>
      </c>
      <c r="J104" s="40">
        <f t="shared" si="5"/>
        <v>9860</v>
      </c>
      <c r="K104" s="40">
        <v>12531</v>
      </c>
      <c r="L104" s="40">
        <f t="shared" si="8"/>
        <v>-2671</v>
      </c>
      <c r="M104" s="38" t="s">
        <v>35</v>
      </c>
      <c r="N104" s="54"/>
      <c r="O104" s="36"/>
      <c r="P104" s="40">
        <v>0</v>
      </c>
      <c r="Q104" s="40">
        <v>0</v>
      </c>
      <c r="R104" s="41"/>
      <c r="S104" s="40">
        <v>4900</v>
      </c>
      <c r="T104" s="40">
        <v>0</v>
      </c>
      <c r="U104" s="40">
        <v>0</v>
      </c>
      <c r="V104" s="40">
        <v>0</v>
      </c>
      <c r="W104" s="40">
        <v>3600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36">
        <f t="shared" si="7"/>
        <v>0</v>
      </c>
      <c r="AJ104"/>
      <c r="AK104" s="37"/>
      <c r="AM104" s="1"/>
      <c r="AN104" s="1"/>
    </row>
    <row r="105" spans="1:40" ht="15.6" customHeight="1" x14ac:dyDescent="0.3">
      <c r="A105" s="38">
        <v>1</v>
      </c>
      <c r="B105" s="38" t="s">
        <v>1305</v>
      </c>
      <c r="C105" s="38" t="s">
        <v>1306</v>
      </c>
      <c r="D105" s="39">
        <v>45863</v>
      </c>
      <c r="E105" s="38" t="s">
        <v>53</v>
      </c>
      <c r="F105" s="38" t="s">
        <v>199</v>
      </c>
      <c r="G105" s="40">
        <v>781</v>
      </c>
      <c r="H105" s="84">
        <f>13442.26+2295+59102.87+29123.69</f>
        <v>103963.82</v>
      </c>
      <c r="I105" s="40">
        <v>16634.21</v>
      </c>
      <c r="J105" s="40">
        <f t="shared" si="5"/>
        <v>121379.03</v>
      </c>
      <c r="K105" s="40">
        <v>231290.4</v>
      </c>
      <c r="L105" s="40">
        <f t="shared" si="8"/>
        <v>-109911.37</v>
      </c>
      <c r="M105" s="38" t="s">
        <v>35</v>
      </c>
      <c r="N105" s="54"/>
      <c r="O105" s="36"/>
      <c r="P105" s="40">
        <v>0</v>
      </c>
      <c r="Q105" s="40">
        <v>781</v>
      </c>
      <c r="R105" s="41"/>
      <c r="S105" s="40">
        <v>13442.26</v>
      </c>
      <c r="T105" s="40">
        <v>0</v>
      </c>
      <c r="U105" s="40">
        <v>59102.87</v>
      </c>
      <c r="V105" s="40">
        <v>29123.69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2295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36">
        <f t="shared" si="7"/>
        <v>0</v>
      </c>
      <c r="AJ105"/>
      <c r="AK105" s="37"/>
      <c r="AM105" s="1"/>
      <c r="AN105" s="1"/>
    </row>
    <row r="106" spans="1:40" ht="15.6" customHeight="1" x14ac:dyDescent="0.3">
      <c r="A106" s="38">
        <v>2</v>
      </c>
      <c r="B106" s="38" t="s">
        <v>1307</v>
      </c>
      <c r="C106" s="38" t="s">
        <v>1308</v>
      </c>
      <c r="D106" s="39">
        <v>45863</v>
      </c>
      <c r="E106" s="38" t="s">
        <v>22</v>
      </c>
      <c r="F106" s="38" t="s">
        <v>45</v>
      </c>
      <c r="G106" s="40">
        <v>855540</v>
      </c>
      <c r="H106" s="84">
        <v>7600</v>
      </c>
      <c r="I106" s="40">
        <v>1216</v>
      </c>
      <c r="J106" s="40">
        <f t="shared" si="5"/>
        <v>864356</v>
      </c>
      <c r="K106" s="40">
        <v>978981</v>
      </c>
      <c r="L106" s="40">
        <f t="shared" si="8"/>
        <v>-114625</v>
      </c>
      <c r="M106" s="38" t="s">
        <v>35</v>
      </c>
      <c r="N106" s="54"/>
      <c r="O106" s="36"/>
      <c r="P106" s="40">
        <v>0</v>
      </c>
      <c r="Q106" s="40">
        <v>855540</v>
      </c>
      <c r="R106" s="41"/>
      <c r="S106" s="40">
        <v>7600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36">
        <f t="shared" si="7"/>
        <v>0</v>
      </c>
      <c r="AJ106"/>
      <c r="AK106" s="37"/>
      <c r="AM106" s="1"/>
      <c r="AN106" s="1"/>
    </row>
    <row r="107" spans="1:40" ht="15.6" customHeight="1" x14ac:dyDescent="0.3">
      <c r="A107" s="38">
        <v>1</v>
      </c>
      <c r="B107" s="38" t="s">
        <v>1309</v>
      </c>
      <c r="C107" s="38" t="s">
        <v>1310</v>
      </c>
      <c r="D107" s="39">
        <v>45866</v>
      </c>
      <c r="E107" s="38" t="s">
        <v>40</v>
      </c>
      <c r="F107" s="38" t="s">
        <v>41</v>
      </c>
      <c r="G107" s="40">
        <v>0</v>
      </c>
      <c r="H107" s="89">
        <v>80024.56</v>
      </c>
      <c r="I107" s="40">
        <v>12803.93</v>
      </c>
      <c r="J107" s="40">
        <f t="shared" si="5"/>
        <v>92828.489999999991</v>
      </c>
      <c r="K107" s="40">
        <v>0</v>
      </c>
      <c r="L107" s="40">
        <f t="shared" si="8"/>
        <v>92828.489999999991</v>
      </c>
      <c r="M107" s="38" t="s">
        <v>35</v>
      </c>
      <c r="N107" s="54"/>
      <c r="O107" s="36"/>
      <c r="P107" s="40">
        <v>0</v>
      </c>
      <c r="Q107" s="40">
        <v>0</v>
      </c>
      <c r="R107" s="41"/>
      <c r="S107" s="40">
        <f>5599.56+1500+3000</f>
        <v>10099.560000000001</v>
      </c>
      <c r="T107" s="40">
        <v>0</v>
      </c>
      <c r="U107" s="40">
        <v>25750</v>
      </c>
      <c r="V107" s="40">
        <v>0</v>
      </c>
      <c r="W107" s="40">
        <v>41175</v>
      </c>
      <c r="X107" s="40">
        <v>3000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36">
        <f t="shared" si="7"/>
        <v>0</v>
      </c>
      <c r="AJ107"/>
      <c r="AK107" s="37"/>
      <c r="AM107" s="1"/>
      <c r="AN107" s="1"/>
    </row>
    <row r="108" spans="1:40" ht="15.6" customHeight="1" x14ac:dyDescent="0.3">
      <c r="A108" s="38">
        <v>2</v>
      </c>
      <c r="B108" s="38" t="s">
        <v>1313</v>
      </c>
      <c r="C108" s="38" t="s">
        <v>1314</v>
      </c>
      <c r="D108" s="39">
        <v>45866</v>
      </c>
      <c r="E108" s="38" t="s">
        <v>40</v>
      </c>
      <c r="F108" s="38" t="s">
        <v>41</v>
      </c>
      <c r="G108" s="40">
        <v>0</v>
      </c>
      <c r="H108" s="84">
        <f>6000+1600+37500</f>
        <v>45100</v>
      </c>
      <c r="I108" s="40">
        <v>7216</v>
      </c>
      <c r="J108" s="40">
        <f t="shared" si="5"/>
        <v>52316</v>
      </c>
      <c r="K108" s="40">
        <v>0</v>
      </c>
      <c r="L108" s="40">
        <f t="shared" si="8"/>
        <v>52316</v>
      </c>
      <c r="M108" s="38" t="s">
        <v>35</v>
      </c>
      <c r="N108" s="54"/>
      <c r="O108" s="36"/>
      <c r="P108" s="40">
        <v>0</v>
      </c>
      <c r="Q108" s="40">
        <v>0</v>
      </c>
      <c r="R108" s="41"/>
      <c r="S108" s="40">
        <v>6000</v>
      </c>
      <c r="T108" s="40">
        <v>0</v>
      </c>
      <c r="U108" s="40">
        <v>0</v>
      </c>
      <c r="V108" s="40">
        <v>0</v>
      </c>
      <c r="W108" s="40">
        <v>37500</v>
      </c>
      <c r="X108" s="40">
        <v>0</v>
      </c>
      <c r="Y108" s="40">
        <v>0</v>
      </c>
      <c r="Z108" s="40">
        <v>0</v>
      </c>
      <c r="AA108" s="40">
        <v>1600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36">
        <f t="shared" si="7"/>
        <v>0</v>
      </c>
      <c r="AJ108"/>
      <c r="AK108" s="37"/>
      <c r="AM108" s="1"/>
      <c r="AN108" s="1"/>
    </row>
    <row r="109" spans="1:40" ht="15.6" customHeight="1" x14ac:dyDescent="0.3">
      <c r="A109" s="38">
        <v>2</v>
      </c>
      <c r="B109" s="38" t="s">
        <v>1315</v>
      </c>
      <c r="C109" s="38" t="s">
        <v>1316</v>
      </c>
      <c r="D109" s="39">
        <v>45866</v>
      </c>
      <c r="E109" s="38" t="s">
        <v>22</v>
      </c>
      <c r="F109" s="38" t="s">
        <v>45</v>
      </c>
      <c r="G109" s="40">
        <v>4111</v>
      </c>
      <c r="H109" s="84">
        <f>4800+1800</f>
        <v>6600</v>
      </c>
      <c r="I109" s="40">
        <v>1056</v>
      </c>
      <c r="J109" s="40">
        <f t="shared" si="5"/>
        <v>11767</v>
      </c>
      <c r="K109" s="40">
        <v>11767</v>
      </c>
      <c r="L109" s="40">
        <f t="shared" si="8"/>
        <v>0</v>
      </c>
      <c r="M109" s="38" t="s">
        <v>35</v>
      </c>
      <c r="N109" s="54"/>
      <c r="O109" s="36"/>
      <c r="P109" s="40">
        <v>0</v>
      </c>
      <c r="Q109" s="40">
        <v>4111</v>
      </c>
      <c r="R109" s="41"/>
      <c r="S109" s="40">
        <v>4800</v>
      </c>
      <c r="T109" s="40">
        <v>0</v>
      </c>
      <c r="U109" s="40">
        <v>0</v>
      </c>
      <c r="V109" s="40">
        <v>0</v>
      </c>
      <c r="W109" s="40">
        <v>0</v>
      </c>
      <c r="X109" s="40">
        <v>0</v>
      </c>
      <c r="Y109" s="40">
        <v>1800</v>
      </c>
      <c r="Z109" s="40">
        <v>0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36">
        <f t="shared" si="7"/>
        <v>0</v>
      </c>
      <c r="AJ109"/>
      <c r="AK109" s="37"/>
      <c r="AM109" s="1"/>
      <c r="AN109" s="1"/>
    </row>
    <row r="110" spans="1:40" ht="15.6" customHeight="1" x14ac:dyDescent="0.3">
      <c r="A110" s="38">
        <v>2</v>
      </c>
      <c r="B110" s="38" t="s">
        <v>1317</v>
      </c>
      <c r="C110" s="38" t="s">
        <v>1318</v>
      </c>
      <c r="D110" s="39">
        <v>45866</v>
      </c>
      <c r="E110" s="38" t="s">
        <v>22</v>
      </c>
      <c r="F110" s="38" t="s">
        <v>45</v>
      </c>
      <c r="G110" s="40">
        <v>781</v>
      </c>
      <c r="H110" s="84">
        <f>4800+1800</f>
        <v>6600</v>
      </c>
      <c r="I110" s="40">
        <v>1056</v>
      </c>
      <c r="J110" s="40">
        <f t="shared" si="5"/>
        <v>8437</v>
      </c>
      <c r="K110" s="40">
        <v>8437</v>
      </c>
      <c r="L110" s="40">
        <f t="shared" si="8"/>
        <v>0</v>
      </c>
      <c r="M110" s="38" t="s">
        <v>35</v>
      </c>
      <c r="N110" s="54"/>
      <c r="O110" s="36"/>
      <c r="P110" s="40">
        <v>0</v>
      </c>
      <c r="Q110" s="40">
        <v>781</v>
      </c>
      <c r="R110" s="41"/>
      <c r="S110" s="40">
        <v>4800</v>
      </c>
      <c r="T110" s="40">
        <v>0</v>
      </c>
      <c r="U110" s="40">
        <v>0</v>
      </c>
      <c r="V110" s="40">
        <v>0</v>
      </c>
      <c r="W110" s="40">
        <v>0</v>
      </c>
      <c r="X110" s="40">
        <v>0</v>
      </c>
      <c r="Y110" s="40">
        <v>1800</v>
      </c>
      <c r="Z110" s="40">
        <v>0</v>
      </c>
      <c r="AA110" s="40">
        <v>0</v>
      </c>
      <c r="AB110" s="40">
        <v>0</v>
      </c>
      <c r="AC110" s="40">
        <v>0</v>
      </c>
      <c r="AD110" s="40">
        <v>0</v>
      </c>
      <c r="AE110" s="40">
        <v>0</v>
      </c>
      <c r="AF110" s="40">
        <v>0</v>
      </c>
      <c r="AG110" s="40">
        <v>0</v>
      </c>
      <c r="AH110" s="40">
        <v>0</v>
      </c>
      <c r="AI110" s="36">
        <f t="shared" si="7"/>
        <v>0</v>
      </c>
      <c r="AJ110"/>
      <c r="AK110" s="37"/>
      <c r="AM110" s="1"/>
      <c r="AN110" s="1"/>
    </row>
    <row r="111" spans="1:40" ht="15.6" customHeight="1" x14ac:dyDescent="0.3">
      <c r="A111" s="38">
        <v>1</v>
      </c>
      <c r="B111" s="38" t="s">
        <v>1319</v>
      </c>
      <c r="C111" s="38" t="s">
        <v>1320</v>
      </c>
      <c r="D111" s="39">
        <v>45866</v>
      </c>
      <c r="E111" s="38" t="s">
        <v>53</v>
      </c>
      <c r="F111" s="38" t="s">
        <v>199</v>
      </c>
      <c r="G111" s="40">
        <v>227074</v>
      </c>
      <c r="H111" s="84">
        <f>336648.62-G111</f>
        <v>109574.62</v>
      </c>
      <c r="I111" s="40">
        <v>17531.939999999999</v>
      </c>
      <c r="J111" s="40">
        <f t="shared" si="5"/>
        <v>354180.56</v>
      </c>
      <c r="K111" s="40">
        <v>354180.56</v>
      </c>
      <c r="L111" s="40">
        <f t="shared" si="8"/>
        <v>0</v>
      </c>
      <c r="M111" s="38" t="s">
        <v>35</v>
      </c>
      <c r="N111" s="54"/>
      <c r="O111" s="36"/>
      <c r="P111" s="40">
        <v>0</v>
      </c>
      <c r="Q111" s="40">
        <v>227074</v>
      </c>
      <c r="R111" s="41"/>
      <c r="S111" s="40">
        <v>6872.32</v>
      </c>
      <c r="T111" s="40">
        <v>0</v>
      </c>
      <c r="U111" s="40">
        <v>81734.820000000007</v>
      </c>
      <c r="V111" s="40">
        <v>17997.48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2295</v>
      </c>
      <c r="AC111" s="40">
        <v>675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6">
        <f t="shared" si="7"/>
        <v>0</v>
      </c>
      <c r="AJ111"/>
      <c r="AK111" s="37"/>
      <c r="AM111" s="1"/>
      <c r="AN111" s="1"/>
    </row>
    <row r="112" spans="1:40" ht="15.6" customHeight="1" x14ac:dyDescent="0.3">
      <c r="A112" s="38">
        <v>1</v>
      </c>
      <c r="B112" s="38" t="s">
        <v>1321</v>
      </c>
      <c r="C112" s="38" t="s">
        <v>1322</v>
      </c>
      <c r="D112" s="39">
        <v>45866</v>
      </c>
      <c r="E112" s="38" t="s">
        <v>53</v>
      </c>
      <c r="F112" s="38" t="s">
        <v>199</v>
      </c>
      <c r="G112" s="40">
        <v>781</v>
      </c>
      <c r="H112" s="84">
        <f>14400.41-G112</f>
        <v>13619.41</v>
      </c>
      <c r="I112" s="40">
        <v>2179.11</v>
      </c>
      <c r="J112" s="40">
        <f t="shared" si="5"/>
        <v>16579.52</v>
      </c>
      <c r="K112" s="40">
        <v>35537.9</v>
      </c>
      <c r="L112" s="40">
        <f t="shared" si="8"/>
        <v>-18958.38</v>
      </c>
      <c r="M112" s="38" t="s">
        <v>35</v>
      </c>
      <c r="N112" s="54"/>
      <c r="O112" s="36"/>
      <c r="P112" s="40">
        <v>0</v>
      </c>
      <c r="Q112" s="40">
        <v>781</v>
      </c>
      <c r="R112" s="41"/>
      <c r="S112" s="40">
        <v>6721.12</v>
      </c>
      <c r="T112" s="40">
        <v>608.91999999999996</v>
      </c>
      <c r="U112" s="40">
        <v>2374.37</v>
      </c>
      <c r="V112" s="40">
        <v>0</v>
      </c>
      <c r="W112" s="40">
        <v>3915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0">
        <v>0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36">
        <f t="shared" si="7"/>
        <v>0</v>
      </c>
      <c r="AJ112"/>
      <c r="AK112" s="37"/>
      <c r="AM112" s="1"/>
      <c r="AN112" s="1"/>
    </row>
    <row r="113" spans="1:40" ht="15.6" customHeight="1" x14ac:dyDescent="0.3">
      <c r="A113" s="38">
        <v>1</v>
      </c>
      <c r="B113" s="38" t="s">
        <v>1323</v>
      </c>
      <c r="C113" s="38" t="s">
        <v>1324</v>
      </c>
      <c r="D113" s="39">
        <v>45866</v>
      </c>
      <c r="E113" s="38" t="s">
        <v>53</v>
      </c>
      <c r="F113" s="38" t="s">
        <v>199</v>
      </c>
      <c r="G113" s="40">
        <v>781</v>
      </c>
      <c r="H113" s="84">
        <f>15875.63-G113</f>
        <v>15094.63</v>
      </c>
      <c r="I113" s="40">
        <v>2415.15</v>
      </c>
      <c r="J113" s="40">
        <f t="shared" si="5"/>
        <v>18290.78</v>
      </c>
      <c r="K113" s="40">
        <v>20060.91</v>
      </c>
      <c r="L113" s="40">
        <f t="shared" ref="L113:L131" si="9">+J113-K113</f>
        <v>-1770.130000000001</v>
      </c>
      <c r="M113" s="38" t="s">
        <v>35</v>
      </c>
      <c r="N113" s="54"/>
      <c r="O113" s="36"/>
      <c r="P113" s="40">
        <v>0</v>
      </c>
      <c r="Q113" s="40">
        <v>781</v>
      </c>
      <c r="R113" s="41"/>
      <c r="S113" s="40">
        <v>6705.61</v>
      </c>
      <c r="T113" s="40">
        <v>608.91999999999996</v>
      </c>
      <c r="U113" s="40">
        <v>3865.1</v>
      </c>
      <c r="V113" s="40">
        <v>0</v>
      </c>
      <c r="W113" s="40">
        <v>3915</v>
      </c>
      <c r="X113" s="40">
        <v>0</v>
      </c>
      <c r="Y113" s="40">
        <v>0</v>
      </c>
      <c r="Z113" s="40">
        <v>0</v>
      </c>
      <c r="AA113" s="40">
        <v>0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36">
        <f t="shared" si="7"/>
        <v>0</v>
      </c>
      <c r="AJ113"/>
      <c r="AK113" s="37"/>
      <c r="AM113" s="1"/>
      <c r="AN113" s="1"/>
    </row>
    <row r="114" spans="1:40" ht="15.6" customHeight="1" x14ac:dyDescent="0.3">
      <c r="A114" s="38">
        <v>2</v>
      </c>
      <c r="B114" s="38" t="s">
        <v>1325</v>
      </c>
      <c r="C114" s="38" t="s">
        <v>1326</v>
      </c>
      <c r="D114" s="39">
        <v>45866</v>
      </c>
      <c r="E114" s="38" t="s">
        <v>22</v>
      </c>
      <c r="F114" s="38" t="s">
        <v>45</v>
      </c>
      <c r="G114" s="40">
        <v>336</v>
      </c>
      <c r="H114" s="84">
        <f>4900+2500</f>
        <v>7400</v>
      </c>
      <c r="I114" s="40">
        <v>1184</v>
      </c>
      <c r="J114" s="40">
        <f t="shared" si="5"/>
        <v>8920</v>
      </c>
      <c r="K114" s="40">
        <v>9208</v>
      </c>
      <c r="L114" s="40">
        <f t="shared" si="9"/>
        <v>-288</v>
      </c>
      <c r="M114" s="38" t="s">
        <v>35</v>
      </c>
      <c r="N114" s="54"/>
      <c r="O114" s="36"/>
      <c r="P114" s="40">
        <v>0</v>
      </c>
      <c r="Q114" s="40">
        <v>336</v>
      </c>
      <c r="R114" s="41"/>
      <c r="S114" s="40">
        <v>4900</v>
      </c>
      <c r="T114" s="40">
        <v>0</v>
      </c>
      <c r="U114" s="40">
        <v>0</v>
      </c>
      <c r="V114" s="40">
        <v>0</v>
      </c>
      <c r="W114" s="40">
        <v>0</v>
      </c>
      <c r="X114" s="40">
        <v>0</v>
      </c>
      <c r="Y114" s="40">
        <v>2500</v>
      </c>
      <c r="Z114" s="40">
        <v>0</v>
      </c>
      <c r="AA114" s="40">
        <v>0</v>
      </c>
      <c r="AB114" s="40">
        <v>0</v>
      </c>
      <c r="AC114" s="40">
        <v>0</v>
      </c>
      <c r="AD114" s="40">
        <v>0</v>
      </c>
      <c r="AE114" s="40">
        <v>0</v>
      </c>
      <c r="AF114" s="40">
        <v>0</v>
      </c>
      <c r="AG114" s="40">
        <v>0</v>
      </c>
      <c r="AH114" s="40">
        <v>0</v>
      </c>
      <c r="AI114" s="36">
        <f t="shared" si="7"/>
        <v>0</v>
      </c>
      <c r="AJ114"/>
      <c r="AK114" s="37"/>
      <c r="AM114" s="1"/>
      <c r="AN114" s="1"/>
    </row>
    <row r="115" spans="1:40" ht="15.6" customHeight="1" x14ac:dyDescent="0.3">
      <c r="A115" s="38">
        <v>1</v>
      </c>
      <c r="B115" s="38" t="s">
        <v>1329</v>
      </c>
      <c r="C115" s="38" t="s">
        <v>1330</v>
      </c>
      <c r="D115" s="39">
        <v>45866</v>
      </c>
      <c r="E115" s="38" t="s">
        <v>53</v>
      </c>
      <c r="F115" s="38" t="s">
        <v>199</v>
      </c>
      <c r="G115" s="40">
        <v>1226</v>
      </c>
      <c r="H115" s="84">
        <f>57016.76-G115</f>
        <v>55790.76</v>
      </c>
      <c r="I115" s="40">
        <v>8926.5300000000007</v>
      </c>
      <c r="J115" s="40">
        <f t="shared" si="5"/>
        <v>65943.290000000008</v>
      </c>
      <c r="K115" s="40">
        <v>93451.8</v>
      </c>
      <c r="L115" s="40">
        <f t="shared" si="9"/>
        <v>-27508.509999999995</v>
      </c>
      <c r="M115" s="38" t="s">
        <v>35</v>
      </c>
      <c r="N115" s="54"/>
      <c r="O115" s="36"/>
      <c r="P115" s="40">
        <v>0</v>
      </c>
      <c r="Q115" s="40">
        <v>1226</v>
      </c>
      <c r="R115" s="41"/>
      <c r="S115" s="40">
        <v>6750.36</v>
      </c>
      <c r="T115" s="40">
        <v>0</v>
      </c>
      <c r="U115" s="40">
        <v>30870.799999999999</v>
      </c>
      <c r="V115" s="40">
        <v>15874.6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2295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36">
        <f t="shared" si="7"/>
        <v>0</v>
      </c>
      <c r="AJ115"/>
      <c r="AK115" s="37"/>
      <c r="AM115" s="1"/>
      <c r="AN115" s="1"/>
    </row>
    <row r="116" spans="1:40" ht="15.6" customHeight="1" x14ac:dyDescent="0.3">
      <c r="A116" s="38">
        <v>2</v>
      </c>
      <c r="B116" s="38" t="s">
        <v>1331</v>
      </c>
      <c r="C116" s="38" t="s">
        <v>1332</v>
      </c>
      <c r="D116" s="39">
        <v>45867</v>
      </c>
      <c r="E116" s="38" t="s">
        <v>40</v>
      </c>
      <c r="F116" s="38" t="s">
        <v>41</v>
      </c>
      <c r="G116" s="40">
        <v>0</v>
      </c>
      <c r="H116" s="84">
        <f>4200+1800+37500</f>
        <v>43500</v>
      </c>
      <c r="I116" s="40">
        <v>6960</v>
      </c>
      <c r="J116" s="40">
        <f t="shared" si="5"/>
        <v>50460</v>
      </c>
      <c r="K116" s="40">
        <v>0</v>
      </c>
      <c r="L116" s="40">
        <f t="shared" si="9"/>
        <v>50460</v>
      </c>
      <c r="M116" s="38" t="s">
        <v>35</v>
      </c>
      <c r="N116" s="54"/>
      <c r="O116" s="36"/>
      <c r="P116" s="40">
        <v>0</v>
      </c>
      <c r="Q116" s="40">
        <v>0</v>
      </c>
      <c r="R116" s="41"/>
      <c r="S116" s="40">
        <v>4200</v>
      </c>
      <c r="T116" s="40">
        <v>0</v>
      </c>
      <c r="U116" s="40">
        <v>0</v>
      </c>
      <c r="V116" s="40">
        <v>0</v>
      </c>
      <c r="W116" s="40">
        <v>37500</v>
      </c>
      <c r="X116" s="40">
        <v>0</v>
      </c>
      <c r="Y116" s="40">
        <v>0</v>
      </c>
      <c r="Z116" s="40">
        <v>0</v>
      </c>
      <c r="AA116" s="40">
        <v>1800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36">
        <f t="shared" si="7"/>
        <v>0</v>
      </c>
      <c r="AJ116"/>
      <c r="AK116" s="37"/>
      <c r="AM116" s="1"/>
      <c r="AN116" s="1"/>
    </row>
    <row r="117" spans="1:40" ht="15.6" customHeight="1" x14ac:dyDescent="0.3">
      <c r="A117" s="38">
        <v>1</v>
      </c>
      <c r="B117" s="38" t="s">
        <v>1333</v>
      </c>
      <c r="C117" s="38" t="s">
        <v>1334</v>
      </c>
      <c r="D117" s="39">
        <v>45867</v>
      </c>
      <c r="E117" s="38" t="s">
        <v>53</v>
      </c>
      <c r="F117" s="38" t="s">
        <v>199</v>
      </c>
      <c r="G117" s="40">
        <v>2561</v>
      </c>
      <c r="H117" s="84">
        <f>27001.44+4590+118993.78+60324.35</f>
        <v>210909.57</v>
      </c>
      <c r="I117" s="40">
        <v>33745.53</v>
      </c>
      <c r="J117" s="40">
        <f t="shared" si="5"/>
        <v>247216.1</v>
      </c>
      <c r="K117" s="40">
        <v>335979.8</v>
      </c>
      <c r="L117" s="40">
        <f t="shared" si="9"/>
        <v>-88763.699999999983</v>
      </c>
      <c r="M117" s="38" t="s">
        <v>35</v>
      </c>
      <c r="N117" s="54"/>
      <c r="O117" s="36"/>
      <c r="P117" s="40">
        <v>0</v>
      </c>
      <c r="Q117" s="40">
        <v>2561</v>
      </c>
      <c r="R117" s="41"/>
      <c r="S117" s="40">
        <v>27001.439999999999</v>
      </c>
      <c r="T117" s="40">
        <v>0</v>
      </c>
      <c r="U117" s="40">
        <v>118993.78</v>
      </c>
      <c r="V117" s="40">
        <v>60324.35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4590</v>
      </c>
      <c r="AC117" s="40">
        <v>0</v>
      </c>
      <c r="AD117" s="40">
        <v>0</v>
      </c>
      <c r="AE117" s="40">
        <v>0</v>
      </c>
      <c r="AF117" s="40">
        <v>0</v>
      </c>
      <c r="AG117" s="40">
        <v>0</v>
      </c>
      <c r="AH117" s="40">
        <v>0</v>
      </c>
      <c r="AI117" s="36">
        <f t="shared" si="7"/>
        <v>0</v>
      </c>
      <c r="AJ117"/>
      <c r="AK117" s="37"/>
      <c r="AM117" s="1"/>
      <c r="AN117" s="1"/>
    </row>
    <row r="118" spans="1:40" ht="15.6" customHeight="1" x14ac:dyDescent="0.3">
      <c r="A118" s="38">
        <v>2</v>
      </c>
      <c r="B118" s="38" t="s">
        <v>1335</v>
      </c>
      <c r="C118" s="38" t="s">
        <v>1336</v>
      </c>
      <c r="D118" s="39">
        <v>45867</v>
      </c>
      <c r="E118" s="38" t="s">
        <v>22</v>
      </c>
      <c r="F118" s="38" t="s">
        <v>45</v>
      </c>
      <c r="G118" s="40">
        <v>336</v>
      </c>
      <c r="H118" s="84">
        <f>10636-G118</f>
        <v>10300</v>
      </c>
      <c r="I118" s="40">
        <v>1648</v>
      </c>
      <c r="J118" s="40">
        <f t="shared" si="5"/>
        <v>12284</v>
      </c>
      <c r="K118" s="40">
        <v>14024</v>
      </c>
      <c r="L118" s="40">
        <f t="shared" si="9"/>
        <v>-1740</v>
      </c>
      <c r="M118" s="38" t="s">
        <v>35</v>
      </c>
      <c r="N118" s="54"/>
      <c r="O118" s="36"/>
      <c r="P118" s="40">
        <v>0</v>
      </c>
      <c r="Q118" s="40">
        <v>336</v>
      </c>
      <c r="R118" s="41"/>
      <c r="S118" s="40">
        <v>4800</v>
      </c>
      <c r="T118" s="40">
        <v>0</v>
      </c>
      <c r="U118" s="40">
        <v>0</v>
      </c>
      <c r="V118" s="40">
        <v>0</v>
      </c>
      <c r="W118" s="40">
        <v>3700</v>
      </c>
      <c r="X118" s="40">
        <v>0</v>
      </c>
      <c r="Y118" s="40">
        <v>0</v>
      </c>
      <c r="Z118" s="40">
        <v>0</v>
      </c>
      <c r="AA118" s="40">
        <v>1800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36">
        <f t="shared" si="7"/>
        <v>0</v>
      </c>
      <c r="AJ118"/>
      <c r="AK118" s="37"/>
      <c r="AM118" s="1"/>
      <c r="AN118" s="1"/>
    </row>
    <row r="119" spans="1:40" ht="15.6" customHeight="1" x14ac:dyDescent="0.3">
      <c r="A119" s="38">
        <v>2</v>
      </c>
      <c r="B119" s="38" t="s">
        <v>1337</v>
      </c>
      <c r="C119" s="38" t="s">
        <v>1338</v>
      </c>
      <c r="D119" s="39">
        <v>45867</v>
      </c>
      <c r="E119" s="38" t="s">
        <v>22</v>
      </c>
      <c r="F119" s="38" t="s">
        <v>45</v>
      </c>
      <c r="G119" s="40">
        <v>336</v>
      </c>
      <c r="H119" s="84">
        <f>4800+3700</f>
        <v>8500</v>
      </c>
      <c r="I119" s="40">
        <v>1360</v>
      </c>
      <c r="J119" s="40">
        <f t="shared" si="5"/>
        <v>10196</v>
      </c>
      <c r="K119" s="40">
        <v>14024</v>
      </c>
      <c r="L119" s="40">
        <f t="shared" si="9"/>
        <v>-3828</v>
      </c>
      <c r="M119" s="38" t="s">
        <v>35</v>
      </c>
      <c r="N119" s="54"/>
      <c r="O119" s="36"/>
      <c r="P119" s="40">
        <v>0</v>
      </c>
      <c r="Q119" s="40">
        <v>336</v>
      </c>
      <c r="R119" s="41"/>
      <c r="S119" s="40">
        <v>4800</v>
      </c>
      <c r="T119" s="40">
        <v>0</v>
      </c>
      <c r="U119" s="40">
        <v>0</v>
      </c>
      <c r="V119" s="40">
        <v>0</v>
      </c>
      <c r="W119" s="40">
        <v>3700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36">
        <f t="shared" si="7"/>
        <v>0</v>
      </c>
      <c r="AJ119"/>
      <c r="AK119" s="37"/>
      <c r="AM119" s="1"/>
      <c r="AN119" s="1"/>
    </row>
    <row r="120" spans="1:40" ht="15.6" customHeight="1" x14ac:dyDescent="0.3">
      <c r="A120" s="38">
        <v>1</v>
      </c>
      <c r="B120" s="38" t="s">
        <v>1341</v>
      </c>
      <c r="C120" s="38" t="s">
        <v>1342</v>
      </c>
      <c r="D120" s="39">
        <v>45867</v>
      </c>
      <c r="E120" s="38" t="s">
        <v>53</v>
      </c>
      <c r="F120" s="38" t="s">
        <v>199</v>
      </c>
      <c r="G120" s="40">
        <v>781</v>
      </c>
      <c r="H120" s="84">
        <f>155804.52-G120</f>
        <v>155023.51999999999</v>
      </c>
      <c r="I120" s="40">
        <v>24803.759999999998</v>
      </c>
      <c r="J120" s="40">
        <f t="shared" si="5"/>
        <v>180608.28</v>
      </c>
      <c r="K120" s="40">
        <v>180790.96</v>
      </c>
      <c r="L120" s="40">
        <f t="shared" si="9"/>
        <v>-182.67999999999302</v>
      </c>
      <c r="M120" s="38" t="s">
        <v>35</v>
      </c>
      <c r="N120" s="54"/>
      <c r="O120" s="36"/>
      <c r="P120" s="40">
        <v>0</v>
      </c>
      <c r="Q120" s="40">
        <v>781</v>
      </c>
      <c r="R120" s="41"/>
      <c r="S120" s="40">
        <v>13602.82</v>
      </c>
      <c r="T120" s="40">
        <v>0</v>
      </c>
      <c r="U120" s="40">
        <v>75960.7</v>
      </c>
      <c r="V120" s="40">
        <v>60490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2295</v>
      </c>
      <c r="AC120" s="40">
        <v>2675</v>
      </c>
      <c r="AD120" s="40">
        <v>0</v>
      </c>
      <c r="AE120" s="40">
        <v>0</v>
      </c>
      <c r="AF120" s="40">
        <v>0</v>
      </c>
      <c r="AG120" s="40">
        <v>0</v>
      </c>
      <c r="AH120" s="40">
        <v>0</v>
      </c>
      <c r="AI120" s="36">
        <f t="shared" si="7"/>
        <v>0</v>
      </c>
      <c r="AJ120"/>
      <c r="AK120" s="37"/>
      <c r="AM120" s="1"/>
      <c r="AN120" s="1"/>
    </row>
    <row r="121" spans="1:40" ht="15.6" customHeight="1" x14ac:dyDescent="0.3">
      <c r="A121" s="38">
        <v>1</v>
      </c>
      <c r="B121" s="38" t="s">
        <v>1343</v>
      </c>
      <c r="C121" s="38" t="s">
        <v>227</v>
      </c>
      <c r="D121" s="39">
        <v>45867</v>
      </c>
      <c r="E121" s="38" t="s">
        <v>869</v>
      </c>
      <c r="F121" s="38" t="s">
        <v>1344</v>
      </c>
      <c r="G121" s="40">
        <v>0</v>
      </c>
      <c r="H121" s="84">
        <v>436050.55</v>
      </c>
      <c r="I121" s="40">
        <v>0</v>
      </c>
      <c r="J121" s="40">
        <f t="shared" si="5"/>
        <v>436050.55</v>
      </c>
      <c r="K121" s="40">
        <v>0</v>
      </c>
      <c r="L121" s="40">
        <f t="shared" si="9"/>
        <v>436050.55</v>
      </c>
      <c r="M121" s="38" t="s">
        <v>35</v>
      </c>
      <c r="N121" s="54"/>
      <c r="O121" s="36"/>
      <c r="P121" s="40">
        <v>0</v>
      </c>
      <c r="Q121" s="40">
        <v>0</v>
      </c>
      <c r="R121" s="41"/>
      <c r="S121" s="40">
        <v>0</v>
      </c>
      <c r="T121" s="40">
        <v>0</v>
      </c>
      <c r="U121" s="40">
        <v>0</v>
      </c>
      <c r="V121" s="40">
        <v>436050.55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36">
        <f t="shared" si="7"/>
        <v>0</v>
      </c>
      <c r="AJ121"/>
      <c r="AK121" s="37"/>
      <c r="AM121" s="1"/>
      <c r="AN121" s="1"/>
    </row>
    <row r="122" spans="1:40" ht="15.6" customHeight="1" x14ac:dyDescent="0.3">
      <c r="A122" s="38">
        <v>1</v>
      </c>
      <c r="B122" s="38" t="s">
        <v>1345</v>
      </c>
      <c r="C122" s="38" t="s">
        <v>1346</v>
      </c>
      <c r="D122" s="39">
        <v>45867</v>
      </c>
      <c r="E122" s="38" t="s">
        <v>53</v>
      </c>
      <c r="F122" s="38" t="s">
        <v>199</v>
      </c>
      <c r="G122" s="40">
        <v>781</v>
      </c>
      <c r="H122" s="84">
        <f>150603.59-G122</f>
        <v>149822.59</v>
      </c>
      <c r="I122" s="40">
        <v>23971.62</v>
      </c>
      <c r="J122" s="40">
        <f t="shared" si="5"/>
        <v>174575.21</v>
      </c>
      <c r="K122" s="40">
        <v>174963.03</v>
      </c>
      <c r="L122" s="40">
        <f t="shared" si="9"/>
        <v>-387.82000000000698</v>
      </c>
      <c r="M122" s="38" t="s">
        <v>35</v>
      </c>
      <c r="N122" s="54"/>
      <c r="O122" s="36"/>
      <c r="P122" s="40">
        <v>0</v>
      </c>
      <c r="Q122" s="40">
        <v>781</v>
      </c>
      <c r="R122" s="41"/>
      <c r="S122" s="40">
        <v>6719.47</v>
      </c>
      <c r="T122" s="40">
        <v>0</v>
      </c>
      <c r="U122" s="40">
        <v>138303.12</v>
      </c>
      <c r="V122" s="40">
        <v>0</v>
      </c>
      <c r="W122" s="40">
        <v>0</v>
      </c>
      <c r="X122" s="40">
        <v>1800</v>
      </c>
      <c r="Y122" s="40">
        <v>0</v>
      </c>
      <c r="Z122" s="40">
        <v>0</v>
      </c>
      <c r="AA122" s="40">
        <v>3000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40">
        <v>0</v>
      </c>
      <c r="AH122" s="40">
        <v>0</v>
      </c>
      <c r="AI122" s="36">
        <f t="shared" si="7"/>
        <v>0</v>
      </c>
      <c r="AJ122"/>
      <c r="AK122" s="37"/>
      <c r="AM122" s="1"/>
      <c r="AN122" s="1"/>
    </row>
    <row r="123" spans="1:40" ht="15.6" customHeight="1" x14ac:dyDescent="0.3">
      <c r="A123" s="38">
        <v>1</v>
      </c>
      <c r="B123" s="38" t="s">
        <v>1347</v>
      </c>
      <c r="C123" s="38" t="s">
        <v>1348</v>
      </c>
      <c r="D123" s="39">
        <v>45867</v>
      </c>
      <c r="E123" s="38" t="s">
        <v>22</v>
      </c>
      <c r="F123" s="38" t="s">
        <v>45</v>
      </c>
      <c r="G123" s="40">
        <v>15449</v>
      </c>
      <c r="H123" s="84">
        <f>45599-G123</f>
        <v>30150</v>
      </c>
      <c r="I123" s="40">
        <v>4824</v>
      </c>
      <c r="J123" s="40">
        <f t="shared" si="5"/>
        <v>50423</v>
      </c>
      <c r="K123" s="40">
        <v>50423</v>
      </c>
      <c r="L123" s="40">
        <f t="shared" si="9"/>
        <v>0</v>
      </c>
      <c r="M123" s="38" t="s">
        <v>35</v>
      </c>
      <c r="N123" s="54"/>
      <c r="O123" s="36"/>
      <c r="P123" s="40">
        <v>0</v>
      </c>
      <c r="Q123" s="40">
        <v>15449</v>
      </c>
      <c r="R123" s="41"/>
      <c r="S123" s="40">
        <v>6000</v>
      </c>
      <c r="T123" s="40">
        <v>150</v>
      </c>
      <c r="U123" s="40">
        <v>13500</v>
      </c>
      <c r="V123" s="40">
        <v>0</v>
      </c>
      <c r="W123" s="40">
        <v>10500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0</v>
      </c>
      <c r="AD123" s="40">
        <v>0</v>
      </c>
      <c r="AE123" s="40">
        <v>0</v>
      </c>
      <c r="AF123" s="40">
        <v>0</v>
      </c>
      <c r="AG123" s="40">
        <v>0</v>
      </c>
      <c r="AH123" s="40">
        <v>0</v>
      </c>
      <c r="AI123" s="36">
        <f t="shared" si="7"/>
        <v>0</v>
      </c>
      <c r="AJ123"/>
      <c r="AK123" s="37"/>
      <c r="AM123" s="1"/>
      <c r="AN123" s="1"/>
    </row>
    <row r="124" spans="1:40" ht="15.6" customHeight="1" x14ac:dyDescent="0.3">
      <c r="A124" s="38">
        <v>1</v>
      </c>
      <c r="B124" s="38" t="s">
        <v>1349</v>
      </c>
      <c r="C124" s="38" t="s">
        <v>1271</v>
      </c>
      <c r="D124" s="39">
        <v>45868</v>
      </c>
      <c r="E124" s="38" t="s">
        <v>1350</v>
      </c>
      <c r="F124" s="38" t="s">
        <v>1351</v>
      </c>
      <c r="G124" s="40">
        <v>0</v>
      </c>
      <c r="H124" s="84">
        <v>5066.33</v>
      </c>
      <c r="I124" s="40">
        <v>810.61</v>
      </c>
      <c r="J124" s="40">
        <f t="shared" si="5"/>
        <v>5876.94</v>
      </c>
      <c r="K124" s="40">
        <v>5876.94</v>
      </c>
      <c r="L124" s="40">
        <f t="shared" si="9"/>
        <v>0</v>
      </c>
      <c r="M124" s="38" t="s">
        <v>35</v>
      </c>
      <c r="N124" s="54"/>
      <c r="O124" s="36"/>
      <c r="P124" s="40">
        <v>0</v>
      </c>
      <c r="Q124" s="40">
        <v>0</v>
      </c>
      <c r="R124" s="41"/>
      <c r="S124" s="40">
        <v>0</v>
      </c>
      <c r="T124" s="40">
        <v>0</v>
      </c>
      <c r="U124" s="40">
        <v>0</v>
      </c>
      <c r="V124" s="40">
        <v>0</v>
      </c>
      <c r="W124" s="40">
        <v>5066.33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0">
        <v>0</v>
      </c>
      <c r="AG124" s="40">
        <v>0</v>
      </c>
      <c r="AH124" s="40">
        <v>0</v>
      </c>
      <c r="AI124" s="36">
        <f t="shared" si="7"/>
        <v>0</v>
      </c>
      <c r="AJ124"/>
      <c r="AK124" s="37"/>
      <c r="AM124" s="1"/>
      <c r="AN124" s="1"/>
    </row>
    <row r="125" spans="1:40" ht="15.6" customHeight="1" x14ac:dyDescent="0.3">
      <c r="A125" s="38">
        <v>2</v>
      </c>
      <c r="B125" s="38" t="s">
        <v>1352</v>
      </c>
      <c r="C125" s="38" t="s">
        <v>1353</v>
      </c>
      <c r="D125" s="39">
        <v>45868</v>
      </c>
      <c r="E125" s="38" t="s">
        <v>22</v>
      </c>
      <c r="F125" s="38" t="s">
        <v>45</v>
      </c>
      <c r="G125" s="40">
        <v>336</v>
      </c>
      <c r="H125" s="84">
        <f>11436-G125</f>
        <v>11100</v>
      </c>
      <c r="I125" s="40">
        <v>1776</v>
      </c>
      <c r="J125" s="40">
        <f t="shared" si="5"/>
        <v>13212</v>
      </c>
      <c r="K125" s="40">
        <v>14952</v>
      </c>
      <c r="L125" s="40">
        <f t="shared" si="9"/>
        <v>-1740</v>
      </c>
      <c r="M125" s="38" t="s">
        <v>35</v>
      </c>
      <c r="N125" s="54"/>
      <c r="O125" s="36"/>
      <c r="P125" s="40">
        <v>0</v>
      </c>
      <c r="Q125" s="40">
        <v>336</v>
      </c>
      <c r="R125" s="41"/>
      <c r="S125" s="40">
        <v>4800</v>
      </c>
      <c r="T125" s="40">
        <v>0</v>
      </c>
      <c r="U125" s="40">
        <v>0</v>
      </c>
      <c r="V125" s="40">
        <v>0</v>
      </c>
      <c r="W125" s="40">
        <v>4500</v>
      </c>
      <c r="X125" s="40">
        <v>0</v>
      </c>
      <c r="Y125" s="40">
        <v>0</v>
      </c>
      <c r="Z125" s="40">
        <v>0</v>
      </c>
      <c r="AA125" s="40">
        <v>1800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36">
        <f t="shared" si="7"/>
        <v>0</v>
      </c>
      <c r="AJ125"/>
      <c r="AK125" s="37"/>
      <c r="AM125" s="1"/>
      <c r="AN125" s="1"/>
    </row>
    <row r="126" spans="1:40" ht="15.6" customHeight="1" x14ac:dyDescent="0.3">
      <c r="A126" s="38">
        <v>1</v>
      </c>
      <c r="B126" s="38" t="s">
        <v>1355</v>
      </c>
      <c r="C126" s="38" t="s">
        <v>1354</v>
      </c>
      <c r="D126" s="39">
        <v>45868</v>
      </c>
      <c r="E126" s="38" t="s">
        <v>53</v>
      </c>
      <c r="F126" s="38" t="s">
        <v>199</v>
      </c>
      <c r="G126" s="40">
        <v>1226</v>
      </c>
      <c r="H126" s="84">
        <f>23835.72-G126</f>
        <v>22609.72</v>
      </c>
      <c r="I126" s="40">
        <v>3617.56</v>
      </c>
      <c r="J126" s="40">
        <f t="shared" si="5"/>
        <v>27453.280000000002</v>
      </c>
      <c r="K126" s="40">
        <v>68352</v>
      </c>
      <c r="L126" s="40">
        <f t="shared" si="9"/>
        <v>-40898.720000000001</v>
      </c>
      <c r="M126" s="38" t="s">
        <v>35</v>
      </c>
      <c r="N126" s="54"/>
      <c r="O126" s="36"/>
      <c r="P126" s="40">
        <v>0</v>
      </c>
      <c r="Q126" s="40">
        <v>1226</v>
      </c>
      <c r="R126" s="41"/>
      <c r="S126" s="40">
        <f>7200+3000</f>
        <v>10200</v>
      </c>
      <c r="T126" s="40">
        <v>0</v>
      </c>
      <c r="U126" s="40">
        <v>10609.72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1800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36">
        <f t="shared" si="7"/>
        <v>0</v>
      </c>
      <c r="AJ126"/>
      <c r="AK126" s="37"/>
      <c r="AM126" s="1"/>
      <c r="AN126" s="1"/>
    </row>
    <row r="127" spans="1:40" ht="15.6" customHeight="1" x14ac:dyDescent="0.3">
      <c r="A127" s="38">
        <v>2</v>
      </c>
      <c r="B127" s="38" t="s">
        <v>1356</v>
      </c>
      <c r="C127" s="38" t="s">
        <v>1357</v>
      </c>
      <c r="D127" s="39">
        <v>45868</v>
      </c>
      <c r="E127" s="38" t="s">
        <v>198</v>
      </c>
      <c r="F127" s="38" t="s">
        <v>200</v>
      </c>
      <c r="G127" s="40">
        <v>0</v>
      </c>
      <c r="H127" s="84">
        <v>22000</v>
      </c>
      <c r="I127" s="40">
        <v>3520</v>
      </c>
      <c r="J127" s="40">
        <f t="shared" si="5"/>
        <v>25520</v>
      </c>
      <c r="K127" s="40">
        <v>25520</v>
      </c>
      <c r="L127" s="40">
        <f t="shared" si="9"/>
        <v>0</v>
      </c>
      <c r="M127" s="38" t="s">
        <v>35</v>
      </c>
      <c r="N127" s="54"/>
      <c r="O127" s="36"/>
      <c r="P127" s="40">
        <v>0</v>
      </c>
      <c r="Q127" s="40">
        <v>0</v>
      </c>
      <c r="R127" s="41"/>
      <c r="S127" s="40">
        <v>0</v>
      </c>
      <c r="T127" s="40">
        <v>0</v>
      </c>
      <c r="U127" s="40">
        <v>0</v>
      </c>
      <c r="V127" s="40">
        <v>0</v>
      </c>
      <c r="W127" s="40">
        <v>22000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36">
        <f t="shared" si="7"/>
        <v>0</v>
      </c>
      <c r="AJ127"/>
      <c r="AK127" s="37"/>
      <c r="AM127" s="1"/>
      <c r="AN127" s="1"/>
    </row>
    <row r="128" spans="1:40" ht="15.6" customHeight="1" x14ac:dyDescent="0.3">
      <c r="A128" s="38">
        <v>1</v>
      </c>
      <c r="B128" s="38" t="s">
        <v>1358</v>
      </c>
      <c r="C128" s="38" t="s">
        <v>1359</v>
      </c>
      <c r="D128" s="39">
        <v>45869</v>
      </c>
      <c r="E128" s="38" t="s">
        <v>53</v>
      </c>
      <c r="F128" s="38" t="s">
        <v>199</v>
      </c>
      <c r="G128" s="40">
        <v>2561</v>
      </c>
      <c r="H128" s="84">
        <f>208022.02-2561</f>
        <v>205461.02</v>
      </c>
      <c r="I128" s="40">
        <v>32873.760000000002</v>
      </c>
      <c r="J128" s="40">
        <f t="shared" si="5"/>
        <v>240895.78</v>
      </c>
      <c r="K128" s="40">
        <v>476734.2</v>
      </c>
      <c r="L128" s="40">
        <f t="shared" si="9"/>
        <v>-235838.42</v>
      </c>
      <c r="M128" s="38" t="s">
        <v>35</v>
      </c>
      <c r="N128" s="54"/>
      <c r="O128" s="36"/>
      <c r="P128" s="40">
        <v>0</v>
      </c>
      <c r="Q128" s="40">
        <v>2561</v>
      </c>
      <c r="R128" s="41"/>
      <c r="S128" s="40">
        <v>26953.63</v>
      </c>
      <c r="T128" s="40">
        <v>0</v>
      </c>
      <c r="U128" s="40">
        <v>135591.39000000001</v>
      </c>
      <c r="V128" s="40">
        <v>34776</v>
      </c>
      <c r="W128" s="40">
        <v>0</v>
      </c>
      <c r="X128" s="40">
        <v>0</v>
      </c>
      <c r="Y128" s="40">
        <v>0</v>
      </c>
      <c r="Z128" s="40">
        <v>0</v>
      </c>
      <c r="AA128" s="40">
        <v>0</v>
      </c>
      <c r="AB128" s="40">
        <v>4590</v>
      </c>
      <c r="AC128" s="40">
        <f>1350+2200</f>
        <v>3550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36">
        <f t="shared" si="7"/>
        <v>0</v>
      </c>
      <c r="AJ128"/>
      <c r="AK128" s="37"/>
      <c r="AM128" s="1"/>
      <c r="AN128" s="1"/>
    </row>
    <row r="129" spans="1:40" ht="15.6" customHeight="1" x14ac:dyDescent="0.3">
      <c r="A129" s="38">
        <v>1</v>
      </c>
      <c r="B129" s="38" t="s">
        <v>1360</v>
      </c>
      <c r="C129" s="38" t="s">
        <v>1361</v>
      </c>
      <c r="D129" s="39">
        <v>45869</v>
      </c>
      <c r="E129" s="38" t="s">
        <v>53</v>
      </c>
      <c r="F129" s="38" t="s">
        <v>199</v>
      </c>
      <c r="G129" s="40">
        <f>428+336+428</f>
        <v>1192</v>
      </c>
      <c r="H129" s="84">
        <f>17093.39-G129</f>
        <v>15901.39</v>
      </c>
      <c r="I129" s="40">
        <v>2544.2199999999998</v>
      </c>
      <c r="J129" s="40">
        <f t="shared" si="5"/>
        <v>19637.61</v>
      </c>
      <c r="K129" s="40">
        <v>34349</v>
      </c>
      <c r="L129" s="40">
        <f t="shared" si="9"/>
        <v>-14711.39</v>
      </c>
      <c r="M129" s="38" t="s">
        <v>35</v>
      </c>
      <c r="N129" s="54"/>
      <c r="O129" s="36"/>
      <c r="P129" s="40">
        <v>0</v>
      </c>
      <c r="Q129" s="40">
        <f>336+428+428</f>
        <v>1192</v>
      </c>
      <c r="R129" s="41"/>
      <c r="S129" s="40">
        <f>7200+3000+3000</f>
        <v>13200</v>
      </c>
      <c r="T129" s="40">
        <v>0</v>
      </c>
      <c r="U129" s="40">
        <v>2701.39</v>
      </c>
      <c r="V129" s="40">
        <v>0</v>
      </c>
      <c r="W129" s="40">
        <v>0</v>
      </c>
      <c r="X129" s="40">
        <v>0</v>
      </c>
      <c r="Y129" s="40">
        <v>0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0">
        <v>0</v>
      </c>
      <c r="AG129" s="40">
        <v>0</v>
      </c>
      <c r="AH129" s="40">
        <v>0</v>
      </c>
      <c r="AI129" s="36">
        <f t="shared" si="7"/>
        <v>0</v>
      </c>
      <c r="AJ129"/>
      <c r="AK129" s="37"/>
      <c r="AM129" s="1"/>
      <c r="AN129" s="1"/>
    </row>
    <row r="130" spans="1:40" ht="15.6" customHeight="1" x14ac:dyDescent="0.3">
      <c r="A130" s="38">
        <v>1</v>
      </c>
      <c r="B130" s="38" t="s">
        <v>1362</v>
      </c>
      <c r="C130" s="38" t="s">
        <v>1363</v>
      </c>
      <c r="D130" s="39">
        <v>45869</v>
      </c>
      <c r="E130" s="38" t="s">
        <v>53</v>
      </c>
      <c r="F130" s="38" t="s">
        <v>199</v>
      </c>
      <c r="G130" s="40">
        <v>781</v>
      </c>
      <c r="H130" s="84">
        <f>14893.36-G130</f>
        <v>14112.36</v>
      </c>
      <c r="I130" s="40">
        <v>2257.98</v>
      </c>
      <c r="J130" s="40">
        <f t="shared" si="5"/>
        <v>17151.34</v>
      </c>
      <c r="K130" s="40">
        <v>33139.870000000003</v>
      </c>
      <c r="L130" s="40">
        <f t="shared" si="9"/>
        <v>-15988.530000000002</v>
      </c>
      <c r="M130" s="38" t="s">
        <v>35</v>
      </c>
      <c r="N130" s="54"/>
      <c r="O130" s="36"/>
      <c r="P130" s="40">
        <v>0</v>
      </c>
      <c r="Q130" s="40">
        <v>781</v>
      </c>
      <c r="R130" s="41"/>
      <c r="S130" s="40">
        <v>6739.2</v>
      </c>
      <c r="T130" s="40">
        <v>608.91999999999996</v>
      </c>
      <c r="U130" s="40">
        <v>2849.24</v>
      </c>
      <c r="V130" s="40">
        <v>0</v>
      </c>
      <c r="W130" s="40">
        <v>3915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36">
        <f t="shared" si="7"/>
        <v>0</v>
      </c>
      <c r="AJ130"/>
      <c r="AK130" s="37"/>
      <c r="AM130" s="1"/>
      <c r="AN130" s="1"/>
    </row>
    <row r="131" spans="1:40" ht="15.6" customHeight="1" x14ac:dyDescent="0.3">
      <c r="A131" s="38">
        <v>1</v>
      </c>
      <c r="B131" s="38" t="s">
        <v>1364</v>
      </c>
      <c r="C131" s="38" t="s">
        <v>1367</v>
      </c>
      <c r="D131" s="39">
        <v>45869</v>
      </c>
      <c r="E131" s="38" t="s">
        <v>53</v>
      </c>
      <c r="F131" s="38" t="s">
        <v>199</v>
      </c>
      <c r="G131" s="40">
        <v>336</v>
      </c>
      <c r="H131" s="84">
        <f>24958.94-G131</f>
        <v>24622.94</v>
      </c>
      <c r="I131" s="40">
        <v>3939.67</v>
      </c>
      <c r="J131" s="40">
        <f t="shared" si="5"/>
        <v>28898.61</v>
      </c>
      <c r="K131" s="40">
        <v>77445.399999999994</v>
      </c>
      <c r="L131" s="40">
        <f t="shared" si="9"/>
        <v>-48546.789999999994</v>
      </c>
      <c r="M131" s="38" t="s">
        <v>35</v>
      </c>
      <c r="N131" s="54"/>
      <c r="O131" s="36"/>
      <c r="P131" s="40">
        <v>0</v>
      </c>
      <c r="Q131" s="40">
        <v>336</v>
      </c>
      <c r="R131" s="41"/>
      <c r="S131" s="40">
        <v>21090</v>
      </c>
      <c r="T131" s="40">
        <v>0</v>
      </c>
      <c r="U131" s="40">
        <v>3532.94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6">
        <f t="shared" si="7"/>
        <v>0</v>
      </c>
      <c r="AJ131"/>
      <c r="AK131" s="37"/>
      <c r="AM131" s="1"/>
      <c r="AN131" s="1"/>
    </row>
    <row r="132" spans="1:40" ht="15.6" customHeight="1" x14ac:dyDescent="0.3">
      <c r="A132" s="38">
        <v>2</v>
      </c>
      <c r="B132" s="38" t="s">
        <v>1365</v>
      </c>
      <c r="C132" s="38" t="s">
        <v>1366</v>
      </c>
      <c r="D132" s="39">
        <v>45869</v>
      </c>
      <c r="E132" s="38" t="s">
        <v>53</v>
      </c>
      <c r="F132" s="38" t="s">
        <v>199</v>
      </c>
      <c r="G132" s="40">
        <v>782</v>
      </c>
      <c r="H132" s="84">
        <v>7400</v>
      </c>
      <c r="I132" s="40">
        <v>1184</v>
      </c>
      <c r="J132" s="40">
        <f t="shared" si="5"/>
        <v>9366</v>
      </c>
      <c r="K132" s="40">
        <v>9366</v>
      </c>
      <c r="L132" s="40">
        <f t="shared" ref="L132:L141" si="10">+J132-K132</f>
        <v>0</v>
      </c>
      <c r="M132" s="38" t="s">
        <v>35</v>
      </c>
      <c r="N132" s="54"/>
      <c r="O132" s="36"/>
      <c r="P132" s="40">
        <v>0</v>
      </c>
      <c r="Q132" s="40">
        <v>782</v>
      </c>
      <c r="R132" s="41"/>
      <c r="S132" s="40">
        <v>7400</v>
      </c>
      <c r="T132" s="40">
        <v>0</v>
      </c>
      <c r="U132" s="40">
        <v>0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</v>
      </c>
      <c r="AH132" s="40">
        <v>0</v>
      </c>
      <c r="AI132" s="36">
        <f t="shared" si="7"/>
        <v>0</v>
      </c>
      <c r="AJ132"/>
      <c r="AK132" s="37"/>
      <c r="AM132" s="1"/>
      <c r="AN132" s="1"/>
    </row>
    <row r="133" spans="1:40" ht="15.6" customHeight="1" x14ac:dyDescent="0.3">
      <c r="A133" s="38">
        <v>2</v>
      </c>
      <c r="B133" s="38" t="s">
        <v>1368</v>
      </c>
      <c r="C133" s="38" t="s">
        <v>1369</v>
      </c>
      <c r="D133" s="39">
        <v>45869</v>
      </c>
      <c r="E133" s="38" t="s">
        <v>53</v>
      </c>
      <c r="F133" s="38" t="s">
        <v>199</v>
      </c>
      <c r="G133" s="40">
        <v>782</v>
      </c>
      <c r="H133" s="84">
        <v>7400</v>
      </c>
      <c r="I133" s="40">
        <v>1184</v>
      </c>
      <c r="J133" s="40">
        <f t="shared" si="5"/>
        <v>9366</v>
      </c>
      <c r="K133" s="40">
        <v>9366</v>
      </c>
      <c r="L133" s="40">
        <f t="shared" si="10"/>
        <v>0</v>
      </c>
      <c r="M133" s="38" t="s">
        <v>35</v>
      </c>
      <c r="N133" s="54"/>
      <c r="O133" s="36"/>
      <c r="P133" s="40">
        <v>0</v>
      </c>
      <c r="Q133" s="40">
        <v>782</v>
      </c>
      <c r="R133" s="41"/>
      <c r="S133" s="40">
        <v>7400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6">
        <f t="shared" si="7"/>
        <v>0</v>
      </c>
      <c r="AJ133"/>
      <c r="AK133" s="37"/>
      <c r="AM133" s="1"/>
      <c r="AN133" s="1"/>
    </row>
    <row r="134" spans="1:40" ht="15.6" customHeight="1" x14ac:dyDescent="0.3">
      <c r="A134" s="38">
        <v>1</v>
      </c>
      <c r="B134" s="38" t="s">
        <v>1370</v>
      </c>
      <c r="C134" s="38" t="s">
        <v>1371</v>
      </c>
      <c r="D134" s="39">
        <v>45869</v>
      </c>
      <c r="E134" s="38" t="s">
        <v>53</v>
      </c>
      <c r="F134" s="38" t="s">
        <v>199</v>
      </c>
      <c r="G134" s="40">
        <f>1575+10346</f>
        <v>11921</v>
      </c>
      <c r="H134" s="84">
        <f>91780.79-G134</f>
        <v>79859.789999999994</v>
      </c>
      <c r="I134" s="40">
        <v>12777.56</v>
      </c>
      <c r="J134" s="40">
        <f t="shared" si="5"/>
        <v>104558.34999999999</v>
      </c>
      <c r="K134" s="40">
        <v>114113.4</v>
      </c>
      <c r="L134" s="40">
        <f t="shared" si="10"/>
        <v>-9555.0500000000029</v>
      </c>
      <c r="M134" s="38" t="s">
        <v>35</v>
      </c>
      <c r="N134" s="54"/>
      <c r="O134" s="36"/>
      <c r="P134" s="40">
        <v>0</v>
      </c>
      <c r="Q134" s="40">
        <f>10346+1575</f>
        <v>11921</v>
      </c>
      <c r="R134" s="40">
        <v>0</v>
      </c>
      <c r="S134" s="40">
        <f>6785.39+6712.38</f>
        <v>13497.77</v>
      </c>
      <c r="T134" s="40">
        <v>0</v>
      </c>
      <c r="U134" s="40">
        <v>32838.18</v>
      </c>
      <c r="V134" s="40">
        <v>30553.84</v>
      </c>
      <c r="W134" s="40">
        <v>0</v>
      </c>
      <c r="X134" s="40">
        <v>0</v>
      </c>
      <c r="Y134" s="40">
        <v>0</v>
      </c>
      <c r="Z134" s="40">
        <v>0</v>
      </c>
      <c r="AA134" s="40">
        <v>0</v>
      </c>
      <c r="AB134" s="40">
        <v>2295</v>
      </c>
      <c r="AC134" s="40">
        <v>675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36">
        <f t="shared" si="7"/>
        <v>0</v>
      </c>
      <c r="AJ134"/>
      <c r="AK134" s="37"/>
      <c r="AM134" s="1"/>
      <c r="AN134" s="1"/>
    </row>
    <row r="135" spans="1:40" ht="15.6" customHeight="1" x14ac:dyDescent="0.3">
      <c r="A135" s="38">
        <v>1</v>
      </c>
      <c r="B135" s="38" t="s">
        <v>1372</v>
      </c>
      <c r="C135" s="38" t="s">
        <v>1373</v>
      </c>
      <c r="D135" s="39">
        <v>45869</v>
      </c>
      <c r="E135" s="38" t="s">
        <v>53</v>
      </c>
      <c r="F135" s="38" t="s">
        <v>199</v>
      </c>
      <c r="G135" s="40">
        <v>0</v>
      </c>
      <c r="H135" s="84">
        <v>111566.63</v>
      </c>
      <c r="I135" s="40">
        <v>17850.66</v>
      </c>
      <c r="J135" s="40">
        <f t="shared" si="5"/>
        <v>129417.29000000001</v>
      </c>
      <c r="K135" s="40">
        <v>131428.67000000001</v>
      </c>
      <c r="L135" s="40">
        <f t="shared" si="10"/>
        <v>-2011.3800000000047</v>
      </c>
      <c r="M135" s="38" t="s">
        <v>35</v>
      </c>
      <c r="N135" s="54"/>
      <c r="O135" s="36"/>
      <c r="P135" s="40">
        <v>0</v>
      </c>
      <c r="Q135" s="40">
        <v>0</v>
      </c>
      <c r="R135" s="41"/>
      <c r="S135" s="40">
        <v>7200</v>
      </c>
      <c r="T135" s="40">
        <v>0</v>
      </c>
      <c r="U135" s="40">
        <v>99566.63</v>
      </c>
      <c r="V135" s="40">
        <v>0</v>
      </c>
      <c r="W135" s="40">
        <v>0</v>
      </c>
      <c r="X135" s="40">
        <v>3000</v>
      </c>
      <c r="Y135" s="40">
        <v>0</v>
      </c>
      <c r="Z135" s="40">
        <v>0</v>
      </c>
      <c r="AA135" s="40">
        <v>1800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36">
        <f t="shared" si="7"/>
        <v>0</v>
      </c>
      <c r="AJ135"/>
      <c r="AK135" s="37"/>
      <c r="AM135" s="1"/>
      <c r="AN135" s="1"/>
    </row>
    <row r="136" spans="1:40" ht="15.6" customHeight="1" x14ac:dyDescent="0.3">
      <c r="A136" s="38">
        <v>1</v>
      </c>
      <c r="B136" s="38" t="s">
        <v>1377</v>
      </c>
      <c r="C136" s="38" t="s">
        <v>1060</v>
      </c>
      <c r="D136" s="39">
        <v>45869</v>
      </c>
      <c r="E136" s="38" t="s">
        <v>157</v>
      </c>
      <c r="F136" s="38" t="s">
        <v>1378</v>
      </c>
      <c r="G136" s="40">
        <v>0</v>
      </c>
      <c r="H136" s="84">
        <v>28784.92</v>
      </c>
      <c r="I136" s="40">
        <v>4605.59</v>
      </c>
      <c r="J136" s="40">
        <f t="shared" si="5"/>
        <v>33390.509999999995</v>
      </c>
      <c r="K136" s="40">
        <v>33390.5</v>
      </c>
      <c r="L136" s="40">
        <f t="shared" si="10"/>
        <v>9.9999999947613105E-3</v>
      </c>
      <c r="M136" s="38" t="s">
        <v>35</v>
      </c>
      <c r="N136" s="54"/>
      <c r="O136" s="36"/>
      <c r="P136" s="40">
        <v>0</v>
      </c>
      <c r="Q136" s="40">
        <v>0</v>
      </c>
      <c r="R136" s="41"/>
      <c r="S136" s="40">
        <v>0</v>
      </c>
      <c r="T136" s="40">
        <v>0</v>
      </c>
      <c r="U136" s="40">
        <v>13935.6</v>
      </c>
      <c r="V136" s="40">
        <v>7949.32</v>
      </c>
      <c r="W136" s="40">
        <v>6900</v>
      </c>
      <c r="X136" s="40">
        <v>0</v>
      </c>
      <c r="Y136" s="40">
        <v>0</v>
      </c>
      <c r="Z136" s="40">
        <v>0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36">
        <f t="shared" si="7"/>
        <v>0</v>
      </c>
      <c r="AJ136"/>
      <c r="AK136" s="37"/>
      <c r="AM136" s="1"/>
      <c r="AN136" s="1"/>
    </row>
    <row r="137" spans="1:40" ht="15.6" customHeight="1" x14ac:dyDescent="0.3">
      <c r="A137" s="38">
        <v>1</v>
      </c>
      <c r="B137" s="38" t="s">
        <v>1379</v>
      </c>
      <c r="C137" s="38" t="s">
        <v>1060</v>
      </c>
      <c r="D137" s="39">
        <v>45869</v>
      </c>
      <c r="E137" s="38" t="s">
        <v>157</v>
      </c>
      <c r="F137" s="38" t="s">
        <v>1378</v>
      </c>
      <c r="G137" s="40">
        <v>0</v>
      </c>
      <c r="H137" s="84">
        <v>1258.5999999999999</v>
      </c>
      <c r="I137" s="40">
        <v>0</v>
      </c>
      <c r="J137" s="40">
        <f t="shared" si="5"/>
        <v>1258.5999999999999</v>
      </c>
      <c r="K137" s="40">
        <v>1258.5999999999999</v>
      </c>
      <c r="L137" s="40">
        <f t="shared" si="10"/>
        <v>0</v>
      </c>
      <c r="M137" s="38" t="s">
        <v>35</v>
      </c>
      <c r="N137" s="54"/>
      <c r="O137" s="36"/>
      <c r="P137" s="40">
        <v>0</v>
      </c>
      <c r="Q137" s="40">
        <v>0</v>
      </c>
      <c r="R137" s="41"/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1258.5999999999999</v>
      </c>
      <c r="AH137" s="40">
        <v>0</v>
      </c>
      <c r="AI137" s="36">
        <f t="shared" si="7"/>
        <v>0</v>
      </c>
      <c r="AJ137"/>
      <c r="AK137" s="37"/>
      <c r="AM137" s="1"/>
      <c r="AN137" s="1"/>
    </row>
    <row r="138" spans="1:40" ht="15.6" customHeight="1" x14ac:dyDescent="0.3">
      <c r="A138" s="38">
        <v>2</v>
      </c>
      <c r="B138" s="38" t="s">
        <v>1380</v>
      </c>
      <c r="C138" s="38" t="s">
        <v>1381</v>
      </c>
      <c r="D138" s="39">
        <v>45869</v>
      </c>
      <c r="E138" s="38" t="s">
        <v>198</v>
      </c>
      <c r="F138" s="38" t="s">
        <v>200</v>
      </c>
      <c r="G138" s="40">
        <v>0</v>
      </c>
      <c r="H138" s="84">
        <v>22000</v>
      </c>
      <c r="I138" s="40">
        <v>3520</v>
      </c>
      <c r="J138" s="40">
        <f t="shared" si="5"/>
        <v>25520</v>
      </c>
      <c r="K138" s="40">
        <v>25520</v>
      </c>
      <c r="L138" s="40">
        <f t="shared" si="10"/>
        <v>0</v>
      </c>
      <c r="M138" s="38" t="s">
        <v>35</v>
      </c>
      <c r="N138" s="54"/>
      <c r="O138" s="36"/>
      <c r="P138" s="40">
        <v>0</v>
      </c>
      <c r="Q138" s="40">
        <v>0</v>
      </c>
      <c r="R138" s="41"/>
      <c r="S138" s="40">
        <v>0</v>
      </c>
      <c r="T138" s="40">
        <v>0</v>
      </c>
      <c r="U138" s="40">
        <v>0</v>
      </c>
      <c r="V138" s="40">
        <v>0</v>
      </c>
      <c r="W138" s="40">
        <v>22000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36">
        <f t="shared" si="7"/>
        <v>0</v>
      </c>
      <c r="AJ138"/>
      <c r="AK138" s="37"/>
      <c r="AM138" s="1"/>
      <c r="AN138" s="1"/>
    </row>
    <row r="139" spans="1:40" ht="15.6" customHeight="1" x14ac:dyDescent="0.3">
      <c r="A139" s="38">
        <v>2</v>
      </c>
      <c r="B139" s="38" t="s">
        <v>1382</v>
      </c>
      <c r="C139" s="38" t="s">
        <v>1383</v>
      </c>
      <c r="D139" s="39">
        <v>45869</v>
      </c>
      <c r="E139" s="38" t="s">
        <v>198</v>
      </c>
      <c r="F139" s="38" t="s">
        <v>200</v>
      </c>
      <c r="G139" s="40">
        <v>0</v>
      </c>
      <c r="H139" s="84">
        <v>22000</v>
      </c>
      <c r="I139" s="40">
        <v>3520</v>
      </c>
      <c r="J139" s="40">
        <f t="shared" si="5"/>
        <v>25520</v>
      </c>
      <c r="K139" s="40">
        <v>25520</v>
      </c>
      <c r="L139" s="40">
        <f t="shared" si="10"/>
        <v>0</v>
      </c>
      <c r="M139" s="38" t="s">
        <v>35</v>
      </c>
      <c r="N139" s="54"/>
      <c r="O139" s="36"/>
      <c r="P139" s="40">
        <v>0</v>
      </c>
      <c r="Q139" s="40">
        <v>0</v>
      </c>
      <c r="R139" s="41"/>
      <c r="S139" s="40">
        <v>0</v>
      </c>
      <c r="T139" s="40">
        <v>0</v>
      </c>
      <c r="U139" s="40">
        <v>0</v>
      </c>
      <c r="V139" s="40">
        <v>0</v>
      </c>
      <c r="W139" s="40">
        <v>22000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36">
        <f t="shared" si="7"/>
        <v>0</v>
      </c>
      <c r="AJ139"/>
      <c r="AK139" s="37"/>
      <c r="AM139" s="1"/>
      <c r="AN139" s="1"/>
    </row>
    <row r="140" spans="1:40" ht="15.6" customHeight="1" x14ac:dyDescent="0.3">
      <c r="A140" s="38">
        <v>2</v>
      </c>
      <c r="B140" s="38" t="s">
        <v>1384</v>
      </c>
      <c r="C140" s="38" t="s">
        <v>1385</v>
      </c>
      <c r="D140" s="39">
        <v>45869</v>
      </c>
      <c r="E140" s="38" t="s">
        <v>198</v>
      </c>
      <c r="F140" s="38" t="s">
        <v>200</v>
      </c>
      <c r="G140" s="40">
        <v>0</v>
      </c>
      <c r="H140" s="84">
        <v>22000</v>
      </c>
      <c r="I140" s="40">
        <v>3520</v>
      </c>
      <c r="J140" s="40">
        <f t="shared" si="5"/>
        <v>25520</v>
      </c>
      <c r="K140" s="40">
        <v>25520</v>
      </c>
      <c r="L140" s="40">
        <f t="shared" si="10"/>
        <v>0</v>
      </c>
      <c r="M140" s="38" t="s">
        <v>35</v>
      </c>
      <c r="N140" s="54"/>
      <c r="O140" s="36"/>
      <c r="P140" s="40">
        <v>0</v>
      </c>
      <c r="Q140" s="40">
        <v>0</v>
      </c>
      <c r="R140" s="41"/>
      <c r="S140" s="40">
        <v>0</v>
      </c>
      <c r="T140" s="40">
        <v>0</v>
      </c>
      <c r="U140" s="40">
        <v>0</v>
      </c>
      <c r="V140" s="40">
        <v>0</v>
      </c>
      <c r="W140" s="40">
        <v>22000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36">
        <f t="shared" si="7"/>
        <v>0</v>
      </c>
      <c r="AJ140"/>
      <c r="AK140" s="37"/>
      <c r="AM140" s="1"/>
      <c r="AN140" s="1"/>
    </row>
    <row r="141" spans="1:40" ht="15.6" customHeight="1" x14ac:dyDescent="0.3">
      <c r="A141" s="38">
        <v>1</v>
      </c>
      <c r="B141" s="38" t="s">
        <v>1388</v>
      </c>
      <c r="C141" s="38" t="s">
        <v>1386</v>
      </c>
      <c r="D141" s="39">
        <v>45869</v>
      </c>
      <c r="E141" s="38" t="s">
        <v>42</v>
      </c>
      <c r="F141" s="38" t="s">
        <v>49</v>
      </c>
      <c r="G141" s="40">
        <v>781</v>
      </c>
      <c r="H141" s="84">
        <f>39673.74-G141</f>
        <v>38892.74</v>
      </c>
      <c r="I141" s="40">
        <v>6222.84</v>
      </c>
      <c r="J141" s="40">
        <f t="shared" si="5"/>
        <v>45896.58</v>
      </c>
      <c r="K141" s="40">
        <v>36684.660000000003</v>
      </c>
      <c r="L141" s="40">
        <f t="shared" si="10"/>
        <v>9211.9199999999983</v>
      </c>
      <c r="M141" s="38" t="s">
        <v>35</v>
      </c>
      <c r="N141" s="54"/>
      <c r="O141" s="36"/>
      <c r="P141" s="40">
        <v>0</v>
      </c>
      <c r="Q141" s="40">
        <v>781</v>
      </c>
      <c r="R141" s="41"/>
      <c r="S141" s="40">
        <v>6739.2</v>
      </c>
      <c r="T141" s="40">
        <v>0</v>
      </c>
      <c r="U141" s="40">
        <v>27700.99</v>
      </c>
      <c r="V141" s="40">
        <v>4452.55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36">
        <f t="shared" si="7"/>
        <v>0</v>
      </c>
      <c r="AJ141"/>
      <c r="AK141" s="37"/>
      <c r="AM141" s="1"/>
      <c r="AN141" s="1"/>
    </row>
    <row r="142" spans="1:40" ht="15.6" customHeight="1" x14ac:dyDescent="0.3">
      <c r="A142" s="38">
        <v>1</v>
      </c>
      <c r="B142" s="38" t="s">
        <v>1387</v>
      </c>
      <c r="C142" s="38" t="s">
        <v>1207</v>
      </c>
      <c r="D142" s="39">
        <v>45869</v>
      </c>
      <c r="E142" s="38" t="s">
        <v>53</v>
      </c>
      <c r="F142" s="38" t="s">
        <v>199</v>
      </c>
      <c r="G142" s="40">
        <v>0</v>
      </c>
      <c r="H142" s="84">
        <v>10120</v>
      </c>
      <c r="I142" s="40">
        <v>1619.2</v>
      </c>
      <c r="J142" s="40">
        <f t="shared" si="5"/>
        <v>11739.2</v>
      </c>
      <c r="K142" s="40">
        <v>11739.2</v>
      </c>
      <c r="L142" s="40">
        <f t="shared" ref="L142:L147" si="11">+J142-K142</f>
        <v>0</v>
      </c>
      <c r="M142" s="38" t="s">
        <v>35</v>
      </c>
      <c r="N142" s="54"/>
      <c r="O142" s="36"/>
      <c r="P142" s="40">
        <v>0</v>
      </c>
      <c r="Q142" s="40">
        <v>0</v>
      </c>
      <c r="R142" s="41"/>
      <c r="S142" s="40">
        <v>0</v>
      </c>
      <c r="T142" s="40">
        <v>0</v>
      </c>
      <c r="U142" s="40">
        <v>10120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36">
        <f t="shared" si="7"/>
        <v>0</v>
      </c>
      <c r="AJ142"/>
      <c r="AK142" s="37"/>
      <c r="AM142" s="1"/>
      <c r="AN142" s="1"/>
    </row>
    <row r="143" spans="1:40" ht="15.6" customHeight="1" x14ac:dyDescent="0.3">
      <c r="A143" s="38">
        <v>1</v>
      </c>
      <c r="B143" s="38" t="s">
        <v>1389</v>
      </c>
      <c r="C143" s="38" t="s">
        <v>1371</v>
      </c>
      <c r="D143" s="39">
        <v>45869</v>
      </c>
      <c r="E143" s="38" t="s">
        <v>53</v>
      </c>
      <c r="F143" s="38" t="s">
        <v>199</v>
      </c>
      <c r="G143" s="40">
        <v>0</v>
      </c>
      <c r="H143" s="84">
        <v>5250</v>
      </c>
      <c r="I143" s="40">
        <v>0</v>
      </c>
      <c r="J143" s="40">
        <f t="shared" si="5"/>
        <v>5250</v>
      </c>
      <c r="K143" s="40">
        <v>5250</v>
      </c>
      <c r="L143" s="40">
        <f t="shared" si="11"/>
        <v>0</v>
      </c>
      <c r="M143" s="38" t="s">
        <v>35</v>
      </c>
      <c r="N143" s="54"/>
      <c r="O143" s="36"/>
      <c r="P143" s="40">
        <v>0</v>
      </c>
      <c r="Q143" s="40">
        <v>0</v>
      </c>
      <c r="R143" s="41"/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1575</v>
      </c>
      <c r="AE143" s="40">
        <v>3675</v>
      </c>
      <c r="AF143" s="40">
        <v>0</v>
      </c>
      <c r="AG143" s="40">
        <v>0</v>
      </c>
      <c r="AH143" s="40">
        <v>0</v>
      </c>
      <c r="AI143" s="36">
        <f t="shared" si="7"/>
        <v>0</v>
      </c>
      <c r="AJ143"/>
      <c r="AK143" s="37"/>
      <c r="AM143" s="1"/>
      <c r="AN143" s="1"/>
    </row>
    <row r="144" spans="1:40" ht="15.6" customHeight="1" x14ac:dyDescent="0.3">
      <c r="A144" s="38">
        <v>1</v>
      </c>
      <c r="B144" s="38" t="s">
        <v>1390</v>
      </c>
      <c r="C144" s="38" t="s">
        <v>1391</v>
      </c>
      <c r="D144" s="39">
        <v>45869</v>
      </c>
      <c r="E144" s="38" t="s">
        <v>53</v>
      </c>
      <c r="F144" s="38" t="s">
        <v>199</v>
      </c>
      <c r="G144" s="40">
        <v>97271</v>
      </c>
      <c r="H144" s="84">
        <f>138767.9-G144</f>
        <v>41496.899999999994</v>
      </c>
      <c r="I144" s="40">
        <v>6639.51</v>
      </c>
      <c r="J144" s="40">
        <f t="shared" si="5"/>
        <v>145407.41</v>
      </c>
      <c r="K144" s="40">
        <v>165049.51</v>
      </c>
      <c r="L144" s="40">
        <f t="shared" si="11"/>
        <v>-19642.100000000006</v>
      </c>
      <c r="M144" s="38" t="s">
        <v>35</v>
      </c>
      <c r="N144" s="54"/>
      <c r="O144" s="36"/>
      <c r="P144" s="40">
        <v>0</v>
      </c>
      <c r="Q144" s="40">
        <v>97271</v>
      </c>
      <c r="R144" s="41"/>
      <c r="S144" s="40">
        <v>6705.61</v>
      </c>
      <c r="T144" s="40">
        <v>0</v>
      </c>
      <c r="U144" s="40">
        <v>31791.29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3000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36">
        <f t="shared" si="7"/>
        <v>0</v>
      </c>
      <c r="AJ144"/>
      <c r="AK144" s="37"/>
      <c r="AM144" s="1"/>
      <c r="AN144" s="1"/>
    </row>
    <row r="145" spans="1:40" ht="15.6" customHeight="1" x14ac:dyDescent="0.3">
      <c r="A145" s="38">
        <v>2</v>
      </c>
      <c r="B145" s="38" t="s">
        <v>1392</v>
      </c>
      <c r="C145" s="38" t="s">
        <v>1393</v>
      </c>
      <c r="D145" s="39">
        <v>45869</v>
      </c>
      <c r="E145" s="38" t="s">
        <v>53</v>
      </c>
      <c r="F145" s="38" t="s">
        <v>199</v>
      </c>
      <c r="G145" s="40">
        <v>336</v>
      </c>
      <c r="H145" s="84">
        <v>14800</v>
      </c>
      <c r="I145" s="40">
        <v>2368</v>
      </c>
      <c r="J145" s="40">
        <f t="shared" si="5"/>
        <v>17504</v>
      </c>
      <c r="K145" s="40">
        <v>17504</v>
      </c>
      <c r="L145" s="40">
        <f t="shared" si="11"/>
        <v>0</v>
      </c>
      <c r="M145" s="38" t="s">
        <v>35</v>
      </c>
      <c r="N145" s="54"/>
      <c r="O145" s="36"/>
      <c r="P145" s="40">
        <v>0</v>
      </c>
      <c r="Q145" s="40">
        <v>336</v>
      </c>
      <c r="R145" s="41"/>
      <c r="S145" s="40">
        <v>14800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36">
        <f t="shared" si="7"/>
        <v>0</v>
      </c>
      <c r="AJ145"/>
      <c r="AK145" s="37"/>
      <c r="AM145" s="1"/>
      <c r="AN145" s="1"/>
    </row>
    <row r="146" spans="1:40" ht="15.6" customHeight="1" x14ac:dyDescent="0.3">
      <c r="A146" s="38">
        <v>2</v>
      </c>
      <c r="B146" s="38" t="s">
        <v>1394</v>
      </c>
      <c r="C146" s="38" t="s">
        <v>1395</v>
      </c>
      <c r="D146" s="39">
        <v>45869</v>
      </c>
      <c r="E146" s="38" t="s">
        <v>53</v>
      </c>
      <c r="F146" s="38" t="s">
        <v>199</v>
      </c>
      <c r="G146" s="40">
        <v>0</v>
      </c>
      <c r="H146" s="84">
        <v>14800</v>
      </c>
      <c r="I146" s="40">
        <v>2368</v>
      </c>
      <c r="J146" s="40">
        <f t="shared" si="5"/>
        <v>17168</v>
      </c>
      <c r="K146" s="40">
        <v>17168</v>
      </c>
      <c r="L146" s="40">
        <f t="shared" si="11"/>
        <v>0</v>
      </c>
      <c r="M146" s="38" t="s">
        <v>35</v>
      </c>
      <c r="N146" s="54"/>
      <c r="O146" s="36"/>
      <c r="P146" s="40">
        <v>0</v>
      </c>
      <c r="Q146" s="40">
        <v>0</v>
      </c>
      <c r="R146" s="41"/>
      <c r="S146" s="40">
        <v>14800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36">
        <f t="shared" si="7"/>
        <v>0</v>
      </c>
      <c r="AJ146"/>
      <c r="AK146" s="37"/>
      <c r="AM146" s="1"/>
      <c r="AN146" s="1"/>
    </row>
    <row r="147" spans="1:40" ht="15.6" customHeight="1" x14ac:dyDescent="0.3">
      <c r="A147" s="38">
        <v>2</v>
      </c>
      <c r="B147" s="38" t="s">
        <v>1396</v>
      </c>
      <c r="C147" s="38" t="s">
        <v>1397</v>
      </c>
      <c r="D147" s="39">
        <v>45869</v>
      </c>
      <c r="E147" s="38" t="s">
        <v>53</v>
      </c>
      <c r="F147" s="38" t="s">
        <v>199</v>
      </c>
      <c r="G147" s="40">
        <v>0</v>
      </c>
      <c r="H147" s="84">
        <v>14800</v>
      </c>
      <c r="I147" s="40">
        <v>2368</v>
      </c>
      <c r="J147" s="40">
        <f t="shared" si="5"/>
        <v>17168</v>
      </c>
      <c r="K147" s="40">
        <v>17168</v>
      </c>
      <c r="L147" s="40">
        <f t="shared" si="11"/>
        <v>0</v>
      </c>
      <c r="M147" s="38" t="s">
        <v>35</v>
      </c>
      <c r="N147" s="54"/>
      <c r="O147" s="36"/>
      <c r="P147" s="40">
        <v>0</v>
      </c>
      <c r="Q147" s="40">
        <v>0</v>
      </c>
      <c r="R147" s="41"/>
      <c r="S147" s="40">
        <v>14800</v>
      </c>
      <c r="T147" s="40">
        <v>0</v>
      </c>
      <c r="U147" s="40">
        <v>0</v>
      </c>
      <c r="V147" s="40">
        <v>0</v>
      </c>
      <c r="W147" s="40">
        <v>0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36">
        <f t="shared" si="7"/>
        <v>0</v>
      </c>
      <c r="AJ147"/>
      <c r="AK147" s="37"/>
      <c r="AM147" s="1"/>
      <c r="AN147" s="1"/>
    </row>
    <row r="148" spans="1:40" ht="15.6" customHeight="1" x14ac:dyDescent="0.3">
      <c r="A148" s="38">
        <v>1</v>
      </c>
      <c r="B148" s="38" t="s">
        <v>1398</v>
      </c>
      <c r="C148" s="38" t="s">
        <v>1399</v>
      </c>
      <c r="D148" s="39">
        <v>45869</v>
      </c>
      <c r="E148" s="38" t="s">
        <v>53</v>
      </c>
      <c r="F148" s="38" t="s">
        <v>199</v>
      </c>
      <c r="G148" s="40">
        <v>781</v>
      </c>
      <c r="H148" s="84">
        <f>159304.55-G148</f>
        <v>158523.54999999999</v>
      </c>
      <c r="I148" s="40">
        <v>25363.77</v>
      </c>
      <c r="J148" s="40">
        <f t="shared" si="5"/>
        <v>184668.31999999998</v>
      </c>
      <c r="K148" s="40">
        <v>269239.8</v>
      </c>
      <c r="L148" s="40">
        <f t="shared" ref="L148:L152" si="12">+J148-K148</f>
        <v>-84571.48000000001</v>
      </c>
      <c r="M148" s="38" t="s">
        <v>35</v>
      </c>
      <c r="N148" s="54"/>
      <c r="O148" s="36"/>
      <c r="P148" s="40">
        <v>0</v>
      </c>
      <c r="Q148" s="40">
        <v>781</v>
      </c>
      <c r="R148" s="41"/>
      <c r="S148" s="40">
        <v>20251.080000000002</v>
      </c>
      <c r="T148" s="40">
        <v>0</v>
      </c>
      <c r="U148" s="40">
        <v>88352.98</v>
      </c>
      <c r="V148" s="40">
        <v>47624.49</v>
      </c>
      <c r="W148" s="40">
        <v>0</v>
      </c>
      <c r="X148" s="40">
        <v>0</v>
      </c>
      <c r="Y148" s="40">
        <v>0</v>
      </c>
      <c r="Z148" s="40">
        <v>0</v>
      </c>
      <c r="AA148" s="40">
        <v>0</v>
      </c>
      <c r="AB148" s="40">
        <v>2295</v>
      </c>
      <c r="AC148" s="40">
        <v>0</v>
      </c>
      <c r="AD148" s="40">
        <v>0</v>
      </c>
      <c r="AE148" s="40">
        <v>0</v>
      </c>
      <c r="AF148" s="40">
        <v>0</v>
      </c>
      <c r="AG148" s="40">
        <v>0</v>
      </c>
      <c r="AH148" s="40">
        <v>0</v>
      </c>
      <c r="AI148" s="36">
        <f t="shared" si="7"/>
        <v>0</v>
      </c>
      <c r="AJ148"/>
      <c r="AK148" s="37"/>
      <c r="AM148" s="1"/>
      <c r="AN148" s="1"/>
    </row>
    <row r="149" spans="1:40" ht="15.6" customHeight="1" x14ac:dyDescent="0.3">
      <c r="A149" s="38">
        <v>1</v>
      </c>
      <c r="B149" s="38" t="s">
        <v>1400</v>
      </c>
      <c r="C149" s="38" t="s">
        <v>1226</v>
      </c>
      <c r="D149" s="39">
        <v>45869</v>
      </c>
      <c r="E149" s="38" t="s">
        <v>1227</v>
      </c>
      <c r="F149" s="38" t="s">
        <v>1228</v>
      </c>
      <c r="G149" s="40">
        <v>0</v>
      </c>
      <c r="H149" s="84">
        <v>5088</v>
      </c>
      <c r="I149" s="40">
        <v>0</v>
      </c>
      <c r="J149" s="40">
        <f t="shared" si="5"/>
        <v>5088</v>
      </c>
      <c r="K149" s="40">
        <v>5088</v>
      </c>
      <c r="L149" s="40">
        <f t="shared" si="12"/>
        <v>0</v>
      </c>
      <c r="M149" s="38" t="s">
        <v>35</v>
      </c>
      <c r="N149" s="54"/>
      <c r="O149" s="36"/>
      <c r="P149" s="40">
        <v>0</v>
      </c>
      <c r="Q149" s="40">
        <v>0</v>
      </c>
      <c r="R149" s="41"/>
      <c r="S149" s="40">
        <v>0</v>
      </c>
      <c r="T149" s="40">
        <v>0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0</v>
      </c>
      <c r="AA149" s="40">
        <v>0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5088</v>
      </c>
      <c r="AH149" s="40">
        <v>0</v>
      </c>
      <c r="AI149" s="36">
        <f t="shared" si="7"/>
        <v>0</v>
      </c>
      <c r="AJ149"/>
      <c r="AK149" s="37"/>
      <c r="AM149" s="1"/>
      <c r="AN149" s="1"/>
    </row>
    <row r="150" spans="1:40" ht="15.6" customHeight="1" x14ac:dyDescent="0.3">
      <c r="A150" s="38"/>
      <c r="B150" s="38"/>
      <c r="C150" s="38"/>
      <c r="D150" s="39"/>
      <c r="E150" s="38"/>
      <c r="F150" s="38"/>
      <c r="G150" s="40"/>
      <c r="H150" s="84"/>
      <c r="I150" s="40"/>
      <c r="J150" s="40">
        <f t="shared" si="5"/>
        <v>0</v>
      </c>
      <c r="K150" s="40"/>
      <c r="L150" s="40">
        <f t="shared" si="12"/>
        <v>0</v>
      </c>
      <c r="M150" s="38" t="s">
        <v>35</v>
      </c>
      <c r="N150" s="54"/>
      <c r="O150" s="36"/>
      <c r="P150" s="40">
        <v>0</v>
      </c>
      <c r="Q150" s="40">
        <v>0</v>
      </c>
      <c r="R150" s="41"/>
      <c r="S150" s="40">
        <v>0</v>
      </c>
      <c r="T150" s="40">
        <v>0</v>
      </c>
      <c r="U150" s="40">
        <v>0</v>
      </c>
      <c r="V150" s="40">
        <v>0</v>
      </c>
      <c r="W150" s="40">
        <v>0</v>
      </c>
      <c r="X150" s="40">
        <v>0</v>
      </c>
      <c r="Y150" s="40">
        <v>0</v>
      </c>
      <c r="Z150" s="40">
        <v>0</v>
      </c>
      <c r="AA150" s="40">
        <v>0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36">
        <f t="shared" si="7"/>
        <v>0</v>
      </c>
      <c r="AJ150"/>
      <c r="AK150" s="37"/>
      <c r="AM150" s="1"/>
      <c r="AN150" s="1"/>
    </row>
    <row r="151" spans="1:40" ht="15.6" customHeight="1" x14ac:dyDescent="0.3">
      <c r="A151" s="38"/>
      <c r="B151" s="38"/>
      <c r="C151" s="38"/>
      <c r="D151" s="39"/>
      <c r="E151" s="38"/>
      <c r="F151" s="38"/>
      <c r="G151" s="40"/>
      <c r="H151" s="84"/>
      <c r="I151" s="40"/>
      <c r="J151" s="40">
        <f t="shared" si="5"/>
        <v>0</v>
      </c>
      <c r="K151" s="40"/>
      <c r="L151" s="40">
        <f t="shared" si="12"/>
        <v>0</v>
      </c>
      <c r="M151" s="38" t="s">
        <v>35</v>
      </c>
      <c r="N151" s="54"/>
      <c r="O151" s="36"/>
      <c r="P151" s="40">
        <v>0</v>
      </c>
      <c r="Q151" s="40">
        <v>0</v>
      </c>
      <c r="R151" s="41"/>
      <c r="S151" s="40">
        <v>0</v>
      </c>
      <c r="T151" s="40">
        <v>0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0</v>
      </c>
      <c r="AH151" s="40">
        <v>0</v>
      </c>
      <c r="AI151" s="36">
        <f t="shared" si="7"/>
        <v>0</v>
      </c>
      <c r="AJ151"/>
      <c r="AK151" s="37"/>
      <c r="AM151" s="1"/>
      <c r="AN151" s="1"/>
    </row>
    <row r="152" spans="1:40" x14ac:dyDescent="0.3">
      <c r="A152" s="50"/>
      <c r="B152" s="38"/>
      <c r="C152" s="50"/>
      <c r="D152" s="39"/>
      <c r="E152" s="38"/>
      <c r="F152" s="38"/>
      <c r="G152" s="40"/>
      <c r="H152" s="40"/>
      <c r="I152" s="40"/>
      <c r="J152" s="40">
        <f t="shared" si="5"/>
        <v>0</v>
      </c>
      <c r="K152" s="40"/>
      <c r="L152" s="40">
        <f t="shared" si="12"/>
        <v>0</v>
      </c>
      <c r="M152" s="38" t="s">
        <v>35</v>
      </c>
      <c r="N152" s="54"/>
      <c r="O152" s="36"/>
      <c r="P152" s="40">
        <v>0</v>
      </c>
      <c r="Q152" s="40">
        <v>0</v>
      </c>
      <c r="R152" s="41"/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0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>
        <v>0</v>
      </c>
      <c r="AH152" s="40">
        <v>0</v>
      </c>
      <c r="AI152" s="36">
        <f t="shared" si="7"/>
        <v>0</v>
      </c>
      <c r="AJ152"/>
      <c r="AK152" s="37"/>
      <c r="AM152" s="1"/>
      <c r="AN152" s="1"/>
    </row>
    <row r="153" spans="1:40" ht="15" thickBot="1" x14ac:dyDescent="0.35">
      <c r="G153" s="16">
        <f t="shared" ref="G153:L153" si="13">+SUM(G2:G152)</f>
        <v>2259042.7999999998</v>
      </c>
      <c r="H153" s="16">
        <f t="shared" si="13"/>
        <v>5655428.1699999999</v>
      </c>
      <c r="I153" s="16">
        <f t="shared" si="13"/>
        <v>831565.01</v>
      </c>
      <c r="J153" s="16">
        <f t="shared" si="13"/>
        <v>8746035.9800000004</v>
      </c>
      <c r="K153" s="16">
        <f>+SUM(K2:K152)</f>
        <v>9509090.5299999993</v>
      </c>
      <c r="L153" s="16">
        <f t="shared" si="13"/>
        <v>-763054.55000000016</v>
      </c>
      <c r="P153" s="16">
        <f>+SUM(P2:P152)</f>
        <v>224213.8</v>
      </c>
      <c r="Q153" s="16">
        <f>+SUM(Q2:Q152)</f>
        <v>2034829</v>
      </c>
      <c r="S153" s="16">
        <f t="shared" ref="S153:AI153" si="14">+SUM(S2:S152)</f>
        <v>992307.03999999969</v>
      </c>
      <c r="T153" s="16">
        <f t="shared" si="14"/>
        <v>6585.68</v>
      </c>
      <c r="U153" s="16">
        <f t="shared" si="14"/>
        <v>2179527.3200000003</v>
      </c>
      <c r="V153" s="16">
        <f t="shared" si="14"/>
        <v>1219566.2700000003</v>
      </c>
      <c r="W153" s="16">
        <f t="shared" si="14"/>
        <v>1019120.2599999999</v>
      </c>
      <c r="X153" s="16">
        <f t="shared" si="14"/>
        <v>44200</v>
      </c>
      <c r="Y153" s="16">
        <f t="shared" si="14"/>
        <v>43376</v>
      </c>
      <c r="Z153" s="16">
        <f t="shared" si="14"/>
        <v>5094</v>
      </c>
      <c r="AA153" s="16">
        <f t="shared" si="14"/>
        <v>42500</v>
      </c>
      <c r="AB153" s="16">
        <f t="shared" si="14"/>
        <v>55215</v>
      </c>
      <c r="AC153" s="16">
        <f t="shared" si="14"/>
        <v>20400</v>
      </c>
      <c r="AD153" s="16">
        <f t="shared" si="14"/>
        <v>4725</v>
      </c>
      <c r="AE153" s="16">
        <f t="shared" si="14"/>
        <v>11025</v>
      </c>
      <c r="AF153" s="16">
        <f t="shared" si="14"/>
        <v>3540</v>
      </c>
      <c r="AG153" s="16">
        <f t="shared" si="14"/>
        <v>6346.6</v>
      </c>
      <c r="AH153" s="16">
        <f t="shared" si="14"/>
        <v>1900</v>
      </c>
      <c r="AI153" s="47">
        <f t="shared" si="14"/>
        <v>0</v>
      </c>
      <c r="AJ153"/>
      <c r="AK153" s="37"/>
      <c r="AM153" s="1"/>
      <c r="AN153" s="1"/>
    </row>
    <row r="154" spans="1:40" ht="15" thickTop="1" x14ac:dyDescent="0.3">
      <c r="AK154" s="37"/>
      <c r="AM154" s="1"/>
      <c r="AN154" s="1"/>
    </row>
    <row r="155" spans="1:40" x14ac:dyDescent="0.3">
      <c r="Q155" s="1">
        <f>+G153-P153-Q153</f>
        <v>0</v>
      </c>
    </row>
    <row r="156" spans="1:40" x14ac:dyDescent="0.3">
      <c r="M156" s="46"/>
    </row>
    <row r="157" spans="1:40" x14ac:dyDescent="0.3">
      <c r="D157"/>
      <c r="E157" s="49"/>
      <c r="F157" s="14"/>
      <c r="H157" s="21" t="s">
        <v>25</v>
      </c>
      <c r="I157" s="21" t="s">
        <v>26</v>
      </c>
      <c r="J157" s="21" t="s">
        <v>27</v>
      </c>
      <c r="K157" s="21" t="s">
        <v>28</v>
      </c>
    </row>
    <row r="158" spans="1:40" x14ac:dyDescent="0.3">
      <c r="B158" s="14" t="s">
        <v>30</v>
      </c>
      <c r="D158" s="15">
        <f>+H153+'JUL USD'!N25</f>
        <v>6323157.8068000004</v>
      </c>
      <c r="G158" s="14" t="s">
        <v>23</v>
      </c>
      <c r="H158" s="1">
        <f>+H153-I158</f>
        <v>5197281.0199999996</v>
      </c>
      <c r="I158" s="1">
        <f>+H143+H137+H121+H72+H70+H149</f>
        <v>458147.14999999997</v>
      </c>
      <c r="J158" s="1">
        <f>+H158*0.16</f>
        <v>831564.9632</v>
      </c>
      <c r="K158" s="1">
        <f>+SUM(H158:J158)</f>
        <v>6486993.1332</v>
      </c>
      <c r="M158" s="46"/>
    </row>
    <row r="159" spans="1:40" x14ac:dyDescent="0.3">
      <c r="A159" s="22" t="s">
        <v>32</v>
      </c>
      <c r="B159" s="14" t="s">
        <v>31</v>
      </c>
      <c r="D159" s="15">
        <f>+H162</f>
        <v>6323157.8067999994</v>
      </c>
      <c r="G159" s="14" t="s">
        <v>24</v>
      </c>
      <c r="H159" s="1">
        <f>+'JUL USD'!N22</f>
        <v>6552</v>
      </c>
      <c r="I159" s="1">
        <f>+'JUL USD'!N23</f>
        <v>661177.63679999998</v>
      </c>
      <c r="J159" s="1">
        <f>+H159*0.16</f>
        <v>1048.32</v>
      </c>
      <c r="K159" s="1">
        <f>+SUM(H159:J159)</f>
        <v>668777.95679999993</v>
      </c>
    </row>
    <row r="160" spans="1:40" ht="15" thickBot="1" x14ac:dyDescent="0.35">
      <c r="A160" s="22" t="s">
        <v>33</v>
      </c>
      <c r="B160" s="14" t="s">
        <v>34</v>
      </c>
      <c r="D160" s="20">
        <f>+D158-D159</f>
        <v>0</v>
      </c>
      <c r="E160" s="35"/>
      <c r="H160" s="20">
        <f>+SUM(H158:H159)</f>
        <v>5203833.0199999996</v>
      </c>
      <c r="I160" s="20">
        <f t="shared" ref="I160:J160" si="15">+SUM(I158:I159)</f>
        <v>1119324.7867999999</v>
      </c>
      <c r="J160" s="20">
        <f t="shared" si="15"/>
        <v>832613.28319999995</v>
      </c>
      <c r="K160" s="20">
        <f>+SUM(K158:K159)</f>
        <v>7155771.0899999999</v>
      </c>
    </row>
    <row r="161" spans="1:42" ht="15" thickTop="1" x14ac:dyDescent="0.3">
      <c r="D161"/>
    </row>
    <row r="162" spans="1:42" x14ac:dyDescent="0.3">
      <c r="D162" s="33"/>
      <c r="G162" s="14" t="s">
        <v>29</v>
      </c>
      <c r="H162" s="15">
        <f>+H160+I160</f>
        <v>6323157.8067999994</v>
      </c>
    </row>
    <row r="163" spans="1:42" x14ac:dyDescent="0.3">
      <c r="D163" s="33"/>
      <c r="G163" s="14"/>
      <c r="H163" s="15"/>
      <c r="AP163" s="1"/>
    </row>
    <row r="164" spans="1:42" x14ac:dyDescent="0.3">
      <c r="D164" s="33"/>
      <c r="G164" s="14"/>
      <c r="H164" s="15"/>
      <c r="AP164" s="1"/>
    </row>
    <row r="165" spans="1:42" x14ac:dyDescent="0.3">
      <c r="D165" s="33"/>
      <c r="G165" s="14"/>
      <c r="H165" s="15"/>
      <c r="AP165" s="1"/>
    </row>
    <row r="166" spans="1:42" x14ac:dyDescent="0.3">
      <c r="D166" s="33"/>
      <c r="G166" s="14"/>
      <c r="H166" s="15"/>
      <c r="AP166" s="1"/>
    </row>
    <row r="167" spans="1:42" s="1" customFormat="1" x14ac:dyDescent="0.3">
      <c r="A167"/>
      <c r="B167"/>
      <c r="C167"/>
      <c r="D167" s="33"/>
      <c r="E167"/>
      <c r="F167"/>
      <c r="G167" s="14"/>
      <c r="H167" s="15"/>
      <c r="M167"/>
      <c r="N167"/>
      <c r="O167"/>
      <c r="R167"/>
      <c r="AM167"/>
      <c r="AN167"/>
      <c r="AO167"/>
      <c r="AP167"/>
    </row>
    <row r="168" spans="1:42" s="1" customFormat="1" x14ac:dyDescent="0.3">
      <c r="A168"/>
      <c r="B168"/>
      <c r="C168"/>
      <c r="D168" s="33"/>
      <c r="E168"/>
      <c r="F168"/>
      <c r="G168" s="14"/>
      <c r="H168" s="15"/>
      <c r="M168"/>
      <c r="N168"/>
      <c r="O168"/>
      <c r="R168"/>
      <c r="AM168"/>
      <c r="AN168"/>
      <c r="AO168"/>
      <c r="AP168"/>
    </row>
    <row r="169" spans="1:42" s="1" customFormat="1" x14ac:dyDescent="0.3">
      <c r="A169"/>
      <c r="B169"/>
      <c r="C169"/>
      <c r="D169" s="33"/>
      <c r="E169"/>
      <c r="F169"/>
      <c r="G169" s="14"/>
      <c r="H169" s="15"/>
      <c r="M169"/>
      <c r="N169"/>
      <c r="O169"/>
      <c r="R169"/>
      <c r="AM169"/>
      <c r="AN169"/>
      <c r="AO169"/>
      <c r="AP169"/>
    </row>
    <row r="170" spans="1:42" s="1" customFormat="1" x14ac:dyDescent="0.3">
      <c r="A170"/>
      <c r="B170"/>
      <c r="C170"/>
      <c r="D170" s="33"/>
      <c r="E170"/>
      <c r="F170"/>
      <c r="G170" s="14"/>
      <c r="H170" s="15"/>
      <c r="M170"/>
      <c r="N170"/>
      <c r="O170"/>
      <c r="R170"/>
      <c r="AM170"/>
      <c r="AN170"/>
      <c r="AO170"/>
      <c r="AP170"/>
    </row>
  </sheetData>
  <autoFilter ref="A1:AM153" xr:uid="{6D9A6E66-117A-42D1-8872-A55637CA45F1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A835-5B15-4231-B50B-263DB3C53FA6}">
  <sheetPr>
    <tabColor rgb="FF0070C0"/>
  </sheetPr>
  <dimension ref="A1:AH27"/>
  <sheetViews>
    <sheetView zoomScale="90" zoomScaleNormal="90" workbookViewId="0">
      <pane xSplit="2" ySplit="2" topLeftCell="D4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5" width="20.33203125" customWidth="1"/>
    <col min="26" max="26" width="15.6640625" customWidth="1"/>
    <col min="27" max="27" width="1.6640625" customWidth="1"/>
    <col min="33" max="33" width="15.6640625" customWidth="1"/>
  </cols>
  <sheetData>
    <row r="1" spans="1:34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34" ht="28.8" x14ac:dyDescent="0.3">
      <c r="A2" s="10" t="s">
        <v>6</v>
      </c>
      <c r="B2" s="10" t="s">
        <v>7</v>
      </c>
      <c r="C2" s="10" t="s">
        <v>794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1230</v>
      </c>
      <c r="W2" s="5" t="s">
        <v>1274</v>
      </c>
      <c r="X2" s="5" t="s">
        <v>3</v>
      </c>
      <c r="Y2" s="5" t="s">
        <v>769</v>
      </c>
      <c r="Z2" s="5" t="s">
        <v>396</v>
      </c>
      <c r="AA2" s="8"/>
      <c r="AB2" s="5" t="s">
        <v>60</v>
      </c>
      <c r="AC2" s="5" t="s">
        <v>1230</v>
      </c>
      <c r="AD2" s="5" t="s">
        <v>1274</v>
      </c>
      <c r="AE2" s="5" t="s">
        <v>3</v>
      </c>
      <c r="AF2" s="5" t="s">
        <v>769</v>
      </c>
      <c r="AG2" s="5" t="s">
        <v>396</v>
      </c>
    </row>
    <row r="3" spans="1:34" x14ac:dyDescent="0.3">
      <c r="A3" s="82">
        <v>2</v>
      </c>
      <c r="B3" s="19" t="s">
        <v>1157</v>
      </c>
      <c r="C3" s="2" t="s">
        <v>1158</v>
      </c>
      <c r="D3" s="27">
        <v>45848</v>
      </c>
      <c r="E3" s="19" t="s">
        <v>1159</v>
      </c>
      <c r="F3" s="2" t="s">
        <v>1181</v>
      </c>
      <c r="G3" s="13">
        <v>0</v>
      </c>
      <c r="H3" s="13">
        <v>6000</v>
      </c>
      <c r="I3" s="13">
        <v>0</v>
      </c>
      <c r="J3" s="13">
        <f>SUM(G3:I3)</f>
        <v>6000</v>
      </c>
      <c r="K3" s="13">
        <v>0</v>
      </c>
      <c r="L3" s="13">
        <f>J3-K3</f>
        <v>6000</v>
      </c>
      <c r="M3" s="18">
        <v>18.5733</v>
      </c>
      <c r="N3" s="3">
        <f t="shared" ref="N3:N18" si="0">H3*M3</f>
        <v>111439.8</v>
      </c>
      <c r="O3" s="3">
        <f>I3*M3</f>
        <v>0</v>
      </c>
      <c r="P3" s="3">
        <f>J3*M3</f>
        <v>111439.8</v>
      </c>
      <c r="Q3" s="3">
        <f>M3*K3</f>
        <v>0</v>
      </c>
      <c r="R3" s="3">
        <f>L3*M3</f>
        <v>111439.8</v>
      </c>
      <c r="S3" s="48"/>
      <c r="T3" s="44"/>
      <c r="U3" s="3">
        <v>6000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B3" s="3">
        <f>U3*M3</f>
        <v>111439.8</v>
      </c>
      <c r="AC3" s="3">
        <f>+V3*M3</f>
        <v>0</v>
      </c>
      <c r="AD3" s="60">
        <f>+M3*W3</f>
        <v>0</v>
      </c>
      <c r="AE3" s="3">
        <f>+X3*M3</f>
        <v>0</v>
      </c>
      <c r="AF3" s="3">
        <f>+Y3*M3</f>
        <v>0</v>
      </c>
      <c r="AG3" s="3">
        <f>+Z3*M3</f>
        <v>0</v>
      </c>
      <c r="AH3" s="46"/>
    </row>
    <row r="4" spans="1:34" x14ac:dyDescent="0.3">
      <c r="A4" s="82">
        <v>1</v>
      </c>
      <c r="B4" s="19" t="s">
        <v>1185</v>
      </c>
      <c r="C4" s="2" t="s">
        <v>1186</v>
      </c>
      <c r="D4" s="27">
        <v>45854</v>
      </c>
      <c r="E4" s="19" t="s">
        <v>1187</v>
      </c>
      <c r="F4" s="2" t="s">
        <v>1188</v>
      </c>
      <c r="G4" s="13">
        <v>0</v>
      </c>
      <c r="H4" s="13">
        <v>210</v>
      </c>
      <c r="I4" s="13">
        <v>0</v>
      </c>
      <c r="J4" s="13">
        <f t="shared" ref="J4:J18" si="1">SUM(G4:I4)</f>
        <v>210</v>
      </c>
      <c r="K4" s="13">
        <v>0</v>
      </c>
      <c r="L4" s="13">
        <f>J4-K4</f>
        <v>210</v>
      </c>
      <c r="M4" s="18">
        <v>18.839700000000001</v>
      </c>
      <c r="N4" s="3">
        <f t="shared" si="0"/>
        <v>3956.337</v>
      </c>
      <c r="O4" s="3">
        <f>I4*M4</f>
        <v>0</v>
      </c>
      <c r="P4" s="3">
        <f>J4*M4</f>
        <v>3956.337</v>
      </c>
      <c r="Q4" s="3">
        <f>M4*K4</f>
        <v>0</v>
      </c>
      <c r="R4" s="3">
        <f>L4*M4</f>
        <v>3956.337</v>
      </c>
      <c r="S4" s="48"/>
      <c r="T4" s="44"/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210</v>
      </c>
      <c r="AB4" s="3">
        <f>U4*M4</f>
        <v>0</v>
      </c>
      <c r="AC4" s="3">
        <f t="shared" ref="AC4:AC18" si="2">+V4*M4</f>
        <v>0</v>
      </c>
      <c r="AD4" s="60">
        <f t="shared" ref="AD4:AD18" si="3">+M4*W4</f>
        <v>0</v>
      </c>
      <c r="AE4" s="3">
        <f>+X4*M4</f>
        <v>0</v>
      </c>
      <c r="AF4" s="3">
        <f t="shared" ref="AF4:AF18" si="4">+Y4*M4</f>
        <v>0</v>
      </c>
      <c r="AG4" s="3">
        <f>+Z4*M4</f>
        <v>3956.337</v>
      </c>
      <c r="AH4" s="46"/>
    </row>
    <row r="5" spans="1:34" x14ac:dyDescent="0.3">
      <c r="A5" s="82">
        <v>1</v>
      </c>
      <c r="B5" s="19" t="s">
        <v>1204</v>
      </c>
      <c r="C5" s="2" t="s">
        <v>1209</v>
      </c>
      <c r="D5" s="27">
        <v>45855</v>
      </c>
      <c r="E5" s="19" t="s">
        <v>1187</v>
      </c>
      <c r="F5" s="2" t="s">
        <v>1188</v>
      </c>
      <c r="G5" s="13">
        <v>0</v>
      </c>
      <c r="H5" s="13">
        <v>210</v>
      </c>
      <c r="I5" s="13">
        <v>0</v>
      </c>
      <c r="J5" s="13">
        <f t="shared" si="1"/>
        <v>210</v>
      </c>
      <c r="K5" s="13">
        <v>0</v>
      </c>
      <c r="L5" s="13">
        <f t="shared" ref="L5:L18" si="5">J5-K5</f>
        <v>210</v>
      </c>
      <c r="M5" s="18">
        <v>18.7178</v>
      </c>
      <c r="N5" s="3">
        <f t="shared" si="0"/>
        <v>3930.7380000000003</v>
      </c>
      <c r="O5" s="3">
        <f>I5*M5</f>
        <v>0</v>
      </c>
      <c r="P5" s="3">
        <f>J5*M5</f>
        <v>3930.7380000000003</v>
      </c>
      <c r="Q5" s="3">
        <f>M5*K5</f>
        <v>0</v>
      </c>
      <c r="R5" s="3">
        <f>L5*M5</f>
        <v>3930.7380000000003</v>
      </c>
      <c r="S5" s="48"/>
      <c r="T5" s="44"/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210</v>
      </c>
      <c r="AB5" s="3">
        <f>U5*M5</f>
        <v>0</v>
      </c>
      <c r="AC5" s="3">
        <f t="shared" si="2"/>
        <v>0</v>
      </c>
      <c r="AD5" s="3">
        <f t="shared" si="3"/>
        <v>0</v>
      </c>
      <c r="AE5" s="3">
        <f>+X5*M5</f>
        <v>0</v>
      </c>
      <c r="AF5" s="3">
        <f t="shared" si="4"/>
        <v>0</v>
      </c>
      <c r="AG5" s="3">
        <f>+Z5*M5</f>
        <v>3930.7380000000003</v>
      </c>
      <c r="AH5" s="46"/>
    </row>
    <row r="6" spans="1:34" x14ac:dyDescent="0.3">
      <c r="A6" s="82">
        <v>1</v>
      </c>
      <c r="B6" s="19" t="s">
        <v>1205</v>
      </c>
      <c r="C6" s="2" t="s">
        <v>1210</v>
      </c>
      <c r="D6" s="27">
        <v>45855</v>
      </c>
      <c r="E6" s="19" t="s">
        <v>1187</v>
      </c>
      <c r="F6" s="2" t="s">
        <v>1188</v>
      </c>
      <c r="G6" s="13">
        <v>0</v>
      </c>
      <c r="H6" s="13">
        <v>210</v>
      </c>
      <c r="I6" s="13">
        <v>0</v>
      </c>
      <c r="J6" s="13">
        <f t="shared" si="1"/>
        <v>210</v>
      </c>
      <c r="K6" s="13">
        <v>0</v>
      </c>
      <c r="L6" s="13">
        <f t="shared" si="5"/>
        <v>210</v>
      </c>
      <c r="M6" s="18">
        <v>18.7178</v>
      </c>
      <c r="N6" s="3">
        <f t="shared" si="0"/>
        <v>3930.7380000000003</v>
      </c>
      <c r="O6" s="3">
        <f t="shared" ref="O6:O18" si="6">I6*M6</f>
        <v>0</v>
      </c>
      <c r="P6" s="3">
        <f t="shared" ref="P6:P18" si="7">J6*M6</f>
        <v>3930.7380000000003</v>
      </c>
      <c r="Q6" s="3">
        <f t="shared" ref="Q6:Q18" si="8">M6*K6</f>
        <v>0</v>
      </c>
      <c r="R6" s="3">
        <f t="shared" ref="R6:R18" si="9">L6*M6</f>
        <v>3930.7380000000003</v>
      </c>
      <c r="S6" s="48"/>
      <c r="T6" s="44"/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210</v>
      </c>
      <c r="AB6" s="3">
        <f>U6*M6</f>
        <v>0</v>
      </c>
      <c r="AC6" s="3">
        <f t="shared" si="2"/>
        <v>0</v>
      </c>
      <c r="AD6" s="3">
        <f t="shared" si="3"/>
        <v>0</v>
      </c>
      <c r="AE6" s="3">
        <f>+X6*M6</f>
        <v>0</v>
      </c>
      <c r="AF6" s="3">
        <f t="shared" si="4"/>
        <v>0</v>
      </c>
      <c r="AG6" s="3">
        <f>+Z6*M6</f>
        <v>3930.7380000000003</v>
      </c>
      <c r="AH6" s="46"/>
    </row>
    <row r="7" spans="1:34" x14ac:dyDescent="0.3">
      <c r="A7" s="82">
        <v>1</v>
      </c>
      <c r="B7" s="19" t="s">
        <v>1225</v>
      </c>
      <c r="C7" s="2" t="s">
        <v>1226</v>
      </c>
      <c r="D7" s="27">
        <v>45859</v>
      </c>
      <c r="E7" s="19" t="s">
        <v>1227</v>
      </c>
      <c r="F7" s="2" t="s">
        <v>1228</v>
      </c>
      <c r="G7" s="13">
        <v>0</v>
      </c>
      <c r="H7" s="13">
        <f>3784+3068</f>
        <v>6852</v>
      </c>
      <c r="I7" s="13">
        <v>0</v>
      </c>
      <c r="J7" s="13">
        <f t="shared" si="1"/>
        <v>6852</v>
      </c>
      <c r="K7" s="13">
        <v>6852</v>
      </c>
      <c r="L7" s="13">
        <f t="shared" si="5"/>
        <v>0</v>
      </c>
      <c r="M7" s="18">
        <v>18.72</v>
      </c>
      <c r="N7" s="3">
        <f t="shared" si="0"/>
        <v>128269.43999999999</v>
      </c>
      <c r="O7" s="3">
        <f t="shared" si="6"/>
        <v>0</v>
      </c>
      <c r="P7" s="3">
        <f t="shared" si="7"/>
        <v>128269.43999999999</v>
      </c>
      <c r="Q7" s="3">
        <f t="shared" si="8"/>
        <v>128269.43999999999</v>
      </c>
      <c r="R7" s="3">
        <f t="shared" si="9"/>
        <v>0</v>
      </c>
      <c r="S7" s="48"/>
      <c r="T7" s="44"/>
      <c r="U7" s="3">
        <v>3784</v>
      </c>
      <c r="V7" s="3">
        <v>0</v>
      </c>
      <c r="W7" s="3">
        <v>0</v>
      </c>
      <c r="X7" s="3">
        <v>0</v>
      </c>
      <c r="Y7" s="3">
        <v>3068</v>
      </c>
      <c r="Z7" s="3">
        <v>0</v>
      </c>
      <c r="AB7" s="3">
        <f>U7*M7</f>
        <v>70836.479999999996</v>
      </c>
      <c r="AC7" s="3">
        <f t="shared" si="2"/>
        <v>0</v>
      </c>
      <c r="AD7" s="3">
        <f t="shared" si="3"/>
        <v>0</v>
      </c>
      <c r="AE7" s="3">
        <f>+X7*M7</f>
        <v>0</v>
      </c>
      <c r="AF7" s="3">
        <f t="shared" si="4"/>
        <v>57432.959999999999</v>
      </c>
      <c r="AG7" s="3">
        <f>+Z7*M7</f>
        <v>0</v>
      </c>
      <c r="AH7" s="46"/>
    </row>
    <row r="8" spans="1:34" x14ac:dyDescent="0.3">
      <c r="A8" s="82">
        <v>1</v>
      </c>
      <c r="B8" s="19" t="s">
        <v>1229</v>
      </c>
      <c r="C8" s="2" t="s">
        <v>1226</v>
      </c>
      <c r="D8" s="27">
        <v>45859</v>
      </c>
      <c r="E8" s="19" t="s">
        <v>1227</v>
      </c>
      <c r="F8" s="2" t="s">
        <v>1228</v>
      </c>
      <c r="G8" s="13">
        <v>0</v>
      </c>
      <c r="H8" s="13">
        <v>350</v>
      </c>
      <c r="I8" s="13">
        <v>56</v>
      </c>
      <c r="J8" s="13">
        <f t="shared" si="1"/>
        <v>406</v>
      </c>
      <c r="K8" s="13">
        <v>406</v>
      </c>
      <c r="L8" s="13">
        <f t="shared" si="5"/>
        <v>0</v>
      </c>
      <c r="M8" s="18">
        <v>18.72</v>
      </c>
      <c r="N8" s="3">
        <f t="shared" si="0"/>
        <v>6552</v>
      </c>
      <c r="O8" s="3">
        <f t="shared" si="6"/>
        <v>1048.32</v>
      </c>
      <c r="P8" s="3">
        <f t="shared" si="7"/>
        <v>7600.32</v>
      </c>
      <c r="Q8" s="3">
        <f t="shared" si="8"/>
        <v>7600.32</v>
      </c>
      <c r="R8" s="3">
        <f t="shared" si="9"/>
        <v>0</v>
      </c>
      <c r="S8" s="48"/>
      <c r="T8" s="44"/>
      <c r="U8" s="3">
        <v>0</v>
      </c>
      <c r="V8" s="3">
        <v>350</v>
      </c>
      <c r="W8" s="3">
        <v>0</v>
      </c>
      <c r="X8" s="3">
        <v>0</v>
      </c>
      <c r="Y8" s="3">
        <v>0</v>
      </c>
      <c r="Z8" s="3">
        <v>0</v>
      </c>
      <c r="AB8" s="3">
        <f t="shared" ref="AB8:AB18" si="10">U8*M8</f>
        <v>0</v>
      </c>
      <c r="AC8" s="3">
        <f t="shared" si="2"/>
        <v>6552</v>
      </c>
      <c r="AD8" s="3">
        <f t="shared" si="3"/>
        <v>0</v>
      </c>
      <c r="AE8" s="3">
        <f t="shared" ref="AE8:AE18" si="11">+X8*M8</f>
        <v>0</v>
      </c>
      <c r="AF8" s="3">
        <f t="shared" si="4"/>
        <v>0</v>
      </c>
      <c r="AG8" s="3">
        <f t="shared" ref="AG8:AG18" si="12">+Z8*M8</f>
        <v>0</v>
      </c>
      <c r="AH8" s="46"/>
    </row>
    <row r="9" spans="1:34" x14ac:dyDescent="0.3">
      <c r="A9" s="82">
        <v>1</v>
      </c>
      <c r="B9" s="19" t="s">
        <v>1267</v>
      </c>
      <c r="C9" s="2" t="s">
        <v>1268</v>
      </c>
      <c r="D9" s="27">
        <v>45861</v>
      </c>
      <c r="E9" s="19" t="s">
        <v>40</v>
      </c>
      <c r="F9" s="2" t="s">
        <v>1269</v>
      </c>
      <c r="G9" s="13">
        <v>0</v>
      </c>
      <c r="H9" s="13">
        <v>4339</v>
      </c>
      <c r="I9" s="13">
        <v>0</v>
      </c>
      <c r="J9" s="13">
        <f t="shared" si="1"/>
        <v>4339</v>
      </c>
      <c r="K9" s="13">
        <v>0</v>
      </c>
      <c r="L9" s="13">
        <f t="shared" si="5"/>
        <v>4339</v>
      </c>
      <c r="M9" s="18">
        <v>18.621200000000002</v>
      </c>
      <c r="N9" s="3">
        <f t="shared" si="0"/>
        <v>80797.386800000007</v>
      </c>
      <c r="O9" s="3">
        <f t="shared" si="6"/>
        <v>0</v>
      </c>
      <c r="P9" s="3">
        <f t="shared" si="7"/>
        <v>80797.386800000007</v>
      </c>
      <c r="Q9" s="3">
        <f t="shared" si="8"/>
        <v>0</v>
      </c>
      <c r="R9" s="3">
        <f t="shared" si="9"/>
        <v>80797.386800000007</v>
      </c>
      <c r="S9" s="48"/>
      <c r="T9" s="44"/>
      <c r="U9" s="3">
        <f>765+2900</f>
        <v>3665</v>
      </c>
      <c r="V9" s="3">
        <v>0</v>
      </c>
      <c r="W9" s="3">
        <v>0</v>
      </c>
      <c r="X9" s="3">
        <v>0</v>
      </c>
      <c r="Y9" s="3">
        <v>674</v>
      </c>
      <c r="Z9" s="3">
        <v>0</v>
      </c>
      <c r="AB9" s="3">
        <f t="shared" si="10"/>
        <v>68246.698000000004</v>
      </c>
      <c r="AC9" s="3">
        <f t="shared" si="2"/>
        <v>0</v>
      </c>
      <c r="AD9" s="3">
        <f t="shared" si="3"/>
        <v>0</v>
      </c>
      <c r="AE9" s="3">
        <f t="shared" si="11"/>
        <v>0</v>
      </c>
      <c r="AF9" s="3">
        <f t="shared" si="4"/>
        <v>12550.688800000002</v>
      </c>
      <c r="AG9" s="3">
        <f t="shared" si="12"/>
        <v>0</v>
      </c>
      <c r="AH9" s="46"/>
    </row>
    <row r="10" spans="1:34" x14ac:dyDescent="0.3">
      <c r="A10" s="82">
        <v>1</v>
      </c>
      <c r="B10" s="19" t="s">
        <v>1270</v>
      </c>
      <c r="C10" s="2" t="s">
        <v>1271</v>
      </c>
      <c r="D10" s="27">
        <v>45862</v>
      </c>
      <c r="E10" s="19" t="s">
        <v>1272</v>
      </c>
      <c r="F10" s="2" t="s">
        <v>1273</v>
      </c>
      <c r="G10" s="13">
        <v>0</v>
      </c>
      <c r="H10" s="13">
        <f>3360+80+100+300</f>
        <v>3840</v>
      </c>
      <c r="I10" s="13">
        <v>0</v>
      </c>
      <c r="J10" s="13">
        <f t="shared" si="1"/>
        <v>3840</v>
      </c>
      <c r="K10" s="13">
        <v>3840</v>
      </c>
      <c r="L10" s="13">
        <f t="shared" si="5"/>
        <v>0</v>
      </c>
      <c r="M10" s="18">
        <v>18.573499999999999</v>
      </c>
      <c r="N10" s="3">
        <f t="shared" si="0"/>
        <v>71322.239999999991</v>
      </c>
      <c r="O10" s="3">
        <f t="shared" si="6"/>
        <v>0</v>
      </c>
      <c r="P10" s="3">
        <f t="shared" si="7"/>
        <v>71322.239999999991</v>
      </c>
      <c r="Q10" s="3">
        <f t="shared" si="8"/>
        <v>71322.239999999991</v>
      </c>
      <c r="R10" s="3">
        <f t="shared" si="9"/>
        <v>0</v>
      </c>
      <c r="S10" s="48"/>
      <c r="T10" s="44"/>
      <c r="U10" s="3">
        <v>3360</v>
      </c>
      <c r="V10" s="3">
        <v>0</v>
      </c>
      <c r="W10" s="3">
        <v>80</v>
      </c>
      <c r="X10" s="3">
        <v>100</v>
      </c>
      <c r="Y10" s="3">
        <v>0</v>
      </c>
      <c r="Z10" s="3">
        <v>300</v>
      </c>
      <c r="AB10" s="3">
        <f t="shared" si="10"/>
        <v>62406.96</v>
      </c>
      <c r="AC10" s="3">
        <f t="shared" si="2"/>
        <v>0</v>
      </c>
      <c r="AD10" s="3">
        <f t="shared" si="3"/>
        <v>1485.8799999999999</v>
      </c>
      <c r="AE10" s="3">
        <f t="shared" si="11"/>
        <v>1857.35</v>
      </c>
      <c r="AF10" s="3">
        <f t="shared" si="4"/>
        <v>0</v>
      </c>
      <c r="AG10" s="3">
        <f t="shared" si="12"/>
        <v>5572.05</v>
      </c>
      <c r="AH10" s="46"/>
    </row>
    <row r="11" spans="1:34" x14ac:dyDescent="0.3">
      <c r="A11" s="82">
        <v>1</v>
      </c>
      <c r="B11" s="19" t="s">
        <v>1311</v>
      </c>
      <c r="C11" s="2" t="s">
        <v>1312</v>
      </c>
      <c r="D11" s="27">
        <v>45866</v>
      </c>
      <c r="E11" s="19" t="s">
        <v>40</v>
      </c>
      <c r="F11" s="2" t="s">
        <v>41</v>
      </c>
      <c r="G11" s="13">
        <v>0</v>
      </c>
      <c r="H11" s="13">
        <f>2850+1490</f>
        <v>4340</v>
      </c>
      <c r="I11" s="13">
        <v>0</v>
      </c>
      <c r="J11" s="13">
        <f t="shared" si="1"/>
        <v>4340</v>
      </c>
      <c r="K11" s="13">
        <v>0</v>
      </c>
      <c r="L11" s="13">
        <f t="shared" si="5"/>
        <v>4340</v>
      </c>
      <c r="M11" s="18">
        <v>18.556999999999999</v>
      </c>
      <c r="N11" s="3">
        <f t="shared" si="0"/>
        <v>80537.37999999999</v>
      </c>
      <c r="O11" s="3">
        <f t="shared" si="6"/>
        <v>0</v>
      </c>
      <c r="P11" s="3">
        <f t="shared" si="7"/>
        <v>80537.37999999999</v>
      </c>
      <c r="Q11" s="3">
        <f t="shared" si="8"/>
        <v>0</v>
      </c>
      <c r="R11" s="3">
        <f t="shared" si="9"/>
        <v>80537.37999999999</v>
      </c>
      <c r="S11" s="48"/>
      <c r="T11" s="44"/>
      <c r="U11" s="3">
        <v>2850</v>
      </c>
      <c r="V11" s="3">
        <v>0</v>
      </c>
      <c r="W11" s="3">
        <v>0</v>
      </c>
      <c r="X11" s="3">
        <v>0</v>
      </c>
      <c r="Y11" s="3">
        <v>1490</v>
      </c>
      <c r="Z11" s="3">
        <v>0</v>
      </c>
      <c r="AB11" s="3">
        <f t="shared" si="10"/>
        <v>52887.45</v>
      </c>
      <c r="AC11" s="3">
        <f t="shared" si="2"/>
        <v>0</v>
      </c>
      <c r="AD11" s="3">
        <f t="shared" si="3"/>
        <v>0</v>
      </c>
      <c r="AE11" s="3">
        <f t="shared" si="11"/>
        <v>0</v>
      </c>
      <c r="AF11" s="3">
        <f t="shared" si="4"/>
        <v>27649.929999999997</v>
      </c>
      <c r="AG11" s="3">
        <f t="shared" si="12"/>
        <v>0</v>
      </c>
      <c r="AH11" s="46"/>
    </row>
    <row r="12" spans="1:34" x14ac:dyDescent="0.3">
      <c r="A12" s="82">
        <v>1</v>
      </c>
      <c r="B12" s="19" t="s">
        <v>1327</v>
      </c>
      <c r="C12" s="2" t="s">
        <v>1328</v>
      </c>
      <c r="D12" s="27">
        <v>45866</v>
      </c>
      <c r="E12" s="19" t="s">
        <v>1187</v>
      </c>
      <c r="F12" s="2" t="s">
        <v>1188</v>
      </c>
      <c r="G12" s="13">
        <v>0</v>
      </c>
      <c r="H12" s="13">
        <v>210</v>
      </c>
      <c r="I12" s="13">
        <v>0</v>
      </c>
      <c r="J12" s="13">
        <f t="shared" si="1"/>
        <v>210</v>
      </c>
      <c r="K12" s="13">
        <v>0</v>
      </c>
      <c r="L12" s="13">
        <f t="shared" si="5"/>
        <v>210</v>
      </c>
      <c r="M12" s="18">
        <v>18.556999999999999</v>
      </c>
      <c r="N12" s="3">
        <f t="shared" si="0"/>
        <v>3896.97</v>
      </c>
      <c r="O12" s="3">
        <f t="shared" si="6"/>
        <v>0</v>
      </c>
      <c r="P12" s="3">
        <f t="shared" si="7"/>
        <v>3896.97</v>
      </c>
      <c r="Q12" s="3">
        <f t="shared" si="8"/>
        <v>0</v>
      </c>
      <c r="R12" s="3">
        <f t="shared" si="9"/>
        <v>3896.97</v>
      </c>
      <c r="S12" s="48"/>
      <c r="T12" s="44"/>
      <c r="U12" s="3">
        <v>0</v>
      </c>
      <c r="V12" s="3">
        <v>0</v>
      </c>
      <c r="W12" s="3">
        <v>0</v>
      </c>
      <c r="X12" s="3">
        <v>0</v>
      </c>
      <c r="Y12" s="3">
        <v>210</v>
      </c>
      <c r="Z12" s="3">
        <v>0</v>
      </c>
      <c r="AB12" s="3">
        <f t="shared" si="10"/>
        <v>0</v>
      </c>
      <c r="AC12" s="3">
        <f t="shared" si="2"/>
        <v>0</v>
      </c>
      <c r="AD12" s="3">
        <f t="shared" si="3"/>
        <v>0</v>
      </c>
      <c r="AE12" s="3">
        <f t="shared" si="11"/>
        <v>0</v>
      </c>
      <c r="AF12" s="3">
        <f t="shared" si="4"/>
        <v>3896.97</v>
      </c>
      <c r="AG12" s="3">
        <f t="shared" si="12"/>
        <v>0</v>
      </c>
      <c r="AH12" s="46"/>
    </row>
    <row r="13" spans="1:34" x14ac:dyDescent="0.3">
      <c r="A13" s="82">
        <v>1</v>
      </c>
      <c r="B13" s="19" t="s">
        <v>1339</v>
      </c>
      <c r="C13" s="2" t="s">
        <v>1340</v>
      </c>
      <c r="D13" s="27">
        <v>45867</v>
      </c>
      <c r="E13" s="19" t="s">
        <v>1187</v>
      </c>
      <c r="F13" s="2" t="s">
        <v>1188</v>
      </c>
      <c r="G13" s="13">
        <v>0</v>
      </c>
      <c r="H13" s="13">
        <v>210</v>
      </c>
      <c r="I13" s="13">
        <v>0</v>
      </c>
      <c r="J13" s="13">
        <f t="shared" si="1"/>
        <v>210</v>
      </c>
      <c r="K13" s="13">
        <v>0</v>
      </c>
      <c r="L13" s="13">
        <f t="shared" si="5"/>
        <v>210</v>
      </c>
      <c r="M13" s="18">
        <v>18.726700000000001</v>
      </c>
      <c r="N13" s="3">
        <f t="shared" si="0"/>
        <v>3932.6070000000004</v>
      </c>
      <c r="O13" s="3">
        <f t="shared" si="6"/>
        <v>0</v>
      </c>
      <c r="P13" s="3">
        <f t="shared" si="7"/>
        <v>3932.6070000000004</v>
      </c>
      <c r="Q13" s="3">
        <f t="shared" si="8"/>
        <v>0</v>
      </c>
      <c r="R13" s="3">
        <f t="shared" si="9"/>
        <v>3932.6070000000004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210</v>
      </c>
      <c r="AB13" s="3">
        <f t="shared" si="10"/>
        <v>0</v>
      </c>
      <c r="AC13" s="3">
        <f t="shared" si="2"/>
        <v>0</v>
      </c>
      <c r="AD13" s="3">
        <f t="shared" si="3"/>
        <v>0</v>
      </c>
      <c r="AE13" s="3">
        <f t="shared" si="11"/>
        <v>0</v>
      </c>
      <c r="AF13" s="3">
        <f t="shared" si="4"/>
        <v>0</v>
      </c>
      <c r="AG13" s="3">
        <f t="shared" si="12"/>
        <v>3932.6070000000004</v>
      </c>
      <c r="AH13" s="46"/>
    </row>
    <row r="14" spans="1:34" x14ac:dyDescent="0.3">
      <c r="A14" s="82">
        <v>1</v>
      </c>
      <c r="B14" s="19" t="s">
        <v>1374</v>
      </c>
      <c r="C14" s="2" t="s">
        <v>1375</v>
      </c>
      <c r="D14" s="27">
        <v>45869</v>
      </c>
      <c r="E14" s="19" t="s">
        <v>224</v>
      </c>
      <c r="F14" s="2" t="s">
        <v>1376</v>
      </c>
      <c r="G14" s="13">
        <v>0</v>
      </c>
      <c r="H14" s="13">
        <v>9000</v>
      </c>
      <c r="I14" s="13">
        <v>0</v>
      </c>
      <c r="J14" s="13">
        <f t="shared" si="1"/>
        <v>9000</v>
      </c>
      <c r="K14" s="13">
        <v>0</v>
      </c>
      <c r="L14" s="13">
        <f t="shared" si="5"/>
        <v>9000</v>
      </c>
      <c r="M14" s="18">
        <v>18.795999999999999</v>
      </c>
      <c r="N14" s="3">
        <f t="shared" si="0"/>
        <v>169164</v>
      </c>
      <c r="O14" s="3">
        <f t="shared" si="6"/>
        <v>0</v>
      </c>
      <c r="P14" s="3">
        <f t="shared" si="7"/>
        <v>169164</v>
      </c>
      <c r="Q14" s="3">
        <f t="shared" si="8"/>
        <v>0</v>
      </c>
      <c r="R14" s="3">
        <f t="shared" si="9"/>
        <v>169164</v>
      </c>
      <c r="S14" s="48"/>
      <c r="T14" s="44"/>
      <c r="U14" s="3">
        <v>9000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B14" s="3">
        <f t="shared" si="10"/>
        <v>169164</v>
      </c>
      <c r="AC14" s="3">
        <f t="shared" si="2"/>
        <v>0</v>
      </c>
      <c r="AD14" s="3">
        <f t="shared" si="3"/>
        <v>0</v>
      </c>
      <c r="AE14" s="3">
        <f t="shared" si="11"/>
        <v>0</v>
      </c>
      <c r="AF14" s="3">
        <f t="shared" si="4"/>
        <v>0</v>
      </c>
      <c r="AG14" s="3">
        <f t="shared" si="12"/>
        <v>0</v>
      </c>
      <c r="AH14" s="46"/>
    </row>
    <row r="15" spans="1:34" x14ac:dyDescent="0.3">
      <c r="A15" s="82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5"/>
        <v>0</v>
      </c>
      <c r="M15" s="18"/>
      <c r="N15" s="3">
        <f t="shared" si="0"/>
        <v>0</v>
      </c>
      <c r="O15" s="3">
        <f t="shared" si="6"/>
        <v>0</v>
      </c>
      <c r="P15" s="3">
        <f t="shared" si="7"/>
        <v>0</v>
      </c>
      <c r="Q15" s="3">
        <f t="shared" si="8"/>
        <v>0</v>
      </c>
      <c r="R15" s="3">
        <f t="shared" si="9"/>
        <v>0</v>
      </c>
      <c r="S15" s="48"/>
      <c r="T15" s="44"/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B15" s="3">
        <f t="shared" si="10"/>
        <v>0</v>
      </c>
      <c r="AC15" s="3">
        <f t="shared" si="2"/>
        <v>0</v>
      </c>
      <c r="AD15" s="3">
        <f t="shared" si="3"/>
        <v>0</v>
      </c>
      <c r="AE15" s="3">
        <f t="shared" si="11"/>
        <v>0</v>
      </c>
      <c r="AF15" s="3">
        <f t="shared" si="4"/>
        <v>0</v>
      </c>
      <c r="AG15" s="3">
        <f t="shared" si="12"/>
        <v>0</v>
      </c>
      <c r="AH15" s="46"/>
    </row>
    <row r="16" spans="1:34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5"/>
        <v>0</v>
      </c>
      <c r="M16" s="18"/>
      <c r="N16" s="3">
        <f t="shared" si="0"/>
        <v>0</v>
      </c>
      <c r="O16" s="3">
        <f t="shared" si="6"/>
        <v>0</v>
      </c>
      <c r="P16" s="3">
        <f t="shared" si="7"/>
        <v>0</v>
      </c>
      <c r="Q16" s="3">
        <f t="shared" si="8"/>
        <v>0</v>
      </c>
      <c r="R16" s="3">
        <f t="shared" si="9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B16" s="3">
        <f t="shared" si="10"/>
        <v>0</v>
      </c>
      <c r="AC16" s="3">
        <f t="shared" si="2"/>
        <v>0</v>
      </c>
      <c r="AD16" s="3">
        <f t="shared" si="3"/>
        <v>0</v>
      </c>
      <c r="AE16" s="3">
        <f t="shared" si="11"/>
        <v>0</v>
      </c>
      <c r="AF16" s="3">
        <f t="shared" si="4"/>
        <v>0</v>
      </c>
      <c r="AG16" s="3">
        <f t="shared" si="12"/>
        <v>0</v>
      </c>
      <c r="AH16" s="46"/>
    </row>
    <row r="17" spans="1:34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5"/>
        <v>0</v>
      </c>
      <c r="M17" s="18"/>
      <c r="N17" s="3">
        <f t="shared" si="0"/>
        <v>0</v>
      </c>
      <c r="O17" s="3">
        <f t="shared" si="6"/>
        <v>0</v>
      </c>
      <c r="P17" s="3">
        <f t="shared" si="7"/>
        <v>0</v>
      </c>
      <c r="Q17" s="3">
        <f t="shared" si="8"/>
        <v>0</v>
      </c>
      <c r="R17" s="3">
        <f t="shared" si="9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B17" s="3">
        <f t="shared" si="10"/>
        <v>0</v>
      </c>
      <c r="AC17" s="3">
        <f t="shared" si="2"/>
        <v>0</v>
      </c>
      <c r="AD17" s="3">
        <f t="shared" si="3"/>
        <v>0</v>
      </c>
      <c r="AE17" s="3">
        <f t="shared" si="11"/>
        <v>0</v>
      </c>
      <c r="AF17" s="3">
        <f t="shared" si="4"/>
        <v>0</v>
      </c>
      <c r="AG17" s="3">
        <f t="shared" si="12"/>
        <v>0</v>
      </c>
      <c r="AH17" s="46"/>
    </row>
    <row r="18" spans="1:34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5"/>
        <v>0</v>
      </c>
      <c r="M18" s="18"/>
      <c r="N18" s="3">
        <f t="shared" si="0"/>
        <v>0</v>
      </c>
      <c r="O18" s="3">
        <f t="shared" si="6"/>
        <v>0</v>
      </c>
      <c r="P18" s="3">
        <f t="shared" si="7"/>
        <v>0</v>
      </c>
      <c r="Q18" s="3">
        <f t="shared" si="8"/>
        <v>0</v>
      </c>
      <c r="R18" s="3">
        <f t="shared" si="9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B18" s="3">
        <f t="shared" si="10"/>
        <v>0</v>
      </c>
      <c r="AC18" s="3">
        <f t="shared" si="2"/>
        <v>0</v>
      </c>
      <c r="AD18" s="3">
        <f t="shared" si="3"/>
        <v>0</v>
      </c>
      <c r="AE18" s="3">
        <f t="shared" si="11"/>
        <v>0</v>
      </c>
      <c r="AF18" s="3">
        <f t="shared" si="4"/>
        <v>0</v>
      </c>
      <c r="AG18" s="3">
        <f t="shared" si="12"/>
        <v>0</v>
      </c>
      <c r="AH18" s="46"/>
    </row>
    <row r="19" spans="1:34" ht="15" thickBot="1" x14ac:dyDescent="0.35">
      <c r="A19" s="14"/>
      <c r="B19" s="14"/>
      <c r="C19" s="14"/>
      <c r="D19" s="28"/>
      <c r="E19" s="14"/>
      <c r="F19" s="14"/>
      <c r="G19" s="17">
        <f t="shared" ref="G19:L19" si="13">+SUM(G3:G18)</f>
        <v>0</v>
      </c>
      <c r="H19" s="59">
        <f t="shared" si="13"/>
        <v>35771</v>
      </c>
      <c r="I19" s="17">
        <f t="shared" si="13"/>
        <v>56</v>
      </c>
      <c r="J19" s="17">
        <f t="shared" si="13"/>
        <v>35827</v>
      </c>
      <c r="K19" s="17">
        <f t="shared" si="13"/>
        <v>11098</v>
      </c>
      <c r="L19" s="17">
        <f t="shared" si="13"/>
        <v>24729</v>
      </c>
      <c r="M19" s="14"/>
      <c r="N19" s="55">
        <f>+SUM(N3:N18)</f>
        <v>667729.63679999998</v>
      </c>
      <c r="O19" s="16">
        <f>+SUM(O3:O18)</f>
        <v>1048.32</v>
      </c>
      <c r="P19" s="16">
        <f>+SUM(P3:P18)</f>
        <v>668777.95680000004</v>
      </c>
      <c r="Q19" s="16">
        <f>+SUM(Q3:Q18)</f>
        <v>207191.99999999997</v>
      </c>
      <c r="R19" s="16">
        <f>+SUM(R3:R18)</f>
        <v>461585.95679999999</v>
      </c>
      <c r="S19" s="15"/>
      <c r="T19" s="15"/>
      <c r="U19" s="17">
        <f t="shared" ref="U19:Z19" si="14">+SUM(U3:U18)</f>
        <v>28659</v>
      </c>
      <c r="V19" s="17">
        <f t="shared" si="14"/>
        <v>350</v>
      </c>
      <c r="W19" s="17">
        <f t="shared" si="14"/>
        <v>80</v>
      </c>
      <c r="X19" s="17">
        <f t="shared" si="14"/>
        <v>100</v>
      </c>
      <c r="Y19" s="17">
        <f t="shared" si="14"/>
        <v>5442</v>
      </c>
      <c r="Z19" s="17">
        <f t="shared" si="14"/>
        <v>1140</v>
      </c>
      <c r="AA19" s="14"/>
      <c r="AB19" s="16">
        <f t="shared" ref="AB19:AG19" si="15">+SUM(AB3:AB18)</f>
        <v>534981.38800000004</v>
      </c>
      <c r="AC19" s="16">
        <f t="shared" si="15"/>
        <v>6552</v>
      </c>
      <c r="AD19" s="16">
        <f t="shared" si="15"/>
        <v>1485.8799999999999</v>
      </c>
      <c r="AE19" s="16">
        <f t="shared" si="15"/>
        <v>1857.35</v>
      </c>
      <c r="AF19" s="16">
        <f t="shared" si="15"/>
        <v>101530.54879999999</v>
      </c>
      <c r="AG19" s="16">
        <f t="shared" si="15"/>
        <v>21322.47</v>
      </c>
      <c r="AH19" s="14"/>
    </row>
    <row r="20" spans="1:34" ht="15" thickTop="1" x14ac:dyDescent="0.3">
      <c r="Z20" s="34">
        <f>+SUM(T19:Z19)</f>
        <v>35771</v>
      </c>
      <c r="AG20" s="1">
        <f>+SUM(AB19:AG19)</f>
        <v>667729.63679999998</v>
      </c>
    </row>
    <row r="21" spans="1:34" x14ac:dyDescent="0.3">
      <c r="H21" s="23"/>
      <c r="N21" s="1"/>
      <c r="O21" s="23"/>
      <c r="P21" s="32"/>
      <c r="Z21" s="34">
        <f>+Z20-H19</f>
        <v>0</v>
      </c>
      <c r="AG21" s="1">
        <f>+AG20-N19</f>
        <v>0</v>
      </c>
    </row>
    <row r="22" spans="1:34" x14ac:dyDescent="0.3">
      <c r="H22" s="23"/>
      <c r="I22" s="32"/>
      <c r="M22">
        <v>16</v>
      </c>
      <c r="N22" s="46">
        <f>+N8</f>
        <v>6552</v>
      </c>
      <c r="O22" s="81"/>
    </row>
    <row r="23" spans="1:34" x14ac:dyDescent="0.3">
      <c r="M23">
        <v>0</v>
      </c>
      <c r="N23" s="23">
        <f>+N3+N4+N5+N6+N7+N9+N10+N11+N12+N13+N14</f>
        <v>661177.63679999998</v>
      </c>
      <c r="O23" s="81"/>
    </row>
    <row r="24" spans="1:34" x14ac:dyDescent="0.3">
      <c r="N24" s="23"/>
    </row>
    <row r="25" spans="1:34" x14ac:dyDescent="0.3">
      <c r="N25" s="23">
        <f>+N22+N23</f>
        <v>667729.63679999998</v>
      </c>
    </row>
    <row r="26" spans="1:34" x14ac:dyDescent="0.3">
      <c r="M26" s="32"/>
    </row>
    <row r="27" spans="1:34" x14ac:dyDescent="0.3">
      <c r="M27" s="32"/>
    </row>
  </sheetData>
  <autoFilter ref="A2:AG19" xr:uid="{8AB32C8C-2F1A-4C1B-BB94-CF5A4C8E86AF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6F5D-1F41-4B95-8A4A-698D94FBBFCC}">
  <sheetPr>
    <tabColor rgb="FF0070C0"/>
  </sheetPr>
  <dimension ref="A1:AP167"/>
  <sheetViews>
    <sheetView showGridLines="0" zoomScaleNormal="100" zoomScaleSheetLayoutView="50" workbookViewId="0">
      <pane xSplit="3" ySplit="1" topLeftCell="E89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5" width="15.6640625" style="1" customWidth="1"/>
    <col min="36" max="36" width="38.109375" style="1" bestFit="1" customWidth="1"/>
    <col min="37" max="37" width="35.6640625" style="1" customWidth="1"/>
    <col min="38" max="38" width="15.6640625" style="1" customWidth="1"/>
    <col min="39" max="39" width="12.33203125" bestFit="1" customWidth="1"/>
    <col min="40" max="40" width="13.88671875" bestFit="1" customWidth="1"/>
    <col min="41" max="41" width="12.5546875" bestFit="1" customWidth="1"/>
  </cols>
  <sheetData>
    <row r="1" spans="1:41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670</v>
      </c>
      <c r="Z1" s="5" t="s">
        <v>974</v>
      </c>
      <c r="AA1" s="5" t="s">
        <v>545</v>
      </c>
      <c r="AB1" s="5" t="s">
        <v>5</v>
      </c>
      <c r="AC1" s="5" t="s">
        <v>55</v>
      </c>
      <c r="AD1" s="5" t="s">
        <v>1219</v>
      </c>
      <c r="AE1" s="5" t="s">
        <v>1220</v>
      </c>
      <c r="AF1" s="5" t="s">
        <v>48</v>
      </c>
      <c r="AG1" s="5" t="s">
        <v>585</v>
      </c>
      <c r="AH1" s="5" t="s">
        <v>763</v>
      </c>
      <c r="AI1"/>
      <c r="AJ1"/>
      <c r="AK1" s="7"/>
      <c r="AL1" s="5" t="s">
        <v>35</v>
      </c>
      <c r="AM1" s="5" t="s">
        <v>36</v>
      </c>
      <c r="AN1" s="5" t="s">
        <v>17</v>
      </c>
      <c r="AO1" s="5" t="s">
        <v>59</v>
      </c>
    </row>
    <row r="2" spans="1:41" x14ac:dyDescent="0.3">
      <c r="A2" s="38">
        <v>1</v>
      </c>
      <c r="B2" s="38" t="s">
        <v>1401</v>
      </c>
      <c r="C2" s="38" t="s">
        <v>1402</v>
      </c>
      <c r="D2" s="39">
        <v>45874</v>
      </c>
      <c r="E2" s="38" t="s">
        <v>40</v>
      </c>
      <c r="F2" s="38" t="s">
        <v>41</v>
      </c>
      <c r="G2" s="40">
        <v>0</v>
      </c>
      <c r="H2" s="87">
        <v>73380.55</v>
      </c>
      <c r="I2" s="40">
        <v>11740.89</v>
      </c>
      <c r="J2" s="40">
        <f>SUM(G2:I2)</f>
        <v>85121.44</v>
      </c>
      <c r="K2" s="40">
        <v>0</v>
      </c>
      <c r="L2" s="40">
        <f>+J2-K2</f>
        <v>85121.44</v>
      </c>
      <c r="M2" s="38" t="s">
        <v>35</v>
      </c>
      <c r="N2" s="54"/>
      <c r="O2" s="36"/>
      <c r="P2" s="40">
        <v>0</v>
      </c>
      <c r="Q2" s="40">
        <v>0</v>
      </c>
      <c r="R2" s="41"/>
      <c r="S2" s="40">
        <v>5630.55</v>
      </c>
      <c r="T2" s="40">
        <v>0</v>
      </c>
      <c r="U2" s="40">
        <v>25750</v>
      </c>
      <c r="V2" s="40">
        <v>0</v>
      </c>
      <c r="W2" s="40">
        <v>42000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36">
        <f t="shared" ref="AI2:AI30" si="0">+SUM(S2:AH2)-H2</f>
        <v>0</v>
      </c>
      <c r="AJ2"/>
      <c r="AK2" s="58" t="s">
        <v>1</v>
      </c>
      <c r="AL2" s="1">
        <f>+S150</f>
        <v>830480.25999999989</v>
      </c>
      <c r="AM2" s="1">
        <f>+'AGO USD'!AF19</f>
        <v>25322.22</v>
      </c>
      <c r="AN2" s="1">
        <f>SUM(AL2:AM2)</f>
        <v>855802.47999999986</v>
      </c>
      <c r="AO2" s="56">
        <f>+AN2/AN20</f>
        <v>0.22442605029453241</v>
      </c>
    </row>
    <row r="3" spans="1:41" x14ac:dyDescent="0.3">
      <c r="A3" s="38">
        <v>2</v>
      </c>
      <c r="B3" s="38" t="s">
        <v>1403</v>
      </c>
      <c r="C3" s="38" t="s">
        <v>1404</v>
      </c>
      <c r="D3" s="39">
        <v>45874</v>
      </c>
      <c r="E3" s="38" t="s">
        <v>198</v>
      </c>
      <c r="F3" s="38" t="s">
        <v>200</v>
      </c>
      <c r="G3" s="40">
        <v>0</v>
      </c>
      <c r="H3" s="87">
        <v>22000</v>
      </c>
      <c r="I3" s="40">
        <v>3520</v>
      </c>
      <c r="J3" s="40">
        <f t="shared" ref="J3:J62" si="1">SUM(G3:I3)</f>
        <v>25520</v>
      </c>
      <c r="K3" s="40">
        <v>25520</v>
      </c>
      <c r="L3" s="40">
        <f t="shared" ref="L3:L63" si="2">+J3-K3</f>
        <v>0</v>
      </c>
      <c r="M3" s="38" t="s">
        <v>35</v>
      </c>
      <c r="N3" s="54"/>
      <c r="O3" s="36"/>
      <c r="P3" s="40">
        <v>0</v>
      </c>
      <c r="Q3" s="40">
        <v>0</v>
      </c>
      <c r="R3" s="40"/>
      <c r="S3" s="40">
        <v>0</v>
      </c>
      <c r="T3" s="40">
        <v>0</v>
      </c>
      <c r="U3" s="40">
        <v>0</v>
      </c>
      <c r="V3" s="40">
        <v>0</v>
      </c>
      <c r="W3" s="40">
        <v>22000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/>
      <c r="AK3" s="58" t="s">
        <v>50</v>
      </c>
      <c r="AL3" s="1">
        <f>+T150</f>
        <v>9655.2200000000012</v>
      </c>
      <c r="AM3" s="1">
        <f>+'AGO USD'!AH19</f>
        <v>6752.5920000000006</v>
      </c>
      <c r="AN3" s="1">
        <f t="shared" ref="AN3:AN19" si="3">SUM(AL3:AM3)</f>
        <v>16407.812000000002</v>
      </c>
      <c r="AO3" s="56">
        <f>+AN3/AN20</f>
        <v>4.3027924400677519E-3</v>
      </c>
    </row>
    <row r="4" spans="1:41" x14ac:dyDescent="0.3">
      <c r="A4" s="38">
        <v>1</v>
      </c>
      <c r="B4" s="38" t="s">
        <v>1405</v>
      </c>
      <c r="C4" s="38" t="s">
        <v>1406</v>
      </c>
      <c r="D4" s="39">
        <v>45874</v>
      </c>
      <c r="E4" s="38" t="s">
        <v>53</v>
      </c>
      <c r="F4" s="38" t="s">
        <v>199</v>
      </c>
      <c r="G4" s="40">
        <v>781</v>
      </c>
      <c r="H4" s="87">
        <f>14555.05-G4</f>
        <v>13774.05</v>
      </c>
      <c r="I4" s="40">
        <v>2203.86</v>
      </c>
      <c r="J4" s="40">
        <f t="shared" si="1"/>
        <v>16758.91</v>
      </c>
      <c r="K4" s="40">
        <v>33116.99</v>
      </c>
      <c r="L4" s="40">
        <f t="shared" si="2"/>
        <v>-16358.079999999998</v>
      </c>
      <c r="M4" s="38" t="s">
        <v>35</v>
      </c>
      <c r="N4" s="54"/>
      <c r="O4" s="36"/>
      <c r="P4" s="40">
        <v>0</v>
      </c>
      <c r="Q4" s="40">
        <v>781</v>
      </c>
      <c r="R4" s="40"/>
      <c r="S4" s="40">
        <v>6719.47</v>
      </c>
      <c r="T4" s="40">
        <v>608.91999999999996</v>
      </c>
      <c r="U4" s="40">
        <v>2530.66</v>
      </c>
      <c r="V4" s="40">
        <v>0</v>
      </c>
      <c r="W4" s="40">
        <v>3915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36">
        <f t="shared" si="0"/>
        <v>0</v>
      </c>
      <c r="AJ4"/>
      <c r="AK4" s="58" t="s">
        <v>54</v>
      </c>
      <c r="AL4" s="1">
        <f>+U150</f>
        <v>1131851.5799999998</v>
      </c>
      <c r="AM4" s="1">
        <f>+'AGO USD'!AG19</f>
        <v>81593.820000000007</v>
      </c>
      <c r="AN4" s="1">
        <f t="shared" si="3"/>
        <v>1213445.3999999999</v>
      </c>
      <c r="AO4" s="56">
        <f>+AN4/AN20</f>
        <v>0.31821450011463981</v>
      </c>
    </row>
    <row r="5" spans="1:41" x14ac:dyDescent="0.3">
      <c r="A5" s="38">
        <v>1</v>
      </c>
      <c r="B5" s="38" t="s">
        <v>1407</v>
      </c>
      <c r="C5" s="38" t="s">
        <v>1408</v>
      </c>
      <c r="D5" s="39">
        <v>45874</v>
      </c>
      <c r="E5" s="38" t="s">
        <v>22</v>
      </c>
      <c r="F5" s="38" t="s">
        <v>45</v>
      </c>
      <c r="G5" s="40">
        <v>336</v>
      </c>
      <c r="H5" s="87">
        <f>9186-G5</f>
        <v>8850</v>
      </c>
      <c r="I5" s="40">
        <v>1416</v>
      </c>
      <c r="J5" s="40">
        <f t="shared" si="1"/>
        <v>10602</v>
      </c>
      <c r="K5" s="40">
        <v>31656</v>
      </c>
      <c r="L5" s="40">
        <f t="shared" si="2"/>
        <v>-21054</v>
      </c>
      <c r="M5" s="38" t="s">
        <v>35</v>
      </c>
      <c r="N5" s="54"/>
      <c r="O5" s="36"/>
      <c r="P5" s="40">
        <v>0</v>
      </c>
      <c r="Q5" s="40">
        <v>336</v>
      </c>
      <c r="R5" s="41"/>
      <c r="S5" s="40">
        <v>6000</v>
      </c>
      <c r="T5" s="40">
        <v>0</v>
      </c>
      <c r="U5" s="40">
        <v>2850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/>
      <c r="AK5" s="58" t="s">
        <v>43</v>
      </c>
      <c r="AL5" s="1">
        <f>+V150</f>
        <v>344540.88999999996</v>
      </c>
      <c r="AM5" s="1"/>
      <c r="AN5" s="1">
        <f t="shared" si="3"/>
        <v>344540.88999999996</v>
      </c>
      <c r="AO5" s="56">
        <f>+AN5/AN20</f>
        <v>9.0352567227502026E-2</v>
      </c>
    </row>
    <row r="6" spans="1:41" x14ac:dyDescent="0.3">
      <c r="A6" s="38">
        <v>2</v>
      </c>
      <c r="B6" s="38" t="s">
        <v>1409</v>
      </c>
      <c r="C6" s="38" t="s">
        <v>1410</v>
      </c>
      <c r="D6" s="39">
        <v>45874</v>
      </c>
      <c r="E6" s="38" t="s">
        <v>22</v>
      </c>
      <c r="F6" s="38" t="s">
        <v>45</v>
      </c>
      <c r="G6" s="40">
        <v>259060</v>
      </c>
      <c r="H6" s="87">
        <v>5200</v>
      </c>
      <c r="I6" s="40">
        <v>832</v>
      </c>
      <c r="J6" s="40">
        <f t="shared" si="1"/>
        <v>265092</v>
      </c>
      <c r="K6" s="40">
        <v>273096</v>
      </c>
      <c r="L6" s="40">
        <f t="shared" si="2"/>
        <v>-8004</v>
      </c>
      <c r="M6" s="38" t="s">
        <v>35</v>
      </c>
      <c r="N6" s="54"/>
      <c r="O6" s="36"/>
      <c r="P6" s="40">
        <v>0</v>
      </c>
      <c r="Q6" s="40">
        <v>259060</v>
      </c>
      <c r="R6" s="41"/>
      <c r="S6" s="40">
        <v>5200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36">
        <f t="shared" si="0"/>
        <v>0</v>
      </c>
      <c r="AJ6"/>
      <c r="AK6" s="58" t="s">
        <v>0</v>
      </c>
      <c r="AL6" s="1">
        <f>+W150</f>
        <v>800409</v>
      </c>
      <c r="AM6" s="1">
        <f>+'AGO USD'!AE19</f>
        <v>332540.81</v>
      </c>
      <c r="AN6" s="1">
        <f t="shared" si="3"/>
        <v>1132949.81</v>
      </c>
      <c r="AO6" s="56">
        <f>+AN6/AN20</f>
        <v>0.2971052982228341</v>
      </c>
    </row>
    <row r="7" spans="1:41" x14ac:dyDescent="0.3">
      <c r="A7" s="38">
        <v>1</v>
      </c>
      <c r="B7" s="38" t="s">
        <v>1411</v>
      </c>
      <c r="C7" s="50" t="s">
        <v>1412</v>
      </c>
      <c r="D7" s="39">
        <v>45874</v>
      </c>
      <c r="E7" s="38" t="s">
        <v>53</v>
      </c>
      <c r="F7" s="38" t="s">
        <v>199</v>
      </c>
      <c r="G7" s="40">
        <f>1226+11004.7</f>
        <v>12230.7</v>
      </c>
      <c r="H7" s="87">
        <f>104979.43-G7</f>
        <v>92748.73</v>
      </c>
      <c r="I7" s="40">
        <v>14839.8</v>
      </c>
      <c r="J7" s="40">
        <f t="shared" si="1"/>
        <v>119819.23</v>
      </c>
      <c r="K7" s="40">
        <v>143096.4</v>
      </c>
      <c r="L7" s="40">
        <f t="shared" si="2"/>
        <v>-23277.17</v>
      </c>
      <c r="M7" s="38" t="s">
        <v>35</v>
      </c>
      <c r="N7" s="54"/>
      <c r="O7" s="36"/>
      <c r="P7" s="40">
        <v>0</v>
      </c>
      <c r="Q7" s="40">
        <f>1226+11004.7</f>
        <v>12230.7</v>
      </c>
      <c r="R7" s="41"/>
      <c r="S7" s="40">
        <v>13483.22</v>
      </c>
      <c r="T7" s="40">
        <v>0</v>
      </c>
      <c r="U7" s="40">
        <v>33620.92</v>
      </c>
      <c r="V7" s="40">
        <v>38099.589999999997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2295</v>
      </c>
      <c r="AC7" s="40">
        <v>0</v>
      </c>
      <c r="AD7" s="40">
        <v>1575</v>
      </c>
      <c r="AE7" s="40">
        <v>3675</v>
      </c>
      <c r="AF7" s="40">
        <v>0</v>
      </c>
      <c r="AG7" s="40">
        <v>0</v>
      </c>
      <c r="AH7" s="40">
        <v>0</v>
      </c>
      <c r="AI7" s="36">
        <f t="shared" si="0"/>
        <v>0</v>
      </c>
      <c r="AJ7"/>
      <c r="AK7" s="58" t="s">
        <v>478</v>
      </c>
      <c r="AL7" s="1">
        <f>+X150</f>
        <v>28600</v>
      </c>
      <c r="AM7" s="1"/>
      <c r="AN7" s="1">
        <f t="shared" si="3"/>
        <v>28600</v>
      </c>
      <c r="AO7" s="80">
        <f>+AN7/AN20</f>
        <v>7.5000776328944833E-3</v>
      </c>
    </row>
    <row r="8" spans="1:41" x14ac:dyDescent="0.3">
      <c r="A8" s="38">
        <v>2</v>
      </c>
      <c r="B8" s="38" t="s">
        <v>1413</v>
      </c>
      <c r="C8" s="38" t="s">
        <v>1414</v>
      </c>
      <c r="D8" s="39">
        <v>45874</v>
      </c>
      <c r="E8" s="38" t="s">
        <v>22</v>
      </c>
      <c r="F8" s="38" t="s">
        <v>45</v>
      </c>
      <c r="G8" s="40">
        <v>336</v>
      </c>
      <c r="H8" s="87">
        <f>11136-G8</f>
        <v>10800</v>
      </c>
      <c r="I8" s="40">
        <v>1728</v>
      </c>
      <c r="J8" s="40">
        <f t="shared" si="1"/>
        <v>12864</v>
      </c>
      <c r="K8" s="40">
        <v>12936</v>
      </c>
      <c r="L8" s="40">
        <f t="shared" si="2"/>
        <v>-72</v>
      </c>
      <c r="M8" s="38" t="s">
        <v>35</v>
      </c>
      <c r="N8" s="54"/>
      <c r="O8" s="36"/>
      <c r="P8" s="40">
        <v>0</v>
      </c>
      <c r="Q8" s="40">
        <v>336</v>
      </c>
      <c r="R8" s="41"/>
      <c r="S8" s="40">
        <v>4800</v>
      </c>
      <c r="T8" s="40">
        <v>0</v>
      </c>
      <c r="U8" s="40">
        <v>1500</v>
      </c>
      <c r="V8" s="40">
        <v>0</v>
      </c>
      <c r="W8" s="40">
        <v>4500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/>
      <c r="AK8" s="58" t="s">
        <v>670</v>
      </c>
      <c r="AL8" s="1">
        <f>+Y150</f>
        <v>46800</v>
      </c>
      <c r="AM8" s="1"/>
      <c r="AN8" s="1">
        <f t="shared" si="3"/>
        <v>46800</v>
      </c>
      <c r="AO8" s="56">
        <f>+AN8/AN20</f>
        <v>1.2272854308372791E-2</v>
      </c>
    </row>
    <row r="9" spans="1:41" x14ac:dyDescent="0.3">
      <c r="A9" s="38">
        <v>2</v>
      </c>
      <c r="B9" s="38" t="s">
        <v>1415</v>
      </c>
      <c r="C9" s="38" t="s">
        <v>1416</v>
      </c>
      <c r="D9" s="39">
        <v>45874</v>
      </c>
      <c r="E9" s="38" t="s">
        <v>22</v>
      </c>
      <c r="F9" s="38" t="s">
        <v>45</v>
      </c>
      <c r="G9" s="40">
        <v>781</v>
      </c>
      <c r="H9" s="87">
        <f>7981-G9</f>
        <v>7200</v>
      </c>
      <c r="I9" s="40">
        <v>1152</v>
      </c>
      <c r="J9" s="40">
        <f t="shared" si="1"/>
        <v>9133</v>
      </c>
      <c r="K9" s="40">
        <v>14701</v>
      </c>
      <c r="L9" s="40">
        <f t="shared" si="2"/>
        <v>-5568</v>
      </c>
      <c r="M9" s="38" t="s">
        <v>35</v>
      </c>
      <c r="N9" s="54"/>
      <c r="O9" s="36"/>
      <c r="P9" s="40">
        <v>0</v>
      </c>
      <c r="Q9" s="40">
        <v>781</v>
      </c>
      <c r="R9" s="41"/>
      <c r="S9" s="40">
        <v>4900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2300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/>
      <c r="AK9" s="58" t="s">
        <v>974</v>
      </c>
      <c r="AL9" s="1">
        <f>+Z150</f>
        <v>2000</v>
      </c>
      <c r="AM9" s="1">
        <f>+'AGO USD'!AK19</f>
        <v>65575.171199999997</v>
      </c>
      <c r="AN9" s="1">
        <f t="shared" si="3"/>
        <v>67575.171199999997</v>
      </c>
      <c r="AO9" s="56">
        <f>+AN9/AN20</f>
        <v>1.7720945106857882E-2</v>
      </c>
    </row>
    <row r="10" spans="1:41" x14ac:dyDescent="0.3">
      <c r="A10" s="38">
        <v>2</v>
      </c>
      <c r="B10" s="38" t="s">
        <v>1417</v>
      </c>
      <c r="C10" s="38" t="s">
        <v>1418</v>
      </c>
      <c r="D10" s="39">
        <v>45874</v>
      </c>
      <c r="E10" s="38" t="s">
        <v>22</v>
      </c>
      <c r="F10" s="38" t="s">
        <v>45</v>
      </c>
      <c r="G10" s="40">
        <v>781</v>
      </c>
      <c r="H10" s="87">
        <v>4800</v>
      </c>
      <c r="I10" s="40">
        <v>768</v>
      </c>
      <c r="J10" s="40">
        <f t="shared" si="1"/>
        <v>6349</v>
      </c>
      <c r="K10" s="40">
        <v>10177</v>
      </c>
      <c r="L10" s="40">
        <f t="shared" si="2"/>
        <v>-3828</v>
      </c>
      <c r="M10" s="38" t="s">
        <v>35</v>
      </c>
      <c r="N10" s="54"/>
      <c r="O10" s="36"/>
      <c r="P10" s="40">
        <v>0</v>
      </c>
      <c r="Q10" s="40">
        <v>781</v>
      </c>
      <c r="R10" s="41"/>
      <c r="S10" s="40">
        <v>4800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/>
      <c r="AK10" s="58" t="s">
        <v>545</v>
      </c>
      <c r="AL10" s="1">
        <f>+AA150</f>
        <v>25475</v>
      </c>
      <c r="AM10" s="1"/>
      <c r="AN10" s="1">
        <f t="shared" si="3"/>
        <v>25475</v>
      </c>
      <c r="AO10" s="56">
        <f>+AN10/AN20</f>
        <v>6.6805761432862567E-3</v>
      </c>
    </row>
    <row r="11" spans="1:41" x14ac:dyDescent="0.3">
      <c r="A11" s="38">
        <v>2</v>
      </c>
      <c r="B11" s="38" t="s">
        <v>1419</v>
      </c>
      <c r="C11" s="2" t="s">
        <v>1420</v>
      </c>
      <c r="D11" s="39">
        <v>45874</v>
      </c>
      <c r="E11" s="38" t="s">
        <v>22</v>
      </c>
      <c r="F11" s="38" t="s">
        <v>45</v>
      </c>
      <c r="G11" s="40">
        <v>33225</v>
      </c>
      <c r="H11" s="87">
        <f>4900+13000</f>
        <v>17900</v>
      </c>
      <c r="I11" s="40">
        <v>2864</v>
      </c>
      <c r="J11" s="40">
        <f t="shared" si="1"/>
        <v>53989</v>
      </c>
      <c r="K11" s="40">
        <v>84590</v>
      </c>
      <c r="L11" s="40">
        <f t="shared" si="2"/>
        <v>-30601</v>
      </c>
      <c r="M11" s="38" t="s">
        <v>35</v>
      </c>
      <c r="N11" s="54"/>
      <c r="O11" s="36"/>
      <c r="P11" s="40">
        <v>0</v>
      </c>
      <c r="Q11" s="40">
        <v>33225</v>
      </c>
      <c r="R11" s="41"/>
      <c r="S11" s="40">
        <v>4900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13000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36">
        <f t="shared" si="0"/>
        <v>0</v>
      </c>
      <c r="AJ11"/>
      <c r="AK11" s="58" t="s">
        <v>5</v>
      </c>
      <c r="AL11" s="1">
        <f>+AB150</f>
        <v>19283.25</v>
      </c>
      <c r="AM11" s="1"/>
      <c r="AN11" s="1">
        <f t="shared" si="3"/>
        <v>19283.25</v>
      </c>
      <c r="AO11" s="56">
        <f>+AN11/AN20</f>
        <v>5.0568486718361024E-3</v>
      </c>
    </row>
    <row r="12" spans="1:41" ht="14.4" customHeight="1" x14ac:dyDescent="0.3">
      <c r="A12" s="38">
        <v>2</v>
      </c>
      <c r="B12" s="38" t="s">
        <v>1421</v>
      </c>
      <c r="C12" s="2" t="s">
        <v>1422</v>
      </c>
      <c r="D12" s="39">
        <v>45875</v>
      </c>
      <c r="E12" s="38" t="s">
        <v>53</v>
      </c>
      <c r="F12" s="38" t="s">
        <v>199</v>
      </c>
      <c r="G12" s="40">
        <v>336</v>
      </c>
      <c r="H12" s="87">
        <v>14800</v>
      </c>
      <c r="I12" s="40">
        <v>2368</v>
      </c>
      <c r="J12" s="40">
        <f t="shared" si="1"/>
        <v>17504</v>
      </c>
      <c r="K12" s="40">
        <v>17504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336</v>
      </c>
      <c r="R12" s="41"/>
      <c r="S12" s="40">
        <v>14800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/>
      <c r="AK12" s="58" t="s">
        <v>55</v>
      </c>
      <c r="AL12" s="1">
        <f>+AC150</f>
        <v>16727.3</v>
      </c>
      <c r="AM12" s="1"/>
      <c r="AN12" s="1">
        <f t="shared" si="3"/>
        <v>16727.3</v>
      </c>
      <c r="AO12" s="56">
        <f>+AN12/AN20</f>
        <v>4.3865751254795766E-3</v>
      </c>
    </row>
    <row r="13" spans="1:41" x14ac:dyDescent="0.3">
      <c r="A13" s="38">
        <v>2</v>
      </c>
      <c r="B13" s="38" t="s">
        <v>1423</v>
      </c>
      <c r="C13" s="2" t="s">
        <v>1424</v>
      </c>
      <c r="D13" s="39">
        <v>45875</v>
      </c>
      <c r="E13" s="38" t="s">
        <v>53</v>
      </c>
      <c r="F13" s="38" t="s">
        <v>199</v>
      </c>
      <c r="G13" s="40">
        <v>0</v>
      </c>
      <c r="H13" s="87">
        <v>22200</v>
      </c>
      <c r="I13" s="40">
        <v>3552</v>
      </c>
      <c r="J13" s="40">
        <f t="shared" si="1"/>
        <v>25752</v>
      </c>
      <c r="K13" s="40">
        <v>25752</v>
      </c>
      <c r="L13" s="40">
        <f t="shared" si="2"/>
        <v>0</v>
      </c>
      <c r="M13" s="38" t="s">
        <v>35</v>
      </c>
      <c r="N13" s="54"/>
      <c r="O13" s="36"/>
      <c r="P13" s="40">
        <v>0</v>
      </c>
      <c r="Q13" s="40">
        <v>0</v>
      </c>
      <c r="R13" s="41"/>
      <c r="S13" s="40">
        <v>22200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/>
      <c r="AK13" s="58" t="s">
        <v>1219</v>
      </c>
      <c r="AL13" s="1">
        <f>+AD150</f>
        <v>1575</v>
      </c>
      <c r="AM13" s="1">
        <f>+'AGO USD'!AL19</f>
        <v>1406.79</v>
      </c>
      <c r="AN13" s="1">
        <f t="shared" si="3"/>
        <v>2981.79</v>
      </c>
      <c r="AO13" s="80">
        <f>+AN13/AN20</f>
        <v>7.8194603094365177E-4</v>
      </c>
    </row>
    <row r="14" spans="1:41" x14ac:dyDescent="0.3">
      <c r="A14" s="38">
        <v>2</v>
      </c>
      <c r="B14" s="38" t="s">
        <v>1425</v>
      </c>
      <c r="C14" s="2" t="s">
        <v>1426</v>
      </c>
      <c r="D14" s="39">
        <v>45875</v>
      </c>
      <c r="E14" s="38" t="s">
        <v>53</v>
      </c>
      <c r="F14" s="38" t="s">
        <v>199</v>
      </c>
      <c r="G14" s="40">
        <v>0</v>
      </c>
      <c r="H14" s="87">
        <v>29600</v>
      </c>
      <c r="I14" s="40">
        <v>4736</v>
      </c>
      <c r="J14" s="40">
        <f t="shared" si="1"/>
        <v>34336</v>
      </c>
      <c r="K14" s="40">
        <v>34336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0</v>
      </c>
      <c r="R14" s="41"/>
      <c r="S14" s="40">
        <v>29600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/>
      <c r="AK14" s="58" t="s">
        <v>1220</v>
      </c>
      <c r="AL14" s="1">
        <f>+AE150</f>
        <v>5145</v>
      </c>
      <c r="AM14" s="1">
        <f>+'AGO USD'!AJ19</f>
        <v>8440.74</v>
      </c>
      <c r="AN14" s="1">
        <f t="shared" si="3"/>
        <v>13585.74</v>
      </c>
      <c r="AO14" s="56">
        <f>+AN14/AN20</f>
        <v>3.5627309335776185E-3</v>
      </c>
    </row>
    <row r="15" spans="1:41" x14ac:dyDescent="0.3">
      <c r="A15" s="38">
        <v>2</v>
      </c>
      <c r="B15" s="38" t="s">
        <v>1427</v>
      </c>
      <c r="C15" s="2" t="s">
        <v>1428</v>
      </c>
      <c r="D15" s="39">
        <v>45875</v>
      </c>
      <c r="E15" s="38" t="s">
        <v>53</v>
      </c>
      <c r="F15" s="38" t="s">
        <v>199</v>
      </c>
      <c r="G15" s="40">
        <v>0</v>
      </c>
      <c r="H15" s="87">
        <v>14800</v>
      </c>
      <c r="I15" s="40">
        <v>2368</v>
      </c>
      <c r="J15" s="40">
        <f t="shared" si="1"/>
        <v>17168</v>
      </c>
      <c r="K15" s="40">
        <v>17168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0</v>
      </c>
      <c r="R15" s="41"/>
      <c r="S15" s="40">
        <v>14800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/>
      <c r="AK15" s="58" t="s">
        <v>48</v>
      </c>
      <c r="AL15" s="1">
        <f>+AF150</f>
        <v>7080</v>
      </c>
      <c r="AM15" s="1"/>
      <c r="AN15" s="1">
        <f t="shared" si="3"/>
        <v>7080</v>
      </c>
      <c r="AO15" s="56">
        <f>+AN15/AN20</f>
        <v>1.8566625748563965E-3</v>
      </c>
    </row>
    <row r="16" spans="1:41" x14ac:dyDescent="0.3">
      <c r="A16" s="38">
        <v>1</v>
      </c>
      <c r="B16" s="38" t="s">
        <v>1429</v>
      </c>
      <c r="C16" s="2" t="s">
        <v>1430</v>
      </c>
      <c r="D16" s="39">
        <v>45875</v>
      </c>
      <c r="E16" s="38" t="s">
        <v>53</v>
      </c>
      <c r="F16" s="38" t="s">
        <v>199</v>
      </c>
      <c r="G16" s="40">
        <v>781</v>
      </c>
      <c r="H16" s="87">
        <f>17867.91-G16</f>
        <v>17086.91</v>
      </c>
      <c r="I16" s="40">
        <v>2733.91</v>
      </c>
      <c r="J16" s="40">
        <f t="shared" si="1"/>
        <v>20601.82</v>
      </c>
      <c r="K16" s="40">
        <v>25959.51</v>
      </c>
      <c r="L16" s="40">
        <f t="shared" si="2"/>
        <v>-5357.6899999999987</v>
      </c>
      <c r="M16" s="38" t="s">
        <v>35</v>
      </c>
      <c r="N16" s="54"/>
      <c r="O16" s="36"/>
      <c r="P16" s="40">
        <v>0</v>
      </c>
      <c r="Q16" s="40">
        <v>781</v>
      </c>
      <c r="R16" s="41"/>
      <c r="S16" s="40">
        <v>6705.61</v>
      </c>
      <c r="T16" s="40">
        <v>0</v>
      </c>
      <c r="U16" s="40">
        <v>5881.3</v>
      </c>
      <c r="V16" s="40">
        <v>0</v>
      </c>
      <c r="W16" s="40">
        <v>4500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/>
      <c r="AK16" s="58" t="s">
        <v>585</v>
      </c>
      <c r="AL16" s="1">
        <f>+AG150</f>
        <v>780</v>
      </c>
      <c r="AM16" s="1"/>
      <c r="AN16" s="1">
        <f t="shared" si="3"/>
        <v>780</v>
      </c>
      <c r="AO16" s="56">
        <f>+AN16/AN20</f>
        <v>2.0454757180621318E-4</v>
      </c>
    </row>
    <row r="17" spans="1:41" x14ac:dyDescent="0.3">
      <c r="A17" s="38">
        <v>1</v>
      </c>
      <c r="B17" s="38" t="s">
        <v>1431</v>
      </c>
      <c r="C17" s="2" t="s">
        <v>1432</v>
      </c>
      <c r="D17" s="39">
        <v>45875</v>
      </c>
      <c r="E17" s="38" t="s">
        <v>53</v>
      </c>
      <c r="F17" s="38" t="s">
        <v>199</v>
      </c>
      <c r="G17" s="40">
        <v>781</v>
      </c>
      <c r="H17" s="87">
        <f>14093.09-G17</f>
        <v>13312.09</v>
      </c>
      <c r="I17" s="40">
        <v>2129.9299999999998</v>
      </c>
      <c r="J17" s="40">
        <f t="shared" si="1"/>
        <v>16223.02</v>
      </c>
      <c r="K17" s="40">
        <v>20098.939999999999</v>
      </c>
      <c r="L17" s="40">
        <f t="shared" si="2"/>
        <v>-3875.9199999999983</v>
      </c>
      <c r="M17" s="38" t="s">
        <v>35</v>
      </c>
      <c r="N17" s="54"/>
      <c r="O17" s="36"/>
      <c r="P17" s="40">
        <v>0</v>
      </c>
      <c r="Q17" s="40">
        <v>781</v>
      </c>
      <c r="R17" s="41"/>
      <c r="S17" s="40">
        <v>6738.4</v>
      </c>
      <c r="T17" s="40">
        <v>608.91999999999996</v>
      </c>
      <c r="U17" s="40">
        <v>2049.77</v>
      </c>
      <c r="V17" s="40">
        <v>0</v>
      </c>
      <c r="W17" s="40">
        <v>3915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/>
      <c r="AK17" s="58" t="s">
        <v>763</v>
      </c>
      <c r="AL17" s="1">
        <f>+AH150</f>
        <v>0</v>
      </c>
      <c r="AM17" s="1"/>
      <c r="AN17" s="1">
        <f t="shared" si="3"/>
        <v>0</v>
      </c>
      <c r="AO17" s="56">
        <f>+AN17/AN20</f>
        <v>0</v>
      </c>
    </row>
    <row r="18" spans="1:41" x14ac:dyDescent="0.3">
      <c r="A18" s="38">
        <v>2</v>
      </c>
      <c r="B18" s="38" t="s">
        <v>1433</v>
      </c>
      <c r="C18" s="2" t="s">
        <v>1449</v>
      </c>
      <c r="D18" s="39">
        <v>45877</v>
      </c>
      <c r="E18" s="38" t="s">
        <v>22</v>
      </c>
      <c r="F18" s="38" t="s">
        <v>45</v>
      </c>
      <c r="G18" s="40">
        <v>781</v>
      </c>
      <c r="H18" s="87">
        <v>6200</v>
      </c>
      <c r="I18" s="40">
        <v>992</v>
      </c>
      <c r="J18" s="40">
        <f t="shared" si="1"/>
        <v>7973</v>
      </c>
      <c r="K18" s="40">
        <v>14933</v>
      </c>
      <c r="L18" s="40">
        <f t="shared" si="2"/>
        <v>-6960</v>
      </c>
      <c r="M18" s="38" t="s">
        <v>35</v>
      </c>
      <c r="N18" s="54"/>
      <c r="O18" s="36"/>
      <c r="P18" s="40">
        <v>0</v>
      </c>
      <c r="Q18" s="40">
        <v>781</v>
      </c>
      <c r="R18" s="41"/>
      <c r="S18" s="40">
        <v>6200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/>
      <c r="AK18" s="37" t="s">
        <v>1230</v>
      </c>
      <c r="AM18" s="1">
        <f>+'AGO USD'!AI19</f>
        <v>13424.034528</v>
      </c>
      <c r="AN18" s="1">
        <f t="shared" si="3"/>
        <v>13424.034528</v>
      </c>
      <c r="AO18" s="56">
        <f>+AN18/AN20</f>
        <v>3.5203252135194421E-3</v>
      </c>
    </row>
    <row r="19" spans="1:41" x14ac:dyDescent="0.3">
      <c r="A19" s="38">
        <v>2</v>
      </c>
      <c r="B19" s="38" t="s">
        <v>1434</v>
      </c>
      <c r="C19" s="2" t="s">
        <v>1450</v>
      </c>
      <c r="D19" s="39">
        <v>45877</v>
      </c>
      <c r="E19" s="38" t="s">
        <v>22</v>
      </c>
      <c r="F19" s="38" t="s">
        <v>45</v>
      </c>
      <c r="G19" s="40">
        <v>336</v>
      </c>
      <c r="H19" s="87">
        <v>11100</v>
      </c>
      <c r="I19" s="40">
        <v>1776</v>
      </c>
      <c r="J19" s="40">
        <f t="shared" si="1"/>
        <v>13212</v>
      </c>
      <c r="K19" s="40">
        <v>12936</v>
      </c>
      <c r="L19" s="40">
        <f t="shared" si="2"/>
        <v>276</v>
      </c>
      <c r="M19" s="38" t="s">
        <v>35</v>
      </c>
      <c r="N19" s="54"/>
      <c r="O19" s="36"/>
      <c r="P19" s="40">
        <v>0</v>
      </c>
      <c r="Q19" s="40">
        <v>336</v>
      </c>
      <c r="R19" s="41"/>
      <c r="S19" s="40">
        <v>4800</v>
      </c>
      <c r="T19" s="40">
        <v>0</v>
      </c>
      <c r="U19" s="40">
        <v>0</v>
      </c>
      <c r="V19" s="40">
        <v>0</v>
      </c>
      <c r="W19" s="40">
        <v>4500</v>
      </c>
      <c r="X19" s="40">
        <v>0</v>
      </c>
      <c r="Y19" s="40">
        <v>0</v>
      </c>
      <c r="Z19" s="40">
        <v>0</v>
      </c>
      <c r="AA19" s="40">
        <v>1800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/>
      <c r="AK19" s="58" t="s">
        <v>396</v>
      </c>
      <c r="AM19" s="1">
        <f>+'AGO USD'!AM19</f>
        <v>7835.1839999999993</v>
      </c>
      <c r="AN19" s="1">
        <f t="shared" si="3"/>
        <v>7835.1839999999993</v>
      </c>
      <c r="AO19" s="56">
        <f>+AN19/AN20</f>
        <v>2.0547023869934519E-3</v>
      </c>
    </row>
    <row r="20" spans="1:41" x14ac:dyDescent="0.3">
      <c r="A20" s="38">
        <v>2</v>
      </c>
      <c r="B20" s="38" t="s">
        <v>1435</v>
      </c>
      <c r="C20" s="50" t="s">
        <v>1451</v>
      </c>
      <c r="D20" s="39">
        <v>45877</v>
      </c>
      <c r="E20" s="38" t="s">
        <v>20</v>
      </c>
      <c r="F20" s="38" t="s">
        <v>21</v>
      </c>
      <c r="G20" s="40">
        <v>108382</v>
      </c>
      <c r="H20" s="87">
        <v>5775</v>
      </c>
      <c r="I20" s="40">
        <v>924</v>
      </c>
      <c r="J20" s="40">
        <f t="shared" si="1"/>
        <v>115081</v>
      </c>
      <c r="K20" s="40">
        <v>120069</v>
      </c>
      <c r="L20" s="40">
        <f t="shared" si="2"/>
        <v>-4988</v>
      </c>
      <c r="M20" s="38" t="s">
        <v>35</v>
      </c>
      <c r="N20" s="54"/>
      <c r="O20" s="36"/>
      <c r="P20" s="40">
        <v>0</v>
      </c>
      <c r="Q20" s="40">
        <v>108382</v>
      </c>
      <c r="R20" s="41"/>
      <c r="S20" s="40">
        <v>4200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1575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/>
      <c r="AK20" s="37"/>
      <c r="AL20" s="45">
        <f>+SUM(AL2:AL19)</f>
        <v>3270402.4999999995</v>
      </c>
      <c r="AM20" s="45">
        <f>+SUM(AM2:AM19)</f>
        <v>542891.36172799999</v>
      </c>
      <c r="AN20" s="45">
        <f>+SUM(AN2:AN19)</f>
        <v>3813293.861728</v>
      </c>
      <c r="AO20" s="57">
        <f>+SUM(AO2:AO19)</f>
        <v>0.99999999999999978</v>
      </c>
    </row>
    <row r="21" spans="1:41" x14ac:dyDescent="0.3">
      <c r="A21" s="38">
        <v>1</v>
      </c>
      <c r="B21" s="38" t="s">
        <v>1436</v>
      </c>
      <c r="C21" s="50" t="s">
        <v>1452</v>
      </c>
      <c r="D21" s="39">
        <v>45877</v>
      </c>
      <c r="E21" s="38" t="s">
        <v>223</v>
      </c>
      <c r="F21" s="38" t="s">
        <v>219</v>
      </c>
      <c r="G21" s="40">
        <v>33050</v>
      </c>
      <c r="H21" s="87">
        <v>19500</v>
      </c>
      <c r="I21" s="40">
        <v>3120</v>
      </c>
      <c r="J21" s="40">
        <f t="shared" si="1"/>
        <v>55670</v>
      </c>
      <c r="K21" s="40">
        <v>55670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33050</v>
      </c>
      <c r="R21" s="41"/>
      <c r="S21" s="40">
        <v>6500</v>
      </c>
      <c r="T21" s="40">
        <v>1500</v>
      </c>
      <c r="U21" s="40">
        <v>9300</v>
      </c>
      <c r="V21" s="40">
        <v>0</v>
      </c>
      <c r="W21" s="40">
        <v>2200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/>
      <c r="AL21" s="36"/>
      <c r="AM21" s="36"/>
      <c r="AN21" s="1"/>
    </row>
    <row r="22" spans="1:41" x14ac:dyDescent="0.3">
      <c r="A22" s="38">
        <v>2</v>
      </c>
      <c r="B22" s="38" t="s">
        <v>1437</v>
      </c>
      <c r="C22" s="50" t="s">
        <v>1453</v>
      </c>
      <c r="D22" s="39">
        <v>45877</v>
      </c>
      <c r="E22" s="38" t="s">
        <v>40</v>
      </c>
      <c r="F22" s="38" t="s">
        <v>41</v>
      </c>
      <c r="G22" s="40">
        <v>0</v>
      </c>
      <c r="H22" s="87">
        <v>41900</v>
      </c>
      <c r="I22" s="40">
        <v>6704</v>
      </c>
      <c r="J22" s="40">
        <f>SUM(G22:I22)</f>
        <v>48604</v>
      </c>
      <c r="K22" s="40">
        <v>0</v>
      </c>
      <c r="L22" s="40">
        <f t="shared" si="2"/>
        <v>48604</v>
      </c>
      <c r="M22" s="38" t="s">
        <v>35</v>
      </c>
      <c r="N22" s="54"/>
      <c r="O22" s="36"/>
      <c r="P22" s="40">
        <v>0</v>
      </c>
      <c r="Q22" s="40">
        <v>0</v>
      </c>
      <c r="R22" s="41"/>
      <c r="S22" s="40">
        <v>4400</v>
      </c>
      <c r="T22" s="40">
        <v>0</v>
      </c>
      <c r="U22" s="40">
        <v>0</v>
      </c>
      <c r="V22" s="40">
        <v>0</v>
      </c>
      <c r="W22" s="40">
        <v>37500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/>
      <c r="AK22" s="37"/>
      <c r="AM22" s="1"/>
      <c r="AN22" s="1"/>
    </row>
    <row r="23" spans="1:41" x14ac:dyDescent="0.3">
      <c r="A23" s="38">
        <v>2</v>
      </c>
      <c r="B23" s="38" t="s">
        <v>1441</v>
      </c>
      <c r="C23" s="38" t="s">
        <v>1456</v>
      </c>
      <c r="D23" s="39">
        <v>45877</v>
      </c>
      <c r="E23" s="38" t="s">
        <v>22</v>
      </c>
      <c r="F23" s="38" t="s">
        <v>45</v>
      </c>
      <c r="G23" s="40">
        <v>781</v>
      </c>
      <c r="H23" s="87">
        <v>9700</v>
      </c>
      <c r="I23" s="40">
        <v>1552</v>
      </c>
      <c r="J23" s="40">
        <f t="shared" si="1"/>
        <v>12033</v>
      </c>
      <c r="K23" s="40">
        <v>12033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781</v>
      </c>
      <c r="R23" s="41"/>
      <c r="S23" s="40">
        <v>4900</v>
      </c>
      <c r="T23" s="40">
        <v>0</v>
      </c>
      <c r="U23" s="40">
        <v>2500</v>
      </c>
      <c r="V23" s="40">
        <v>0</v>
      </c>
      <c r="W23" s="40">
        <v>0</v>
      </c>
      <c r="X23" s="40">
        <v>2300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/>
      <c r="AK23" s="37"/>
      <c r="AM23" s="1"/>
      <c r="AN23" s="1"/>
    </row>
    <row r="24" spans="1:41" x14ac:dyDescent="0.3">
      <c r="A24" s="38">
        <v>2</v>
      </c>
      <c r="B24" s="38" t="s">
        <v>1442</v>
      </c>
      <c r="C24" s="38" t="s">
        <v>1457</v>
      </c>
      <c r="D24" s="39">
        <v>45877</v>
      </c>
      <c r="E24" s="38" t="s">
        <v>22</v>
      </c>
      <c r="F24" s="38" t="s">
        <v>45</v>
      </c>
      <c r="G24" s="40">
        <v>5997</v>
      </c>
      <c r="H24" s="87">
        <v>7200</v>
      </c>
      <c r="I24" s="40">
        <v>1152</v>
      </c>
      <c r="J24" s="40">
        <f t="shared" si="1"/>
        <v>14349</v>
      </c>
      <c r="K24" s="40">
        <v>19408</v>
      </c>
      <c r="L24" s="40">
        <f t="shared" si="2"/>
        <v>-5059</v>
      </c>
      <c r="M24" s="38" t="s">
        <v>35</v>
      </c>
      <c r="N24" s="54"/>
      <c r="O24" s="36"/>
      <c r="P24" s="40">
        <v>0</v>
      </c>
      <c r="Q24" s="40">
        <v>5997</v>
      </c>
      <c r="R24" s="41"/>
      <c r="S24" s="40">
        <v>4900</v>
      </c>
      <c r="T24" s="40">
        <v>0</v>
      </c>
      <c r="U24" s="40">
        <v>0</v>
      </c>
      <c r="V24" s="40">
        <v>0</v>
      </c>
      <c r="W24" s="40">
        <v>0</v>
      </c>
      <c r="X24" s="40">
        <v>2300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/>
      <c r="AK24" s="37"/>
      <c r="AL24" s="53"/>
      <c r="AM24" s="1"/>
      <c r="AN24" s="1"/>
    </row>
    <row r="25" spans="1:41" x14ac:dyDescent="0.3">
      <c r="A25" s="38">
        <v>2</v>
      </c>
      <c r="B25" s="38" t="s">
        <v>1443</v>
      </c>
      <c r="C25" s="38" t="s">
        <v>1458</v>
      </c>
      <c r="D25" s="39">
        <v>45877</v>
      </c>
      <c r="E25" s="38" t="s">
        <v>53</v>
      </c>
      <c r="F25" s="38" t="s">
        <v>199</v>
      </c>
      <c r="G25" s="40">
        <v>336</v>
      </c>
      <c r="H25" s="87">
        <v>14800</v>
      </c>
      <c r="I25" s="40">
        <v>2368</v>
      </c>
      <c r="J25" s="40">
        <f t="shared" si="1"/>
        <v>17504</v>
      </c>
      <c r="K25" s="40">
        <v>17504</v>
      </c>
      <c r="L25" s="40">
        <f t="shared" si="2"/>
        <v>0</v>
      </c>
      <c r="M25" s="38" t="s">
        <v>35</v>
      </c>
      <c r="N25" s="54"/>
      <c r="O25" s="36"/>
      <c r="P25" s="40">
        <v>0</v>
      </c>
      <c r="Q25" s="40">
        <v>336</v>
      </c>
      <c r="R25" s="41"/>
      <c r="S25" s="40">
        <v>14800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/>
      <c r="AK25" s="37"/>
      <c r="AM25" s="1"/>
      <c r="AN25" s="1"/>
    </row>
    <row r="26" spans="1:41" x14ac:dyDescent="0.3">
      <c r="A26" s="38">
        <v>2</v>
      </c>
      <c r="B26" s="38" t="s">
        <v>1444</v>
      </c>
      <c r="C26" s="38" t="s">
        <v>1459</v>
      </c>
      <c r="D26" s="39">
        <v>45877</v>
      </c>
      <c r="E26" s="38" t="s">
        <v>53</v>
      </c>
      <c r="F26" s="38" t="s">
        <v>199</v>
      </c>
      <c r="G26" s="40">
        <v>0</v>
      </c>
      <c r="H26" s="87">
        <v>7400</v>
      </c>
      <c r="I26" s="40">
        <v>1184</v>
      </c>
      <c r="J26" s="40">
        <f t="shared" si="1"/>
        <v>8584</v>
      </c>
      <c r="K26" s="40">
        <v>8584</v>
      </c>
      <c r="L26" s="40">
        <f t="shared" si="2"/>
        <v>0</v>
      </c>
      <c r="M26" s="38" t="s">
        <v>35</v>
      </c>
      <c r="N26" s="54"/>
      <c r="O26" s="36"/>
      <c r="P26" s="40">
        <v>0</v>
      </c>
      <c r="Q26" s="40">
        <v>0</v>
      </c>
      <c r="R26" s="41"/>
      <c r="S26" s="40">
        <v>7400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/>
      <c r="AK26" s="37"/>
      <c r="AM26" s="1"/>
      <c r="AN26" s="1"/>
    </row>
    <row r="27" spans="1:41" x14ac:dyDescent="0.3">
      <c r="A27" s="38">
        <v>1</v>
      </c>
      <c r="B27" s="38" t="s">
        <v>1445</v>
      </c>
      <c r="C27" s="38" t="s">
        <v>1460</v>
      </c>
      <c r="D27" s="39">
        <v>45877</v>
      </c>
      <c r="E27" s="38" t="s">
        <v>53</v>
      </c>
      <c r="F27" s="38" t="s">
        <v>199</v>
      </c>
      <c r="G27" s="40">
        <v>781</v>
      </c>
      <c r="H27" s="87">
        <v>13276.75</v>
      </c>
      <c r="I27" s="40">
        <v>2124.2800000000002</v>
      </c>
      <c r="J27" s="40">
        <f t="shared" si="1"/>
        <v>16182.03</v>
      </c>
      <c r="K27" s="40">
        <v>20781</v>
      </c>
      <c r="L27" s="40">
        <f t="shared" si="2"/>
        <v>-4598.9699999999993</v>
      </c>
      <c r="M27" s="38" t="s">
        <v>35</v>
      </c>
      <c r="N27" s="54"/>
      <c r="O27" s="36"/>
      <c r="P27" s="40">
        <v>0</v>
      </c>
      <c r="Q27" s="40">
        <v>781</v>
      </c>
      <c r="R27" s="41"/>
      <c r="S27" s="40">
        <v>6703.63</v>
      </c>
      <c r="T27" s="40">
        <v>608.35</v>
      </c>
      <c r="U27" s="40">
        <v>2049.77</v>
      </c>
      <c r="V27" s="40">
        <v>0</v>
      </c>
      <c r="W27" s="40">
        <v>3915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/>
      <c r="AK27" s="37"/>
      <c r="AM27" s="1"/>
      <c r="AN27" s="1"/>
    </row>
    <row r="28" spans="1:41" x14ac:dyDescent="0.3">
      <c r="A28" s="38">
        <v>1</v>
      </c>
      <c r="B28" s="38" t="s">
        <v>1446</v>
      </c>
      <c r="C28" s="38" t="s">
        <v>1461</v>
      </c>
      <c r="D28" s="39">
        <v>45880</v>
      </c>
      <c r="E28" s="38" t="s">
        <v>53</v>
      </c>
      <c r="F28" s="38" t="s">
        <v>199</v>
      </c>
      <c r="G28" s="40">
        <v>781</v>
      </c>
      <c r="H28" s="88">
        <v>15859.62</v>
      </c>
      <c r="I28" s="40">
        <v>2537.54</v>
      </c>
      <c r="J28" s="40">
        <f t="shared" si="1"/>
        <v>19178.160000000003</v>
      </c>
      <c r="K28" s="40">
        <v>33525.29</v>
      </c>
      <c r="L28" s="40">
        <f t="shared" si="2"/>
        <v>-14347.129999999997</v>
      </c>
      <c r="M28" s="38" t="s">
        <v>35</v>
      </c>
      <c r="N28" s="54"/>
      <c r="O28" s="36"/>
      <c r="P28" s="40">
        <v>0</v>
      </c>
      <c r="Q28" s="40">
        <v>781</v>
      </c>
      <c r="R28" s="41"/>
      <c r="S28" s="40">
        <v>6686.46</v>
      </c>
      <c r="T28" s="40">
        <v>608.91999999999996</v>
      </c>
      <c r="U28" s="40">
        <v>4649.24</v>
      </c>
      <c r="V28" s="40">
        <v>0</v>
      </c>
      <c r="W28" s="40">
        <v>3915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/>
      <c r="AK28" s="37"/>
      <c r="AM28" s="1"/>
      <c r="AN28" s="1"/>
    </row>
    <row r="29" spans="1:41" x14ac:dyDescent="0.3">
      <c r="A29" s="38">
        <v>2</v>
      </c>
      <c r="B29" s="38" t="s">
        <v>1447</v>
      </c>
      <c r="C29" s="38" t="s">
        <v>1462</v>
      </c>
      <c r="D29" s="39">
        <v>45880</v>
      </c>
      <c r="E29" s="38" t="s">
        <v>198</v>
      </c>
      <c r="F29" s="38" t="s">
        <v>200</v>
      </c>
      <c r="G29" s="40">
        <v>0</v>
      </c>
      <c r="H29" s="87">
        <v>22000</v>
      </c>
      <c r="I29" s="40">
        <v>3520</v>
      </c>
      <c r="J29" s="40">
        <f t="shared" si="1"/>
        <v>25520</v>
      </c>
      <c r="K29" s="40">
        <v>25520</v>
      </c>
      <c r="L29" s="40">
        <f t="shared" si="2"/>
        <v>0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0</v>
      </c>
      <c r="T29" s="40">
        <v>0</v>
      </c>
      <c r="U29" s="40">
        <v>0</v>
      </c>
      <c r="V29" s="40">
        <v>0</v>
      </c>
      <c r="W29" s="40">
        <v>22000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/>
      <c r="AK29" s="37"/>
      <c r="AM29" s="1"/>
      <c r="AN29" s="1"/>
    </row>
    <row r="30" spans="1:41" x14ac:dyDescent="0.3">
      <c r="A30" s="38">
        <v>2</v>
      </c>
      <c r="B30" s="38" t="s">
        <v>1448</v>
      </c>
      <c r="C30" s="38" t="s">
        <v>1463</v>
      </c>
      <c r="D30" s="39">
        <v>45880</v>
      </c>
      <c r="E30" s="38" t="s">
        <v>22</v>
      </c>
      <c r="F30" s="38" t="s">
        <v>45</v>
      </c>
      <c r="G30" s="40">
        <v>781</v>
      </c>
      <c r="H30" s="87">
        <v>8600</v>
      </c>
      <c r="I30" s="40">
        <v>1376</v>
      </c>
      <c r="J30" s="40">
        <f t="shared" si="1"/>
        <v>10757</v>
      </c>
      <c r="K30" s="40">
        <v>25837</v>
      </c>
      <c r="L30" s="40">
        <f t="shared" si="2"/>
        <v>-15080</v>
      </c>
      <c r="M30" s="38" t="s">
        <v>35</v>
      </c>
      <c r="N30" s="54"/>
      <c r="O30" s="36"/>
      <c r="P30" s="40">
        <v>0</v>
      </c>
      <c r="Q30" s="40">
        <v>781</v>
      </c>
      <c r="R30" s="41"/>
      <c r="S30" s="40">
        <v>6800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1800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/>
      <c r="AK30" s="37"/>
      <c r="AM30" s="1"/>
      <c r="AN30" s="1"/>
    </row>
    <row r="31" spans="1:41" x14ac:dyDescent="0.3">
      <c r="A31" s="38">
        <v>2</v>
      </c>
      <c r="B31" s="38" t="s">
        <v>1465</v>
      </c>
      <c r="C31" s="38" t="s">
        <v>1466</v>
      </c>
      <c r="D31" s="39">
        <v>45881</v>
      </c>
      <c r="E31" s="38" t="s">
        <v>22</v>
      </c>
      <c r="F31" s="38" t="s">
        <v>45</v>
      </c>
      <c r="G31" s="40">
        <v>6364</v>
      </c>
      <c r="H31" s="87">
        <f>13664-G31</f>
        <v>7300</v>
      </c>
      <c r="I31" s="40">
        <v>1168</v>
      </c>
      <c r="J31" s="40">
        <f t="shared" si="1"/>
        <v>14832</v>
      </c>
      <c r="K31" s="40">
        <v>17962</v>
      </c>
      <c r="L31" s="40">
        <f t="shared" si="2"/>
        <v>-3130</v>
      </c>
      <c r="M31" s="38" t="s">
        <v>35</v>
      </c>
      <c r="N31" s="54"/>
      <c r="O31" s="36"/>
      <c r="P31" s="40">
        <v>0</v>
      </c>
      <c r="Q31" s="40">
        <v>6364</v>
      </c>
      <c r="R31" s="41"/>
      <c r="S31" s="40">
        <v>4800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2500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ref="AI31:AI62" si="4">+SUM(S31:AH31)-H31</f>
        <v>0</v>
      </c>
      <c r="AJ31"/>
      <c r="AK31" s="37"/>
      <c r="AM31" s="1"/>
      <c r="AN31" s="1"/>
    </row>
    <row r="32" spans="1:41" x14ac:dyDescent="0.3">
      <c r="A32" s="38">
        <v>2</v>
      </c>
      <c r="B32" s="38" t="s">
        <v>1467</v>
      </c>
      <c r="C32" s="38" t="s">
        <v>1468</v>
      </c>
      <c r="D32" s="39">
        <v>45881</v>
      </c>
      <c r="E32" s="38" t="s">
        <v>22</v>
      </c>
      <c r="F32" s="38" t="s">
        <v>45</v>
      </c>
      <c r="G32" s="40">
        <v>336</v>
      </c>
      <c r="H32" s="87">
        <f>12736-G32</f>
        <v>12400</v>
      </c>
      <c r="I32" s="40">
        <v>1984</v>
      </c>
      <c r="J32" s="40">
        <f t="shared" si="1"/>
        <v>14720</v>
      </c>
      <c r="K32" s="40">
        <v>19708</v>
      </c>
      <c r="L32" s="40">
        <f t="shared" si="2"/>
        <v>-4988</v>
      </c>
      <c r="M32" s="38" t="s">
        <v>35</v>
      </c>
      <c r="N32" s="54"/>
      <c r="O32" s="36"/>
      <c r="P32" s="40">
        <v>0</v>
      </c>
      <c r="Q32" s="40">
        <v>336</v>
      </c>
      <c r="R32" s="41"/>
      <c r="S32" s="40">
        <v>4900</v>
      </c>
      <c r="T32" s="40">
        <v>0</v>
      </c>
      <c r="U32" s="40">
        <v>0</v>
      </c>
      <c r="V32" s="40">
        <v>0</v>
      </c>
      <c r="W32" s="40">
        <v>6000</v>
      </c>
      <c r="X32" s="40">
        <v>0</v>
      </c>
      <c r="Y32" s="40">
        <v>1500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4"/>
        <v>0</v>
      </c>
      <c r="AJ32"/>
      <c r="AK32" s="37"/>
      <c r="AM32" s="1"/>
      <c r="AN32" s="1"/>
    </row>
    <row r="33" spans="1:40" x14ac:dyDescent="0.3">
      <c r="A33" s="38">
        <v>2</v>
      </c>
      <c r="B33" s="38" t="s">
        <v>1469</v>
      </c>
      <c r="C33" s="38" t="s">
        <v>1470</v>
      </c>
      <c r="D33" s="39">
        <v>45881</v>
      </c>
      <c r="E33" s="38" t="s">
        <v>198</v>
      </c>
      <c r="F33" s="38" t="s">
        <v>200</v>
      </c>
      <c r="G33" s="40">
        <v>0</v>
      </c>
      <c r="H33" s="87">
        <v>22000</v>
      </c>
      <c r="I33" s="40">
        <v>3520</v>
      </c>
      <c r="J33" s="40">
        <f t="shared" si="1"/>
        <v>25520</v>
      </c>
      <c r="K33" s="40">
        <v>25520</v>
      </c>
      <c r="L33" s="40">
        <f t="shared" si="2"/>
        <v>0</v>
      </c>
      <c r="M33" s="38" t="s">
        <v>35</v>
      </c>
      <c r="N33" s="54"/>
      <c r="O33" s="36"/>
      <c r="P33" s="40">
        <v>0</v>
      </c>
      <c r="Q33" s="40">
        <v>0</v>
      </c>
      <c r="R33" s="41"/>
      <c r="S33" s="40">
        <v>0</v>
      </c>
      <c r="T33" s="40">
        <v>0</v>
      </c>
      <c r="U33" s="40">
        <v>0</v>
      </c>
      <c r="V33" s="40">
        <v>0</v>
      </c>
      <c r="W33" s="40">
        <v>22000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4"/>
        <v>0</v>
      </c>
      <c r="AJ33"/>
      <c r="AK33" s="37"/>
      <c r="AM33" s="1"/>
      <c r="AN33" s="1"/>
    </row>
    <row r="34" spans="1:40" x14ac:dyDescent="0.3">
      <c r="A34" s="38">
        <v>2</v>
      </c>
      <c r="B34" s="38" t="s">
        <v>1471</v>
      </c>
      <c r="C34" s="38" t="s">
        <v>1472</v>
      </c>
      <c r="D34" s="39">
        <v>45881</v>
      </c>
      <c r="E34" s="38" t="s">
        <v>40</v>
      </c>
      <c r="F34" s="38" t="s">
        <v>41</v>
      </c>
      <c r="G34" s="40">
        <v>0</v>
      </c>
      <c r="H34" s="87">
        <f>4500+5500</f>
        <v>10000</v>
      </c>
      <c r="I34" s="40">
        <v>1600</v>
      </c>
      <c r="J34" s="40">
        <f t="shared" si="1"/>
        <v>11600</v>
      </c>
      <c r="K34" s="40">
        <v>0</v>
      </c>
      <c r="L34" s="40">
        <f t="shared" si="2"/>
        <v>11600</v>
      </c>
      <c r="M34" s="38" t="s">
        <v>35</v>
      </c>
      <c r="N34" s="54"/>
      <c r="O34" s="36"/>
      <c r="P34" s="40">
        <v>0</v>
      </c>
      <c r="Q34" s="40">
        <v>0</v>
      </c>
      <c r="R34" s="41"/>
      <c r="S34" s="40">
        <v>4500</v>
      </c>
      <c r="T34" s="40">
        <v>0</v>
      </c>
      <c r="U34" s="40">
        <v>0</v>
      </c>
      <c r="V34" s="40">
        <v>0</v>
      </c>
      <c r="W34" s="40">
        <v>5500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si="4"/>
        <v>0</v>
      </c>
      <c r="AJ34"/>
      <c r="AK34" s="37"/>
      <c r="AM34" s="1"/>
      <c r="AN34" s="1"/>
    </row>
    <row r="35" spans="1:40" x14ac:dyDescent="0.3">
      <c r="A35" s="38">
        <v>1</v>
      </c>
      <c r="B35" s="38" t="s">
        <v>1473</v>
      </c>
      <c r="C35" s="50" t="s">
        <v>1474</v>
      </c>
      <c r="D35" s="39">
        <v>45881</v>
      </c>
      <c r="E35" s="38" t="s">
        <v>40</v>
      </c>
      <c r="F35" s="38" t="s">
        <v>41</v>
      </c>
      <c r="G35" s="40">
        <v>0</v>
      </c>
      <c r="H35" s="87">
        <v>10361.34</v>
      </c>
      <c r="I35" s="40">
        <v>1657.82</v>
      </c>
      <c r="J35" s="40">
        <f t="shared" si="1"/>
        <v>12019.16</v>
      </c>
      <c r="K35" s="40">
        <v>0</v>
      </c>
      <c r="L35" s="40">
        <f t="shared" si="2"/>
        <v>12019.16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3724.24</v>
      </c>
      <c r="T35" s="40">
        <v>472.5</v>
      </c>
      <c r="U35" s="40">
        <v>4042.12</v>
      </c>
      <c r="V35" s="40">
        <v>1177.48</v>
      </c>
      <c r="W35" s="40">
        <v>945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6">
        <f t="shared" si="4"/>
        <v>0</v>
      </c>
      <c r="AJ35"/>
      <c r="AK35" s="37"/>
      <c r="AM35" s="1"/>
      <c r="AN35" s="1"/>
    </row>
    <row r="36" spans="1:40" x14ac:dyDescent="0.3">
      <c r="A36" s="38">
        <v>1</v>
      </c>
      <c r="B36" s="38" t="s">
        <v>1475</v>
      </c>
      <c r="C36" s="50" t="s">
        <v>1476</v>
      </c>
      <c r="D36" s="39">
        <v>45881</v>
      </c>
      <c r="E36" s="38" t="s">
        <v>40</v>
      </c>
      <c r="F36" s="38" t="s">
        <v>41</v>
      </c>
      <c r="G36" s="40">
        <v>0</v>
      </c>
      <c r="H36" s="87">
        <v>8822.67</v>
      </c>
      <c r="I36" s="40">
        <v>1411.62</v>
      </c>
      <c r="J36" s="40">
        <f t="shared" si="1"/>
        <v>10234.290000000001</v>
      </c>
      <c r="K36" s="40">
        <v>0</v>
      </c>
      <c r="L36" s="40">
        <f t="shared" si="2"/>
        <v>10234.290000000001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3753.7</v>
      </c>
      <c r="T36" s="40">
        <v>472.5</v>
      </c>
      <c r="U36" s="40">
        <v>2487.0700000000002</v>
      </c>
      <c r="V36" s="40">
        <v>1164.4000000000001</v>
      </c>
      <c r="W36" s="40">
        <v>945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4"/>
        <v>0</v>
      </c>
      <c r="AJ36"/>
      <c r="AK36" s="37"/>
      <c r="AM36" s="1"/>
      <c r="AN36" s="1"/>
    </row>
    <row r="37" spans="1:40" x14ac:dyDescent="0.3">
      <c r="A37" s="38">
        <v>2</v>
      </c>
      <c r="B37" s="38" t="s">
        <v>1477</v>
      </c>
      <c r="C37" s="50" t="s">
        <v>1478</v>
      </c>
      <c r="D37" s="39">
        <v>45881</v>
      </c>
      <c r="E37" s="38" t="s">
        <v>61</v>
      </c>
      <c r="F37" t="s">
        <v>156</v>
      </c>
      <c r="G37" s="40">
        <v>0</v>
      </c>
      <c r="H37" s="87">
        <v>10456</v>
      </c>
      <c r="I37" s="40">
        <v>1672.96</v>
      </c>
      <c r="J37" s="40">
        <f t="shared" si="1"/>
        <v>12128.96</v>
      </c>
      <c r="K37" s="40">
        <v>12128.96</v>
      </c>
      <c r="L37" s="40">
        <f t="shared" si="2"/>
        <v>0</v>
      </c>
      <c r="M37" s="38" t="s">
        <v>35</v>
      </c>
      <c r="N37" s="54"/>
      <c r="O37" s="36"/>
      <c r="P37" s="40">
        <v>0</v>
      </c>
      <c r="Q37" s="40">
        <v>0</v>
      </c>
      <c r="R37" s="41"/>
      <c r="S37" s="40">
        <v>0</v>
      </c>
      <c r="T37" s="40">
        <v>0</v>
      </c>
      <c r="U37" s="40">
        <v>0</v>
      </c>
      <c r="V37" s="40">
        <v>0</v>
      </c>
      <c r="W37" s="40">
        <f>9256+1200</f>
        <v>10456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4"/>
        <v>0</v>
      </c>
      <c r="AJ37"/>
      <c r="AK37" s="37"/>
      <c r="AM37" s="1"/>
      <c r="AN37" s="1"/>
    </row>
    <row r="38" spans="1:40" x14ac:dyDescent="0.3">
      <c r="A38" s="38">
        <v>2</v>
      </c>
      <c r="B38" s="38" t="s">
        <v>1479</v>
      </c>
      <c r="C38" s="38" t="s">
        <v>1480</v>
      </c>
      <c r="D38" s="39">
        <v>45881</v>
      </c>
      <c r="E38" s="38" t="s">
        <v>198</v>
      </c>
      <c r="F38" s="38" t="s">
        <v>200</v>
      </c>
      <c r="G38" s="40">
        <v>0</v>
      </c>
      <c r="H38" s="87">
        <v>22000</v>
      </c>
      <c r="I38" s="40">
        <v>3520</v>
      </c>
      <c r="J38" s="40">
        <f t="shared" si="1"/>
        <v>25520</v>
      </c>
      <c r="K38" s="40">
        <v>25520</v>
      </c>
      <c r="L38" s="40">
        <f t="shared" si="2"/>
        <v>0</v>
      </c>
      <c r="M38" s="38" t="s">
        <v>35</v>
      </c>
      <c r="N38" s="54"/>
      <c r="O38" s="36"/>
      <c r="P38" s="40">
        <v>0</v>
      </c>
      <c r="Q38" s="40">
        <v>0</v>
      </c>
      <c r="R38" s="41"/>
      <c r="S38" s="40">
        <v>0</v>
      </c>
      <c r="T38" s="40">
        <v>0</v>
      </c>
      <c r="U38" s="40">
        <v>0</v>
      </c>
      <c r="V38" s="40">
        <v>0</v>
      </c>
      <c r="W38" s="40">
        <v>22000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4"/>
        <v>0</v>
      </c>
      <c r="AJ38"/>
      <c r="AK38" s="37"/>
      <c r="AM38" s="1"/>
      <c r="AN38" s="1"/>
    </row>
    <row r="39" spans="1:40" x14ac:dyDescent="0.3">
      <c r="A39" s="38">
        <v>2</v>
      </c>
      <c r="B39" s="38" t="s">
        <v>1481</v>
      </c>
      <c r="C39" s="50" t="s">
        <v>1482</v>
      </c>
      <c r="D39" s="39">
        <v>45882</v>
      </c>
      <c r="E39" s="38" t="s">
        <v>61</v>
      </c>
      <c r="F39" t="s">
        <v>156</v>
      </c>
      <c r="G39" s="40">
        <v>0</v>
      </c>
      <c r="H39" s="87">
        <v>12368</v>
      </c>
      <c r="I39" s="40">
        <f>+H39*0.16</f>
        <v>1978.88</v>
      </c>
      <c r="J39" s="40">
        <f t="shared" si="1"/>
        <v>14346.880000000001</v>
      </c>
      <c r="K39" s="40">
        <v>18523.11</v>
      </c>
      <c r="L39" s="40">
        <f t="shared" si="2"/>
        <v>-4176.2299999999996</v>
      </c>
      <c r="M39" s="38" t="s">
        <v>35</v>
      </c>
      <c r="N39" s="54"/>
      <c r="O39" s="36"/>
      <c r="P39" s="40">
        <v>0</v>
      </c>
      <c r="Q39" s="40">
        <v>0</v>
      </c>
      <c r="R39" s="41"/>
      <c r="S39" s="40">
        <v>0</v>
      </c>
      <c r="T39" s="40">
        <v>0</v>
      </c>
      <c r="U39" s="40">
        <v>0</v>
      </c>
      <c r="V39" s="40">
        <v>0</v>
      </c>
      <c r="W39" s="40">
        <v>12368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4"/>
        <v>0</v>
      </c>
      <c r="AJ39"/>
      <c r="AK39" s="37"/>
      <c r="AM39" s="1"/>
      <c r="AN39" s="1"/>
    </row>
    <row r="40" spans="1:40" x14ac:dyDescent="0.3">
      <c r="A40" s="38">
        <v>2</v>
      </c>
      <c r="B40" s="38" t="s">
        <v>1483</v>
      </c>
      <c r="C40" s="38" t="s">
        <v>1484</v>
      </c>
      <c r="D40" s="39">
        <v>45883</v>
      </c>
      <c r="E40" s="38" t="s">
        <v>198</v>
      </c>
      <c r="F40" s="38" t="s">
        <v>200</v>
      </c>
      <c r="G40" s="40">
        <v>0</v>
      </c>
      <c r="H40" s="87">
        <v>22000</v>
      </c>
      <c r="I40" s="40">
        <v>3520</v>
      </c>
      <c r="J40" s="40">
        <f t="shared" si="1"/>
        <v>25520</v>
      </c>
      <c r="K40" s="40">
        <v>25520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0</v>
      </c>
      <c r="R40" s="41"/>
      <c r="S40" s="40">
        <v>0</v>
      </c>
      <c r="T40" s="40">
        <v>0</v>
      </c>
      <c r="U40" s="40">
        <v>0</v>
      </c>
      <c r="V40" s="40">
        <v>0</v>
      </c>
      <c r="W40" s="40">
        <v>22000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4"/>
        <v>0</v>
      </c>
      <c r="AJ40"/>
      <c r="AK40" s="37"/>
      <c r="AM40" s="1"/>
      <c r="AN40" s="1"/>
    </row>
    <row r="41" spans="1:40" x14ac:dyDescent="0.3">
      <c r="A41" s="38">
        <v>1</v>
      </c>
      <c r="B41" s="38" t="s">
        <v>1485</v>
      </c>
      <c r="C41" s="38" t="s">
        <v>1486</v>
      </c>
      <c r="D41" s="39">
        <v>45880</v>
      </c>
      <c r="E41" s="38" t="s">
        <v>53</v>
      </c>
      <c r="F41" s="38" t="s">
        <v>199</v>
      </c>
      <c r="G41" s="40">
        <v>781</v>
      </c>
      <c r="H41" s="87">
        <f>241810.14-G41</f>
        <v>241029.14</v>
      </c>
      <c r="I41" s="40">
        <v>38564.67</v>
      </c>
      <c r="J41" s="40">
        <f t="shared" si="1"/>
        <v>280374.81</v>
      </c>
      <c r="K41" s="40">
        <v>488108.6</v>
      </c>
      <c r="L41" s="40">
        <f t="shared" si="2"/>
        <v>-207733.78999999998</v>
      </c>
      <c r="M41" s="38" t="s">
        <v>35</v>
      </c>
      <c r="N41" s="54"/>
      <c r="O41" s="36"/>
      <c r="P41" s="40">
        <v>0</v>
      </c>
      <c r="Q41" s="40">
        <v>781</v>
      </c>
      <c r="R41" s="41"/>
      <c r="S41" s="40">
        <f>26956.8+6000</f>
        <v>32956.800000000003</v>
      </c>
      <c r="T41" s="40">
        <v>0</v>
      </c>
      <c r="U41" s="40">
        <f>115571.04+5290</f>
        <v>120861.04</v>
      </c>
      <c r="V41" s="40">
        <v>82984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f>1350+2877.3</f>
        <v>4227.3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4"/>
        <v>0</v>
      </c>
      <c r="AJ41"/>
      <c r="AK41" s="37"/>
      <c r="AM41" s="1"/>
      <c r="AN41" s="1"/>
    </row>
    <row r="42" spans="1:40" x14ac:dyDescent="0.3">
      <c r="A42" s="38">
        <v>2</v>
      </c>
      <c r="B42" s="38" t="s">
        <v>1487</v>
      </c>
      <c r="C42" s="38" t="s">
        <v>1488</v>
      </c>
      <c r="D42" s="39">
        <v>45884</v>
      </c>
      <c r="E42" s="38" t="s">
        <v>22</v>
      </c>
      <c r="F42" s="38" t="s">
        <v>45</v>
      </c>
      <c r="G42" s="40">
        <v>0</v>
      </c>
      <c r="H42" s="88">
        <v>9300</v>
      </c>
      <c r="I42" s="40">
        <v>1488</v>
      </c>
      <c r="J42" s="40">
        <f t="shared" si="1"/>
        <v>10788</v>
      </c>
      <c r="K42" s="40">
        <v>15544</v>
      </c>
      <c r="L42" s="40">
        <f t="shared" si="2"/>
        <v>-4756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4800</v>
      </c>
      <c r="T42" s="40">
        <v>0</v>
      </c>
      <c r="U42" s="40">
        <v>0</v>
      </c>
      <c r="V42" s="40">
        <v>0</v>
      </c>
      <c r="W42" s="40">
        <v>4500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4"/>
        <v>0</v>
      </c>
      <c r="AJ42"/>
      <c r="AK42" s="37"/>
      <c r="AM42" s="1"/>
      <c r="AN42" s="1"/>
    </row>
    <row r="43" spans="1:40" x14ac:dyDescent="0.3">
      <c r="A43" s="38">
        <v>1</v>
      </c>
      <c r="B43" s="38" t="s">
        <v>1489</v>
      </c>
      <c r="C43" s="50" t="s">
        <v>1490</v>
      </c>
      <c r="D43" s="39">
        <v>45884</v>
      </c>
      <c r="E43" s="38" t="s">
        <v>53</v>
      </c>
      <c r="F43" s="38" t="s">
        <v>199</v>
      </c>
      <c r="G43" s="40">
        <f>17494+5968.2</f>
        <v>23462.2</v>
      </c>
      <c r="H43" s="87">
        <f>46579.7-G43</f>
        <v>23117.499999999996</v>
      </c>
      <c r="I43" s="40">
        <v>3698.8</v>
      </c>
      <c r="J43" s="40">
        <f t="shared" si="1"/>
        <v>50278.5</v>
      </c>
      <c r="K43" s="40">
        <v>93343.2</v>
      </c>
      <c r="L43" s="40">
        <f t="shared" si="2"/>
        <v>-43064.7</v>
      </c>
      <c r="M43" s="38" t="s">
        <v>35</v>
      </c>
      <c r="N43" s="54"/>
      <c r="O43" s="36"/>
      <c r="P43" s="40">
        <v>0</v>
      </c>
      <c r="Q43" s="40">
        <f>17494+5968.2</f>
        <v>23462.2</v>
      </c>
      <c r="R43" s="41"/>
      <c r="S43" s="40">
        <v>7200</v>
      </c>
      <c r="T43" s="40">
        <v>0</v>
      </c>
      <c r="U43" s="40">
        <v>14447.5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1470</v>
      </c>
      <c r="AF43" s="40">
        <v>0</v>
      </c>
      <c r="AG43" s="40">
        <v>0</v>
      </c>
      <c r="AH43" s="40">
        <v>0</v>
      </c>
      <c r="AI43" s="36">
        <f t="shared" si="4"/>
        <v>0</v>
      </c>
      <c r="AJ43"/>
      <c r="AK43" s="37"/>
      <c r="AM43" s="1"/>
      <c r="AN43" s="1"/>
    </row>
    <row r="44" spans="1:40" x14ac:dyDescent="0.3">
      <c r="A44" s="38">
        <v>2</v>
      </c>
      <c r="B44" s="38" t="s">
        <v>1491</v>
      </c>
      <c r="C44" s="38" t="s">
        <v>1492</v>
      </c>
      <c r="D44" s="39">
        <v>45884</v>
      </c>
      <c r="E44" s="38" t="s">
        <v>198</v>
      </c>
      <c r="F44" s="38" t="s">
        <v>200</v>
      </c>
      <c r="G44" s="40">
        <v>0</v>
      </c>
      <c r="H44" s="87">
        <v>22000</v>
      </c>
      <c r="I44" s="40">
        <v>3520</v>
      </c>
      <c r="J44" s="40">
        <f t="shared" si="1"/>
        <v>25520</v>
      </c>
      <c r="K44" s="40">
        <v>25520</v>
      </c>
      <c r="L44" s="40">
        <f t="shared" si="2"/>
        <v>0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0</v>
      </c>
      <c r="T44" s="40">
        <v>0</v>
      </c>
      <c r="U44" s="40">
        <v>0</v>
      </c>
      <c r="V44" s="40">
        <v>0</v>
      </c>
      <c r="W44" s="40">
        <v>22000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4"/>
        <v>0</v>
      </c>
      <c r="AJ44"/>
      <c r="AK44" s="37"/>
      <c r="AM44" s="1"/>
      <c r="AN44" s="1"/>
    </row>
    <row r="45" spans="1:40" x14ac:dyDescent="0.3">
      <c r="A45" s="38">
        <v>2</v>
      </c>
      <c r="B45" s="38" t="s">
        <v>1493</v>
      </c>
      <c r="C45" s="38" t="s">
        <v>1494</v>
      </c>
      <c r="D45" s="39">
        <v>45884</v>
      </c>
      <c r="E45" s="38" t="s">
        <v>22</v>
      </c>
      <c r="F45" s="38" t="s">
        <v>45</v>
      </c>
      <c r="G45" s="40">
        <v>336</v>
      </c>
      <c r="H45" s="87">
        <f>15736-G45</f>
        <v>15400</v>
      </c>
      <c r="I45" s="40">
        <v>2464</v>
      </c>
      <c r="J45" s="40">
        <f t="shared" si="1"/>
        <v>18200</v>
      </c>
      <c r="K45" s="40">
        <v>21660</v>
      </c>
      <c r="L45" s="40">
        <f t="shared" si="2"/>
        <v>-3460</v>
      </c>
      <c r="M45" s="38" t="s">
        <v>35</v>
      </c>
      <c r="N45" s="54"/>
      <c r="O45" s="36"/>
      <c r="P45" s="40">
        <v>0</v>
      </c>
      <c r="Q45" s="40">
        <v>336</v>
      </c>
      <c r="R45" s="41"/>
      <c r="S45" s="40">
        <v>4900</v>
      </c>
      <c r="T45" s="40">
        <v>0</v>
      </c>
      <c r="U45" s="40">
        <v>0</v>
      </c>
      <c r="V45" s="40">
        <v>0</v>
      </c>
      <c r="W45" s="40">
        <v>6000</v>
      </c>
      <c r="X45" s="40">
        <v>0</v>
      </c>
      <c r="Y45" s="40">
        <v>4500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36">
        <f t="shared" si="4"/>
        <v>0</v>
      </c>
      <c r="AJ45"/>
      <c r="AK45" s="37"/>
      <c r="AM45" s="1"/>
      <c r="AN45" s="1"/>
    </row>
    <row r="46" spans="1:40" x14ac:dyDescent="0.3">
      <c r="A46" s="38">
        <v>1</v>
      </c>
      <c r="B46" s="38" t="s">
        <v>1495</v>
      </c>
      <c r="C46" s="50" t="s">
        <v>1496</v>
      </c>
      <c r="D46" s="39">
        <v>45887</v>
      </c>
      <c r="E46" s="38" t="s">
        <v>53</v>
      </c>
      <c r="F46" s="38" t="s">
        <v>199</v>
      </c>
      <c r="G46" s="40">
        <v>781</v>
      </c>
      <c r="H46" s="87">
        <f>53548.49-G46</f>
        <v>52767.49</v>
      </c>
      <c r="I46" s="40">
        <v>8442.7999999999993</v>
      </c>
      <c r="J46" s="40">
        <f t="shared" si="1"/>
        <v>61991.289999999994</v>
      </c>
      <c r="K46" s="40">
        <v>64853.599999999999</v>
      </c>
      <c r="L46" s="40">
        <f t="shared" si="2"/>
        <v>-2862.3100000000049</v>
      </c>
      <c r="M46" s="38" t="s">
        <v>35</v>
      </c>
      <c r="N46" s="54"/>
      <c r="O46" s="36"/>
      <c r="P46" s="40">
        <v>0</v>
      </c>
      <c r="Q46" s="40">
        <v>781</v>
      </c>
      <c r="R46" s="41"/>
      <c r="S46" s="40">
        <v>6766.67</v>
      </c>
      <c r="T46" s="40">
        <v>0</v>
      </c>
      <c r="U46" s="40">
        <v>29450.99</v>
      </c>
      <c r="V46" s="40">
        <v>15874.83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675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4"/>
        <v>0</v>
      </c>
      <c r="AJ46"/>
      <c r="AK46" s="37"/>
      <c r="AM46" s="1"/>
      <c r="AN46" s="1"/>
    </row>
    <row r="47" spans="1:40" x14ac:dyDescent="0.3">
      <c r="A47" s="38">
        <v>2</v>
      </c>
      <c r="B47" s="38" t="s">
        <v>1497</v>
      </c>
      <c r="C47" s="50" t="s">
        <v>1498</v>
      </c>
      <c r="D47" s="39">
        <v>45887</v>
      </c>
      <c r="E47" s="38" t="s">
        <v>22</v>
      </c>
      <c r="F47" s="38" t="s">
        <v>45</v>
      </c>
      <c r="G47" s="40">
        <v>0</v>
      </c>
      <c r="H47" s="87">
        <v>9300</v>
      </c>
      <c r="I47" s="40">
        <v>1488</v>
      </c>
      <c r="J47" s="40">
        <f t="shared" si="1"/>
        <v>10788</v>
      </c>
      <c r="K47" s="40">
        <v>15544</v>
      </c>
      <c r="L47" s="40">
        <f t="shared" si="2"/>
        <v>-4756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4800</v>
      </c>
      <c r="T47" s="40">
        <v>0</v>
      </c>
      <c r="U47" s="40">
        <v>0</v>
      </c>
      <c r="V47" s="40">
        <v>0</v>
      </c>
      <c r="W47" s="40">
        <v>4500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4"/>
        <v>0</v>
      </c>
      <c r="AJ47"/>
      <c r="AK47" s="37"/>
      <c r="AM47" s="1"/>
      <c r="AN47" s="1"/>
    </row>
    <row r="48" spans="1:40" x14ac:dyDescent="0.3">
      <c r="A48" s="38">
        <v>1</v>
      </c>
      <c r="B48" s="38" t="s">
        <v>1499</v>
      </c>
      <c r="C48" s="38" t="s">
        <v>1500</v>
      </c>
      <c r="D48" s="39">
        <v>45887</v>
      </c>
      <c r="E48" s="38" t="s">
        <v>22</v>
      </c>
      <c r="F48" s="38" t="s">
        <v>45</v>
      </c>
      <c r="G48" s="40">
        <v>336</v>
      </c>
      <c r="H48" s="87">
        <f>19736-336</f>
        <v>19400</v>
      </c>
      <c r="I48" s="40">
        <v>3104</v>
      </c>
      <c r="J48" s="40">
        <f t="shared" si="1"/>
        <v>22840</v>
      </c>
      <c r="K48" s="40">
        <v>31656</v>
      </c>
      <c r="L48" s="40">
        <f t="shared" si="2"/>
        <v>-8816</v>
      </c>
      <c r="M48" s="38" t="s">
        <v>35</v>
      </c>
      <c r="N48" s="54"/>
      <c r="O48" s="36"/>
      <c r="P48" s="40">
        <v>0</v>
      </c>
      <c r="Q48" s="40">
        <v>336</v>
      </c>
      <c r="R48" s="41"/>
      <c r="S48" s="40">
        <v>12000</v>
      </c>
      <c r="T48" s="40">
        <v>0</v>
      </c>
      <c r="U48" s="40">
        <f>1050+2350</f>
        <v>3400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4000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4"/>
        <v>0</v>
      </c>
      <c r="AJ48"/>
      <c r="AK48" s="37"/>
      <c r="AM48" s="1"/>
      <c r="AN48" s="1"/>
    </row>
    <row r="49" spans="1:40" x14ac:dyDescent="0.3">
      <c r="A49" s="38">
        <v>1</v>
      </c>
      <c r="B49" s="2" t="s">
        <v>1501</v>
      </c>
      <c r="C49" s="50" t="s">
        <v>1502</v>
      </c>
      <c r="D49" s="39">
        <v>45887</v>
      </c>
      <c r="E49" s="38" t="s">
        <v>40</v>
      </c>
      <c r="F49" s="38" t="s">
        <v>41</v>
      </c>
      <c r="G49" s="40">
        <v>0</v>
      </c>
      <c r="H49" s="87">
        <v>73316.14</v>
      </c>
      <c r="I49" s="40">
        <v>11730.58</v>
      </c>
      <c r="J49" s="40">
        <f t="shared" si="1"/>
        <v>85046.720000000001</v>
      </c>
      <c r="K49" s="40">
        <v>0</v>
      </c>
      <c r="L49" s="40">
        <f t="shared" si="2"/>
        <v>85046.720000000001</v>
      </c>
      <c r="M49" s="38" t="s">
        <v>35</v>
      </c>
      <c r="N49" s="54"/>
      <c r="O49" s="36"/>
      <c r="P49" s="40">
        <v>0</v>
      </c>
      <c r="Q49" s="40">
        <v>0</v>
      </c>
      <c r="R49" s="41"/>
      <c r="S49" s="40">
        <v>5566.14</v>
      </c>
      <c r="T49" s="40">
        <v>0</v>
      </c>
      <c r="U49" s="40">
        <v>0</v>
      </c>
      <c r="V49" s="40">
        <v>25750</v>
      </c>
      <c r="W49" s="40">
        <v>42000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4"/>
        <v>0</v>
      </c>
      <c r="AJ49"/>
      <c r="AK49" s="37"/>
      <c r="AM49" s="1"/>
      <c r="AN49" s="1"/>
    </row>
    <row r="50" spans="1:40" x14ac:dyDescent="0.3">
      <c r="A50" s="38">
        <v>1</v>
      </c>
      <c r="B50" s="2" t="s">
        <v>1503</v>
      </c>
      <c r="C50" s="38" t="s">
        <v>1399</v>
      </c>
      <c r="D50" s="39">
        <v>45888</v>
      </c>
      <c r="E50" s="38" t="s">
        <v>1504</v>
      </c>
      <c r="F50" s="38" t="s">
        <v>1505</v>
      </c>
      <c r="G50" s="40">
        <v>0</v>
      </c>
      <c r="H50" s="87">
        <v>6233.25</v>
      </c>
      <c r="I50" s="40">
        <v>997.32</v>
      </c>
      <c r="J50" s="40">
        <f t="shared" si="1"/>
        <v>7230.57</v>
      </c>
      <c r="K50" s="40">
        <v>0</v>
      </c>
      <c r="L50" s="40">
        <f t="shared" si="2"/>
        <v>7230.57</v>
      </c>
      <c r="M50" s="38" t="s">
        <v>35</v>
      </c>
      <c r="N50" s="54"/>
      <c r="O50" s="36"/>
      <c r="P50" s="40">
        <v>0</v>
      </c>
      <c r="Q50" s="40">
        <v>0</v>
      </c>
      <c r="R50" s="41"/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6233.25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6">
        <f t="shared" si="4"/>
        <v>0</v>
      </c>
      <c r="AJ50"/>
      <c r="AK50" s="37"/>
      <c r="AM50" s="1"/>
      <c r="AN50" s="1"/>
    </row>
    <row r="51" spans="1:40" x14ac:dyDescent="0.3">
      <c r="A51" s="38">
        <v>1</v>
      </c>
      <c r="B51" s="2" t="s">
        <v>1506</v>
      </c>
      <c r="C51" s="38" t="s">
        <v>1507</v>
      </c>
      <c r="D51" s="39">
        <v>45889</v>
      </c>
      <c r="E51" s="38" t="s">
        <v>53</v>
      </c>
      <c r="F51" s="38" t="s">
        <v>199</v>
      </c>
      <c r="G51" s="40">
        <v>0</v>
      </c>
      <c r="H51" s="87">
        <v>18340.23</v>
      </c>
      <c r="I51" s="40">
        <v>2934.44</v>
      </c>
      <c r="J51" s="40">
        <f t="shared" si="1"/>
        <v>21274.67</v>
      </c>
      <c r="K51" s="40">
        <v>77952</v>
      </c>
      <c r="L51" s="40">
        <f t="shared" si="2"/>
        <v>-56677.33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7200</v>
      </c>
      <c r="T51" s="40">
        <v>0</v>
      </c>
      <c r="U51" s="40">
        <v>6340.23</v>
      </c>
      <c r="V51" s="40">
        <v>0</v>
      </c>
      <c r="W51" s="40">
        <v>0</v>
      </c>
      <c r="X51" s="40">
        <v>3000</v>
      </c>
      <c r="Y51" s="40">
        <v>0</v>
      </c>
      <c r="Z51" s="40">
        <v>0</v>
      </c>
      <c r="AA51" s="40">
        <v>1800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4"/>
        <v>0</v>
      </c>
      <c r="AJ51"/>
      <c r="AK51" s="37"/>
      <c r="AM51" s="1"/>
      <c r="AN51" s="1"/>
    </row>
    <row r="52" spans="1:40" x14ac:dyDescent="0.3">
      <c r="A52" s="38">
        <v>1</v>
      </c>
      <c r="B52" s="2" t="s">
        <v>1508</v>
      </c>
      <c r="C52" s="50" t="s">
        <v>1509</v>
      </c>
      <c r="D52" s="39">
        <v>45889</v>
      </c>
      <c r="E52" s="38" t="s">
        <v>53</v>
      </c>
      <c r="F52" s="38" t="s">
        <v>199</v>
      </c>
      <c r="G52" s="40">
        <v>0</v>
      </c>
      <c r="H52" s="87">
        <v>23638.5</v>
      </c>
      <c r="I52" s="40">
        <v>3782.16</v>
      </c>
      <c r="J52" s="40">
        <f t="shared" si="1"/>
        <v>27420.66</v>
      </c>
      <c r="K52" s="40">
        <v>112752</v>
      </c>
      <c r="L52" s="40">
        <f t="shared" si="2"/>
        <v>-85331.34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7200</v>
      </c>
      <c r="T52" s="40">
        <v>0</v>
      </c>
      <c r="U52" s="40">
        <v>11638.5</v>
      </c>
      <c r="V52" s="40">
        <v>0</v>
      </c>
      <c r="W52" s="40">
        <v>0</v>
      </c>
      <c r="X52" s="40">
        <v>3000</v>
      </c>
      <c r="Y52" s="40">
        <v>0</v>
      </c>
      <c r="Z52" s="40">
        <v>0</v>
      </c>
      <c r="AA52" s="40">
        <v>1800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4"/>
        <v>0</v>
      </c>
      <c r="AJ52"/>
      <c r="AK52" s="37"/>
      <c r="AM52" s="1"/>
      <c r="AN52" s="1"/>
    </row>
    <row r="53" spans="1:40" x14ac:dyDescent="0.3">
      <c r="A53" s="38">
        <v>1</v>
      </c>
      <c r="B53" s="2" t="s">
        <v>1510</v>
      </c>
      <c r="C53" s="50" t="s">
        <v>1511</v>
      </c>
      <c r="D53" s="39">
        <v>45889</v>
      </c>
      <c r="E53" s="38" t="s">
        <v>53</v>
      </c>
      <c r="F53" s="38" t="s">
        <v>199</v>
      </c>
      <c r="G53" s="40">
        <v>0</v>
      </c>
      <c r="H53" s="87">
        <v>18340.23</v>
      </c>
      <c r="I53" s="40">
        <v>2934.44</v>
      </c>
      <c r="J53" s="40">
        <f t="shared" si="1"/>
        <v>21274.67</v>
      </c>
      <c r="K53" s="40">
        <v>77952</v>
      </c>
      <c r="L53" s="40">
        <f t="shared" si="2"/>
        <v>-56677.33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7200</v>
      </c>
      <c r="T53" s="40">
        <v>0</v>
      </c>
      <c r="U53" s="40">
        <v>6340.23</v>
      </c>
      <c r="V53" s="40">
        <v>0</v>
      </c>
      <c r="W53" s="40">
        <v>0</v>
      </c>
      <c r="X53" s="40">
        <v>3000</v>
      </c>
      <c r="Y53" s="40">
        <v>0</v>
      </c>
      <c r="Z53" s="40">
        <v>0</v>
      </c>
      <c r="AA53" s="40">
        <v>1800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36">
        <f t="shared" si="4"/>
        <v>0</v>
      </c>
      <c r="AJ53"/>
      <c r="AK53" s="37"/>
      <c r="AM53" s="1"/>
      <c r="AN53" s="1"/>
    </row>
    <row r="54" spans="1:40" x14ac:dyDescent="0.3">
      <c r="A54" s="38">
        <v>1</v>
      </c>
      <c r="B54" s="2" t="s">
        <v>1512</v>
      </c>
      <c r="C54" s="38" t="s">
        <v>1513</v>
      </c>
      <c r="D54" s="39">
        <v>45889</v>
      </c>
      <c r="E54" s="38" t="s">
        <v>53</v>
      </c>
      <c r="F54" s="38" t="s">
        <v>199</v>
      </c>
      <c r="G54" s="40">
        <v>1226</v>
      </c>
      <c r="H54" s="87">
        <f>19566.23-G54</f>
        <v>18340.23</v>
      </c>
      <c r="I54" s="40">
        <v>2934.44</v>
      </c>
      <c r="J54" s="40">
        <f t="shared" si="1"/>
        <v>22500.67</v>
      </c>
      <c r="K54" s="40">
        <v>79178</v>
      </c>
      <c r="L54" s="40">
        <f t="shared" si="2"/>
        <v>-56677.33</v>
      </c>
      <c r="M54" s="38" t="s">
        <v>35</v>
      </c>
      <c r="N54" s="54"/>
      <c r="O54" s="36"/>
      <c r="P54" s="40">
        <v>0</v>
      </c>
      <c r="Q54" s="40">
        <v>1226</v>
      </c>
      <c r="R54" s="41"/>
      <c r="S54" s="40">
        <v>7200</v>
      </c>
      <c r="T54" s="40">
        <v>0</v>
      </c>
      <c r="U54" s="40">
        <v>6340.23</v>
      </c>
      <c r="V54" s="40">
        <v>0</v>
      </c>
      <c r="W54" s="40">
        <v>0</v>
      </c>
      <c r="X54" s="40">
        <v>3000</v>
      </c>
      <c r="Y54" s="40">
        <v>0</v>
      </c>
      <c r="Z54" s="40">
        <v>0</v>
      </c>
      <c r="AA54" s="40">
        <v>1800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6">
        <f t="shared" si="4"/>
        <v>0</v>
      </c>
      <c r="AJ54"/>
      <c r="AK54" s="37"/>
      <c r="AM54" s="1"/>
      <c r="AN54" s="1"/>
    </row>
    <row r="55" spans="1:40" x14ac:dyDescent="0.3">
      <c r="A55" s="38">
        <v>2</v>
      </c>
      <c r="B55" s="2" t="s">
        <v>1514</v>
      </c>
      <c r="C55" s="38" t="s">
        <v>1515</v>
      </c>
      <c r="D55" s="39">
        <v>45889</v>
      </c>
      <c r="E55" s="38" t="s">
        <v>22</v>
      </c>
      <c r="F55" s="38" t="s">
        <v>45</v>
      </c>
      <c r="G55" s="40">
        <v>781</v>
      </c>
      <c r="H55" s="87">
        <v>3710.36</v>
      </c>
      <c r="I55" s="40">
        <v>593.66</v>
      </c>
      <c r="J55" s="40">
        <f t="shared" si="1"/>
        <v>5085.0200000000004</v>
      </c>
      <c r="K55" s="40">
        <v>9945</v>
      </c>
      <c r="L55" s="40">
        <f t="shared" si="2"/>
        <v>-4859.9799999999996</v>
      </c>
      <c r="M55" s="38" t="s">
        <v>35</v>
      </c>
      <c r="N55" s="54"/>
      <c r="O55" s="36"/>
      <c r="P55" s="40">
        <v>0</v>
      </c>
      <c r="Q55" s="40">
        <v>781</v>
      </c>
      <c r="R55" s="41"/>
      <c r="S55" s="40">
        <v>3710.36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4"/>
        <v>0</v>
      </c>
      <c r="AJ55"/>
      <c r="AK55" s="37"/>
      <c r="AM55" s="1"/>
      <c r="AN55" s="1"/>
    </row>
    <row r="56" spans="1:40" x14ac:dyDescent="0.3">
      <c r="A56" s="38">
        <v>2</v>
      </c>
      <c r="B56" s="2" t="s">
        <v>1516</v>
      </c>
      <c r="C56" s="38" t="s">
        <v>1517</v>
      </c>
      <c r="D56" s="39">
        <v>45889</v>
      </c>
      <c r="E56" s="38" t="s">
        <v>53</v>
      </c>
      <c r="F56" s="38" t="s">
        <v>199</v>
      </c>
      <c r="G56" s="40">
        <v>782</v>
      </c>
      <c r="H56" s="87">
        <v>7400</v>
      </c>
      <c r="I56" s="40">
        <v>1184</v>
      </c>
      <c r="J56" s="40">
        <f t="shared" si="1"/>
        <v>9366</v>
      </c>
      <c r="K56" s="40">
        <v>9366</v>
      </c>
      <c r="L56" s="40">
        <f t="shared" si="2"/>
        <v>0</v>
      </c>
      <c r="M56" s="38" t="s">
        <v>35</v>
      </c>
      <c r="N56" s="54"/>
      <c r="O56" s="36"/>
      <c r="P56" s="40">
        <v>0</v>
      </c>
      <c r="Q56" s="40">
        <v>782</v>
      </c>
      <c r="R56" s="41"/>
      <c r="S56" s="40">
        <v>7400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4"/>
        <v>0</v>
      </c>
      <c r="AJ56"/>
      <c r="AK56" s="37"/>
      <c r="AM56" s="1"/>
      <c r="AN56" s="1"/>
    </row>
    <row r="57" spans="1:40" x14ac:dyDescent="0.3">
      <c r="A57" s="38">
        <v>2</v>
      </c>
      <c r="B57" s="2" t="s">
        <v>1518</v>
      </c>
      <c r="C57" s="38" t="s">
        <v>1519</v>
      </c>
      <c r="D57" s="39">
        <v>45889</v>
      </c>
      <c r="E57" s="38" t="s">
        <v>53</v>
      </c>
      <c r="F57" s="38" t="s">
        <v>199</v>
      </c>
      <c r="G57" s="40">
        <v>782</v>
      </c>
      <c r="H57" s="87">
        <v>7400</v>
      </c>
      <c r="I57" s="40">
        <v>1184</v>
      </c>
      <c r="J57" s="40">
        <f t="shared" si="1"/>
        <v>9366</v>
      </c>
      <c r="K57" s="40">
        <v>9366</v>
      </c>
      <c r="L57" s="40">
        <f t="shared" si="2"/>
        <v>0</v>
      </c>
      <c r="M57" s="38" t="s">
        <v>35</v>
      </c>
      <c r="N57" s="54"/>
      <c r="O57" s="36"/>
      <c r="P57" s="40">
        <v>0</v>
      </c>
      <c r="Q57" s="40">
        <v>782</v>
      </c>
      <c r="R57" s="41"/>
      <c r="S57" s="40">
        <v>7400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36">
        <f t="shared" si="4"/>
        <v>0</v>
      </c>
      <c r="AJ57"/>
      <c r="AK57" s="37"/>
      <c r="AM57" s="1"/>
      <c r="AN57" s="1"/>
    </row>
    <row r="58" spans="1:40" x14ac:dyDescent="0.3">
      <c r="A58" s="38">
        <v>2</v>
      </c>
      <c r="B58" s="2" t="s">
        <v>1520</v>
      </c>
      <c r="C58" s="38" t="s">
        <v>1521</v>
      </c>
      <c r="D58" s="39">
        <v>45889</v>
      </c>
      <c r="E58" s="38" t="s">
        <v>22</v>
      </c>
      <c r="F58" s="38" t="s">
        <v>45</v>
      </c>
      <c r="G58" s="40">
        <v>336</v>
      </c>
      <c r="H58" s="87">
        <f>4800+7400</f>
        <v>12200</v>
      </c>
      <c r="I58" s="40">
        <v>1952</v>
      </c>
      <c r="J58" s="40">
        <f t="shared" si="1"/>
        <v>14488</v>
      </c>
      <c r="K58" s="40">
        <v>19244</v>
      </c>
      <c r="L58" s="40">
        <f t="shared" si="2"/>
        <v>-4756</v>
      </c>
      <c r="M58" s="38" t="s">
        <v>35</v>
      </c>
      <c r="N58" s="54"/>
      <c r="O58" s="36"/>
      <c r="P58" s="40">
        <v>0</v>
      </c>
      <c r="Q58" s="40">
        <v>336</v>
      </c>
      <c r="R58" s="41"/>
      <c r="S58" s="40">
        <v>4800</v>
      </c>
      <c r="T58" s="40">
        <v>0</v>
      </c>
      <c r="U58" s="40">
        <v>0</v>
      </c>
      <c r="V58" s="40">
        <v>0</v>
      </c>
      <c r="W58" s="40">
        <v>7400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4"/>
        <v>0</v>
      </c>
      <c r="AJ58"/>
      <c r="AK58" s="37"/>
      <c r="AM58" s="1"/>
      <c r="AN58" s="1"/>
    </row>
    <row r="59" spans="1:40" x14ac:dyDescent="0.3">
      <c r="A59" s="38">
        <v>2</v>
      </c>
      <c r="B59" s="2" t="s">
        <v>1522</v>
      </c>
      <c r="C59" s="38" t="s">
        <v>1523</v>
      </c>
      <c r="D59" s="39">
        <v>45889</v>
      </c>
      <c r="E59" s="38" t="s">
        <v>61</v>
      </c>
      <c r="F59" t="s">
        <v>156</v>
      </c>
      <c r="G59" s="40">
        <v>0</v>
      </c>
      <c r="H59" s="84">
        <v>21000</v>
      </c>
      <c r="I59" s="40">
        <v>3360</v>
      </c>
      <c r="J59" s="40">
        <f t="shared" si="1"/>
        <v>24360</v>
      </c>
      <c r="K59" s="40">
        <v>24360</v>
      </c>
      <c r="L59" s="40">
        <f t="shared" si="2"/>
        <v>0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0</v>
      </c>
      <c r="T59" s="40">
        <v>0</v>
      </c>
      <c r="U59" s="40">
        <v>0</v>
      </c>
      <c r="V59" s="40">
        <v>0</v>
      </c>
      <c r="W59" s="40">
        <v>21000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4"/>
        <v>0</v>
      </c>
      <c r="AJ59"/>
      <c r="AK59" s="37"/>
      <c r="AM59" s="1"/>
      <c r="AN59" s="1"/>
    </row>
    <row r="60" spans="1:40" x14ac:dyDescent="0.3">
      <c r="A60" s="38">
        <v>2</v>
      </c>
      <c r="B60" s="2" t="s">
        <v>1524</v>
      </c>
      <c r="C60" s="38" t="s">
        <v>1525</v>
      </c>
      <c r="D60" s="39">
        <v>45889</v>
      </c>
      <c r="E60" s="38" t="s">
        <v>61</v>
      </c>
      <c r="F60" s="38" t="s">
        <v>156</v>
      </c>
      <c r="G60" s="40">
        <v>0</v>
      </c>
      <c r="H60" s="84">
        <v>10075</v>
      </c>
      <c r="I60" s="40">
        <v>1612</v>
      </c>
      <c r="J60" s="40">
        <f t="shared" si="1"/>
        <v>11687</v>
      </c>
      <c r="K60" s="40">
        <v>11687</v>
      </c>
      <c r="L60" s="40">
        <f t="shared" si="2"/>
        <v>0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0</v>
      </c>
      <c r="T60" s="40">
        <v>0</v>
      </c>
      <c r="U60" s="40">
        <v>0</v>
      </c>
      <c r="V60" s="40">
        <v>0</v>
      </c>
      <c r="W60" s="40">
        <v>10075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4"/>
        <v>0</v>
      </c>
      <c r="AJ60"/>
      <c r="AK60" s="37"/>
      <c r="AM60" s="1"/>
      <c r="AN60" s="1"/>
    </row>
    <row r="61" spans="1:40" x14ac:dyDescent="0.3">
      <c r="A61" s="38">
        <v>2</v>
      </c>
      <c r="B61" s="2" t="s">
        <v>1528</v>
      </c>
      <c r="C61" s="38" t="s">
        <v>1529</v>
      </c>
      <c r="D61" s="39">
        <v>45890</v>
      </c>
      <c r="E61" s="38" t="s">
        <v>40</v>
      </c>
      <c r="F61" s="38" t="s">
        <v>41</v>
      </c>
      <c r="G61" s="40">
        <v>0</v>
      </c>
      <c r="H61" s="84">
        <v>12400</v>
      </c>
      <c r="I61" s="40">
        <v>1984</v>
      </c>
      <c r="J61" s="40">
        <f t="shared" si="1"/>
        <v>14384</v>
      </c>
      <c r="K61" s="40">
        <v>0</v>
      </c>
      <c r="L61" s="40">
        <f t="shared" si="2"/>
        <v>14384</v>
      </c>
      <c r="M61" s="38" t="s">
        <v>35</v>
      </c>
      <c r="N61" s="54"/>
      <c r="O61" s="36"/>
      <c r="P61" s="40">
        <v>0</v>
      </c>
      <c r="Q61" s="40">
        <v>0</v>
      </c>
      <c r="R61" s="41"/>
      <c r="S61" s="40">
        <v>4900</v>
      </c>
      <c r="T61" s="40">
        <v>0</v>
      </c>
      <c r="U61" s="40">
        <v>0</v>
      </c>
      <c r="V61" s="40">
        <v>0</v>
      </c>
      <c r="W61" s="40">
        <v>7500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si="4"/>
        <v>0</v>
      </c>
      <c r="AJ61"/>
      <c r="AK61" s="37"/>
      <c r="AM61" s="1"/>
      <c r="AN61" s="1"/>
    </row>
    <row r="62" spans="1:40" x14ac:dyDescent="0.3">
      <c r="A62" s="38">
        <v>2</v>
      </c>
      <c r="B62" s="38" t="s">
        <v>1530</v>
      </c>
      <c r="C62" s="38" t="s">
        <v>1531</v>
      </c>
      <c r="D62" s="39">
        <v>45890</v>
      </c>
      <c r="E62" s="38" t="s">
        <v>53</v>
      </c>
      <c r="F62" s="38" t="s">
        <v>199</v>
      </c>
      <c r="G62" s="40">
        <v>336</v>
      </c>
      <c r="H62" s="84">
        <f>7736-336</f>
        <v>7400</v>
      </c>
      <c r="I62" s="40">
        <v>1184</v>
      </c>
      <c r="J62" s="40">
        <f t="shared" si="1"/>
        <v>8920</v>
      </c>
      <c r="K62" s="40">
        <v>8920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336</v>
      </c>
      <c r="R62" s="41"/>
      <c r="S62" s="40">
        <v>7400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36">
        <f t="shared" si="4"/>
        <v>0</v>
      </c>
      <c r="AJ62"/>
      <c r="AK62" s="37"/>
      <c r="AM62" s="1"/>
      <c r="AN62" s="1"/>
    </row>
    <row r="63" spans="1:40" x14ac:dyDescent="0.3">
      <c r="A63" s="38">
        <v>2</v>
      </c>
      <c r="B63" s="38" t="s">
        <v>1532</v>
      </c>
      <c r="C63" s="38" t="s">
        <v>1533</v>
      </c>
      <c r="D63" s="39">
        <v>45890</v>
      </c>
      <c r="E63" s="38" t="s">
        <v>61</v>
      </c>
      <c r="F63" t="s">
        <v>156</v>
      </c>
      <c r="G63" s="40">
        <v>0</v>
      </c>
      <c r="H63" s="84">
        <v>21000</v>
      </c>
      <c r="I63" s="40">
        <v>3360</v>
      </c>
      <c r="J63" s="40">
        <f t="shared" ref="J63:J149" si="5">SUM(G63:I63)</f>
        <v>24360</v>
      </c>
      <c r="K63" s="40">
        <v>24360</v>
      </c>
      <c r="L63" s="40">
        <f t="shared" si="2"/>
        <v>0</v>
      </c>
      <c r="M63" s="38" t="s">
        <v>35</v>
      </c>
      <c r="N63" s="54"/>
      <c r="O63" s="36"/>
      <c r="P63" s="40">
        <v>0</v>
      </c>
      <c r="Q63" s="40">
        <v>0</v>
      </c>
      <c r="R63" s="41"/>
      <c r="S63" s="40">
        <v>0</v>
      </c>
      <c r="T63" s="40">
        <v>0</v>
      </c>
      <c r="U63" s="40">
        <v>0</v>
      </c>
      <c r="V63" s="40">
        <v>0</v>
      </c>
      <c r="W63" s="40">
        <v>21000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ref="AI63:AI149" si="6">+SUM(S63:AH63)-H63</f>
        <v>0</v>
      </c>
      <c r="AJ63"/>
      <c r="AK63" s="37"/>
      <c r="AM63" s="1"/>
      <c r="AN63" s="1"/>
    </row>
    <row r="64" spans="1:40" x14ac:dyDescent="0.3">
      <c r="A64" s="38">
        <v>1</v>
      </c>
      <c r="B64" s="38" t="s">
        <v>1534</v>
      </c>
      <c r="C64" s="38" t="s">
        <v>1375</v>
      </c>
      <c r="D64" s="39">
        <v>45890</v>
      </c>
      <c r="E64" s="38" t="s">
        <v>224</v>
      </c>
      <c r="F64" s="38" t="s">
        <v>1376</v>
      </c>
      <c r="G64" s="40">
        <v>1573477</v>
      </c>
      <c r="H64" s="90">
        <v>0.01</v>
      </c>
      <c r="I64" s="40">
        <v>0</v>
      </c>
      <c r="J64" s="40">
        <f t="shared" si="5"/>
        <v>1573477.01</v>
      </c>
      <c r="K64" s="40">
        <v>1573477</v>
      </c>
      <c r="L64" s="40">
        <f t="shared" ref="L64:L127" si="7">+J64-K64</f>
        <v>1.0000000009313226E-2</v>
      </c>
      <c r="M64" s="38" t="s">
        <v>35</v>
      </c>
      <c r="N64" s="54"/>
      <c r="O64" s="36"/>
      <c r="P64" s="40">
        <v>0</v>
      </c>
      <c r="Q64" s="40">
        <v>1573477</v>
      </c>
      <c r="R64" s="41"/>
      <c r="S64" s="40">
        <v>0.01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6"/>
        <v>0</v>
      </c>
      <c r="AJ64"/>
      <c r="AK64" s="37"/>
      <c r="AM64" s="1"/>
      <c r="AN64" s="1"/>
    </row>
    <row r="65" spans="1:40" x14ac:dyDescent="0.3">
      <c r="A65" s="38">
        <v>2</v>
      </c>
      <c r="B65" s="38" t="s">
        <v>1535</v>
      </c>
      <c r="C65" s="38" t="s">
        <v>1536</v>
      </c>
      <c r="D65" s="39">
        <v>45891</v>
      </c>
      <c r="E65" s="38" t="s">
        <v>22</v>
      </c>
      <c r="F65" s="38" t="s">
        <v>45</v>
      </c>
      <c r="G65" s="40">
        <v>781</v>
      </c>
      <c r="H65" s="90">
        <v>4600</v>
      </c>
      <c r="I65" s="40">
        <v>736</v>
      </c>
      <c r="J65" s="40">
        <f t="shared" si="5"/>
        <v>6117</v>
      </c>
      <c r="K65" s="40">
        <v>14005</v>
      </c>
      <c r="L65" s="40">
        <f t="shared" si="7"/>
        <v>-7888</v>
      </c>
      <c r="M65" s="38" t="s">
        <v>35</v>
      </c>
      <c r="N65" s="54"/>
      <c r="O65" s="36"/>
      <c r="P65" s="40">
        <v>0</v>
      </c>
      <c r="Q65" s="40">
        <v>781</v>
      </c>
      <c r="R65" s="41"/>
      <c r="S65" s="40">
        <v>4600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6"/>
        <v>0</v>
      </c>
      <c r="AJ65"/>
      <c r="AK65" s="37"/>
      <c r="AM65" s="1"/>
      <c r="AN65" s="1"/>
    </row>
    <row r="66" spans="1:40" x14ac:dyDescent="0.3">
      <c r="A66" s="38">
        <v>2</v>
      </c>
      <c r="B66" s="38" t="s">
        <v>1537</v>
      </c>
      <c r="C66" s="38" t="s">
        <v>1538</v>
      </c>
      <c r="D66" s="39">
        <v>45891</v>
      </c>
      <c r="E66" s="38" t="s">
        <v>22</v>
      </c>
      <c r="F66" s="38" t="s">
        <v>45</v>
      </c>
      <c r="G66" s="40">
        <v>336</v>
      </c>
      <c r="H66" s="84">
        <f>4800+6200</f>
        <v>11000</v>
      </c>
      <c r="I66" s="40">
        <v>1760</v>
      </c>
      <c r="J66" s="40">
        <f t="shared" si="5"/>
        <v>13096</v>
      </c>
      <c r="K66" s="40">
        <v>16924</v>
      </c>
      <c r="L66" s="40">
        <f t="shared" si="7"/>
        <v>-3828</v>
      </c>
      <c r="M66" s="38" t="s">
        <v>35</v>
      </c>
      <c r="N66" s="54"/>
      <c r="O66" s="36"/>
      <c r="P66" s="40">
        <v>0</v>
      </c>
      <c r="Q66" s="40">
        <v>336</v>
      </c>
      <c r="R66" s="41"/>
      <c r="S66" s="40">
        <v>4800</v>
      </c>
      <c r="T66" s="40">
        <v>0</v>
      </c>
      <c r="U66" s="40">
        <v>0</v>
      </c>
      <c r="V66" s="40">
        <v>0</v>
      </c>
      <c r="W66" s="40">
        <v>6200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si="6"/>
        <v>0</v>
      </c>
      <c r="AJ66"/>
      <c r="AK66" s="37"/>
      <c r="AM66" s="1"/>
      <c r="AN66" s="1"/>
    </row>
    <row r="67" spans="1:40" x14ac:dyDescent="0.3">
      <c r="A67" s="38">
        <v>2</v>
      </c>
      <c r="B67" s="38" t="s">
        <v>1539</v>
      </c>
      <c r="C67" s="38" t="s">
        <v>1540</v>
      </c>
      <c r="D67" s="39">
        <v>45894</v>
      </c>
      <c r="E67" s="38" t="s">
        <v>53</v>
      </c>
      <c r="F67" s="38" t="s">
        <v>199</v>
      </c>
      <c r="G67" s="40">
        <v>336</v>
      </c>
      <c r="H67" s="84">
        <f>15136-336</f>
        <v>14800</v>
      </c>
      <c r="I67" s="40">
        <v>2368</v>
      </c>
      <c r="J67" s="40">
        <f t="shared" si="5"/>
        <v>17504</v>
      </c>
      <c r="K67" s="40">
        <v>17504</v>
      </c>
      <c r="L67" s="40">
        <f t="shared" si="7"/>
        <v>0</v>
      </c>
      <c r="M67" s="38" t="s">
        <v>35</v>
      </c>
      <c r="N67" s="54"/>
      <c r="O67" s="36"/>
      <c r="P67" s="40">
        <v>0</v>
      </c>
      <c r="Q67" s="40">
        <v>336</v>
      </c>
      <c r="R67" s="41"/>
      <c r="S67" s="40">
        <f>7400+7400</f>
        <v>14800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6"/>
        <v>0</v>
      </c>
      <c r="AJ67"/>
      <c r="AK67" s="37"/>
      <c r="AM67" s="1"/>
      <c r="AN67" s="1"/>
    </row>
    <row r="68" spans="1:40" x14ac:dyDescent="0.3">
      <c r="A68" s="38">
        <v>2</v>
      </c>
      <c r="B68" s="38" t="s">
        <v>1541</v>
      </c>
      <c r="C68" s="38" t="s">
        <v>1542</v>
      </c>
      <c r="D68" s="39">
        <v>45894</v>
      </c>
      <c r="E68" s="38" t="s">
        <v>53</v>
      </c>
      <c r="F68" s="38" t="s">
        <v>199</v>
      </c>
      <c r="G68" s="40">
        <v>0</v>
      </c>
      <c r="H68" s="84">
        <f>7400+7400</f>
        <v>14800</v>
      </c>
      <c r="I68" s="40">
        <v>2368</v>
      </c>
      <c r="J68" s="40">
        <f t="shared" si="5"/>
        <v>17168</v>
      </c>
      <c r="K68" s="40">
        <v>17168</v>
      </c>
      <c r="L68" s="40">
        <f t="shared" si="7"/>
        <v>0</v>
      </c>
      <c r="M68" s="38" t="s">
        <v>35</v>
      </c>
      <c r="N68" s="54"/>
      <c r="O68" s="36"/>
      <c r="P68" s="40">
        <v>0</v>
      </c>
      <c r="Q68" s="40">
        <v>0</v>
      </c>
      <c r="R68" s="41"/>
      <c r="S68" s="40">
        <f>7400+7400</f>
        <v>14800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6"/>
        <v>0</v>
      </c>
      <c r="AJ68"/>
      <c r="AK68" s="37"/>
      <c r="AM68" s="1"/>
      <c r="AN68" s="1"/>
    </row>
    <row r="69" spans="1:40" x14ac:dyDescent="0.3">
      <c r="A69" s="38">
        <v>2</v>
      </c>
      <c r="B69" s="38" t="s">
        <v>1543</v>
      </c>
      <c r="C69" s="38" t="s">
        <v>1544</v>
      </c>
      <c r="D69" s="39">
        <v>45894</v>
      </c>
      <c r="E69" s="38" t="s">
        <v>53</v>
      </c>
      <c r="F69" s="38" t="s">
        <v>199</v>
      </c>
      <c r="G69" s="40">
        <v>782</v>
      </c>
      <c r="H69" s="84">
        <v>7400</v>
      </c>
      <c r="I69" s="40">
        <v>1184</v>
      </c>
      <c r="J69" s="40">
        <f t="shared" si="5"/>
        <v>9366</v>
      </c>
      <c r="K69" s="40">
        <v>9366</v>
      </c>
      <c r="L69" s="40">
        <f t="shared" si="7"/>
        <v>0</v>
      </c>
      <c r="M69" s="38" t="s">
        <v>35</v>
      </c>
      <c r="N69" s="54"/>
      <c r="O69" s="36"/>
      <c r="P69" s="40">
        <v>0</v>
      </c>
      <c r="Q69" s="40">
        <v>782</v>
      </c>
      <c r="R69" s="41"/>
      <c r="S69" s="40">
        <v>7400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6"/>
        <v>0</v>
      </c>
      <c r="AJ69"/>
      <c r="AK69" s="37"/>
      <c r="AM69" s="1"/>
      <c r="AN69" s="1"/>
    </row>
    <row r="70" spans="1:40" x14ac:dyDescent="0.3">
      <c r="A70" s="38">
        <v>2</v>
      </c>
      <c r="B70" s="38" t="s">
        <v>1545</v>
      </c>
      <c r="C70" s="38" t="s">
        <v>1546</v>
      </c>
      <c r="D70" s="39">
        <v>45894</v>
      </c>
      <c r="E70" s="38" t="s">
        <v>53</v>
      </c>
      <c r="F70" s="38" t="s">
        <v>199</v>
      </c>
      <c r="G70" s="40">
        <v>0</v>
      </c>
      <c r="H70" s="84">
        <f>29600+1959.31</f>
        <v>31559.31</v>
      </c>
      <c r="I70" s="40">
        <v>5049.49</v>
      </c>
      <c r="J70" s="40">
        <f t="shared" si="5"/>
        <v>36608.800000000003</v>
      </c>
      <c r="K70" s="40">
        <v>36608.800000000003</v>
      </c>
      <c r="L70" s="40">
        <f t="shared" si="7"/>
        <v>0</v>
      </c>
      <c r="M70" s="38" t="s">
        <v>35</v>
      </c>
      <c r="N70" s="54"/>
      <c r="O70" s="36"/>
      <c r="P70" s="40">
        <v>0</v>
      </c>
      <c r="Q70" s="40">
        <v>0</v>
      </c>
      <c r="R70" s="41"/>
      <c r="S70" s="40">
        <v>29600</v>
      </c>
      <c r="T70" s="40">
        <v>0</v>
      </c>
      <c r="U70" s="40">
        <v>1959.31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36">
        <f t="shared" si="6"/>
        <v>0</v>
      </c>
      <c r="AJ70"/>
      <c r="AK70" s="37"/>
      <c r="AM70" s="1"/>
      <c r="AN70" s="1"/>
    </row>
    <row r="71" spans="1:40" ht="15.6" customHeight="1" x14ac:dyDescent="0.3">
      <c r="A71" s="38">
        <v>2</v>
      </c>
      <c r="B71" s="38" t="s">
        <v>1547</v>
      </c>
      <c r="C71" s="38" t="s">
        <v>1548</v>
      </c>
      <c r="D71" s="39">
        <v>45894</v>
      </c>
      <c r="E71" s="38" t="s">
        <v>53</v>
      </c>
      <c r="F71" s="38" t="s">
        <v>199</v>
      </c>
      <c r="G71" s="40">
        <v>782</v>
      </c>
      <c r="H71" s="90">
        <v>7400</v>
      </c>
      <c r="I71" s="40">
        <v>1184</v>
      </c>
      <c r="J71" s="40">
        <f t="shared" si="5"/>
        <v>9366</v>
      </c>
      <c r="K71" s="40">
        <v>9366</v>
      </c>
      <c r="L71" s="40">
        <f t="shared" si="7"/>
        <v>0</v>
      </c>
      <c r="M71" s="38" t="s">
        <v>35</v>
      </c>
      <c r="N71" s="54"/>
      <c r="O71" s="36"/>
      <c r="P71" s="40">
        <v>0</v>
      </c>
      <c r="Q71" s="40">
        <v>782</v>
      </c>
      <c r="R71" s="41"/>
      <c r="S71" s="40">
        <v>7400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6"/>
        <v>0</v>
      </c>
      <c r="AJ71"/>
      <c r="AK71" s="37"/>
      <c r="AM71" s="1"/>
      <c r="AN71" s="1"/>
    </row>
    <row r="72" spans="1:40" ht="15.6" customHeight="1" x14ac:dyDescent="0.3">
      <c r="A72" s="38">
        <v>2</v>
      </c>
      <c r="B72" s="38" t="s">
        <v>1549</v>
      </c>
      <c r="C72" s="38" t="s">
        <v>1550</v>
      </c>
      <c r="D72" s="39">
        <v>45894</v>
      </c>
      <c r="E72" s="38" t="s">
        <v>198</v>
      </c>
      <c r="F72" s="38" t="s">
        <v>200</v>
      </c>
      <c r="G72" s="40">
        <v>0</v>
      </c>
      <c r="H72" s="84">
        <v>22000</v>
      </c>
      <c r="I72" s="40">
        <v>3520</v>
      </c>
      <c r="J72" s="40">
        <f t="shared" si="5"/>
        <v>25520</v>
      </c>
      <c r="K72" s="40">
        <v>25520</v>
      </c>
      <c r="L72" s="40">
        <f t="shared" si="7"/>
        <v>0</v>
      </c>
      <c r="M72" s="38" t="s">
        <v>35</v>
      </c>
      <c r="N72" s="54"/>
      <c r="O72" s="36"/>
      <c r="P72" s="40">
        <v>0</v>
      </c>
      <c r="Q72" s="40">
        <v>0</v>
      </c>
      <c r="R72" s="41"/>
      <c r="S72" s="40">
        <v>0</v>
      </c>
      <c r="T72" s="40">
        <v>0</v>
      </c>
      <c r="U72" s="40">
        <v>0</v>
      </c>
      <c r="V72" s="40">
        <v>0</v>
      </c>
      <c r="W72" s="40">
        <v>22000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36">
        <f t="shared" si="6"/>
        <v>0</v>
      </c>
      <c r="AJ72"/>
      <c r="AK72" s="37"/>
      <c r="AM72" s="1"/>
      <c r="AN72" s="1"/>
    </row>
    <row r="73" spans="1:40" ht="15.6" customHeight="1" x14ac:dyDescent="0.3">
      <c r="A73" s="38">
        <v>1</v>
      </c>
      <c r="B73" s="38" t="s">
        <v>1551</v>
      </c>
      <c r="C73" s="38" t="s">
        <v>1367</v>
      </c>
      <c r="D73" s="39">
        <v>45894</v>
      </c>
      <c r="E73" s="38" t="s">
        <v>53</v>
      </c>
      <c r="F73" s="38" t="s">
        <v>199</v>
      </c>
      <c r="G73" s="40">
        <v>428</v>
      </c>
      <c r="H73" s="84">
        <v>3000</v>
      </c>
      <c r="I73" s="40">
        <v>480</v>
      </c>
      <c r="J73" s="40">
        <f t="shared" si="5"/>
        <v>3908</v>
      </c>
      <c r="K73" s="40">
        <v>3908</v>
      </c>
      <c r="L73" s="40">
        <f t="shared" si="7"/>
        <v>0</v>
      </c>
      <c r="M73" s="38" t="s">
        <v>35</v>
      </c>
      <c r="N73" s="54"/>
      <c r="O73" s="36"/>
      <c r="P73" s="40">
        <v>0</v>
      </c>
      <c r="Q73" s="40">
        <v>428</v>
      </c>
      <c r="R73" s="41"/>
      <c r="S73" s="40">
        <v>3000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6"/>
        <v>0</v>
      </c>
      <c r="AJ73"/>
      <c r="AK73" s="37"/>
      <c r="AM73" s="1"/>
      <c r="AN73" s="1"/>
    </row>
    <row r="74" spans="1:40" ht="15.6" customHeight="1" x14ac:dyDescent="0.3">
      <c r="A74" s="38">
        <v>2</v>
      </c>
      <c r="B74" s="38" t="s">
        <v>1552</v>
      </c>
      <c r="C74" s="38" t="s">
        <v>1553</v>
      </c>
      <c r="D74" s="39">
        <v>45894</v>
      </c>
      <c r="E74" s="38" t="s">
        <v>22</v>
      </c>
      <c r="F74" s="38" t="s">
        <v>45</v>
      </c>
      <c r="G74" s="40">
        <f>336+336</f>
        <v>672</v>
      </c>
      <c r="H74" s="84">
        <f>43572-336-336</f>
        <v>42900</v>
      </c>
      <c r="I74" s="40">
        <v>6864</v>
      </c>
      <c r="J74" s="40">
        <f t="shared" si="5"/>
        <v>50436</v>
      </c>
      <c r="K74" s="40">
        <v>53252</v>
      </c>
      <c r="L74" s="40">
        <f t="shared" si="7"/>
        <v>-2816</v>
      </c>
      <c r="M74" s="38" t="s">
        <v>35</v>
      </c>
      <c r="N74" s="54"/>
      <c r="O74" s="36"/>
      <c r="P74" s="40">
        <v>0</v>
      </c>
      <c r="Q74" s="40">
        <v>672</v>
      </c>
      <c r="R74" s="41"/>
      <c r="S74" s="40">
        <v>9600</v>
      </c>
      <c r="T74" s="40">
        <v>0</v>
      </c>
      <c r="U74" s="40">
        <v>3000</v>
      </c>
      <c r="V74" s="40">
        <v>0</v>
      </c>
      <c r="W74" s="40">
        <f>22500+7800</f>
        <v>30300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6"/>
        <v>0</v>
      </c>
      <c r="AJ74"/>
      <c r="AK74" s="37"/>
      <c r="AM74" s="1"/>
      <c r="AN74" s="1"/>
    </row>
    <row r="75" spans="1:40" ht="15.6" customHeight="1" x14ac:dyDescent="0.3">
      <c r="A75" s="38">
        <v>2</v>
      </c>
      <c r="B75" s="38" t="s">
        <v>1554</v>
      </c>
      <c r="C75" s="38" t="s">
        <v>1555</v>
      </c>
      <c r="D75" s="39">
        <v>45894</v>
      </c>
      <c r="E75" s="38" t="s">
        <v>22</v>
      </c>
      <c r="F75" s="38" t="s">
        <v>45</v>
      </c>
      <c r="G75" s="40">
        <v>90641</v>
      </c>
      <c r="H75" s="84">
        <f>4200+25500</f>
        <v>29700</v>
      </c>
      <c r="I75" s="40">
        <v>4752</v>
      </c>
      <c r="J75" s="40">
        <f t="shared" si="5"/>
        <v>125093</v>
      </c>
      <c r="K75" s="40">
        <v>125093</v>
      </c>
      <c r="L75" s="40">
        <f t="shared" si="7"/>
        <v>0</v>
      </c>
      <c r="M75" s="38" t="s">
        <v>35</v>
      </c>
      <c r="N75" s="54"/>
      <c r="O75" s="36"/>
      <c r="P75" s="40">
        <v>0</v>
      </c>
      <c r="Q75" s="40">
        <v>90641</v>
      </c>
      <c r="R75" s="41"/>
      <c r="S75" s="40">
        <v>4200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25500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6"/>
        <v>0</v>
      </c>
      <c r="AJ75"/>
      <c r="AK75" s="37"/>
      <c r="AM75" s="1"/>
      <c r="AN75" s="1"/>
    </row>
    <row r="76" spans="1:40" ht="15.6" customHeight="1" x14ac:dyDescent="0.3">
      <c r="A76" s="38">
        <v>1</v>
      </c>
      <c r="B76" s="38" t="s">
        <v>1556</v>
      </c>
      <c r="C76" s="38" t="s">
        <v>1557</v>
      </c>
      <c r="D76" s="39">
        <v>45894</v>
      </c>
      <c r="E76" s="38" t="s">
        <v>40</v>
      </c>
      <c r="F76" s="38" t="s">
        <v>41</v>
      </c>
      <c r="G76" s="40">
        <v>0</v>
      </c>
      <c r="H76" s="84">
        <v>3540</v>
      </c>
      <c r="I76" s="40">
        <v>566.4</v>
      </c>
      <c r="J76" s="40">
        <f t="shared" si="5"/>
        <v>4106.3999999999996</v>
      </c>
      <c r="K76" s="40">
        <v>0</v>
      </c>
      <c r="L76" s="40">
        <f t="shared" si="7"/>
        <v>4106.3999999999996</v>
      </c>
      <c r="M76" s="38" t="s">
        <v>35</v>
      </c>
      <c r="N76" s="54"/>
      <c r="O76" s="36"/>
      <c r="P76" s="40">
        <v>0</v>
      </c>
      <c r="Q76" s="40">
        <v>0</v>
      </c>
      <c r="R76" s="41"/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3540</v>
      </c>
      <c r="AG76" s="40">
        <v>0</v>
      </c>
      <c r="AH76" s="40">
        <v>0</v>
      </c>
      <c r="AI76" s="36">
        <f t="shared" si="6"/>
        <v>0</v>
      </c>
      <c r="AJ76"/>
      <c r="AK76" s="37"/>
      <c r="AM76" s="1"/>
      <c r="AN76" s="1"/>
    </row>
    <row r="77" spans="1:40" ht="15.6" customHeight="1" x14ac:dyDescent="0.3">
      <c r="A77" s="38">
        <v>2</v>
      </c>
      <c r="B77" s="38" t="s">
        <v>1558</v>
      </c>
      <c r="C77" s="38" t="s">
        <v>1559</v>
      </c>
      <c r="D77" s="39">
        <v>45894</v>
      </c>
      <c r="E77" s="38" t="s">
        <v>22</v>
      </c>
      <c r="F77" s="38" t="s">
        <v>45</v>
      </c>
      <c r="G77" s="40">
        <v>0</v>
      </c>
      <c r="H77" s="84">
        <v>780</v>
      </c>
      <c r="I77" s="40">
        <v>124.8</v>
      </c>
      <c r="J77" s="40">
        <f t="shared" si="5"/>
        <v>904.8</v>
      </c>
      <c r="K77" s="40">
        <v>904.8</v>
      </c>
      <c r="L77" s="40">
        <f t="shared" si="7"/>
        <v>0</v>
      </c>
      <c r="M77" s="38" t="s">
        <v>35</v>
      </c>
      <c r="N77" s="54"/>
      <c r="O77" s="36"/>
      <c r="P77" s="40">
        <v>0</v>
      </c>
      <c r="Q77" s="40">
        <v>0</v>
      </c>
      <c r="R77" s="41"/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780</v>
      </c>
      <c r="AH77" s="40">
        <v>0</v>
      </c>
      <c r="AI77" s="36">
        <f t="shared" si="6"/>
        <v>0</v>
      </c>
      <c r="AJ77"/>
      <c r="AK77" s="37"/>
      <c r="AM77" s="1"/>
      <c r="AN77" s="1"/>
    </row>
    <row r="78" spans="1:40" ht="15.6" customHeight="1" x14ac:dyDescent="0.3">
      <c r="A78" s="38">
        <v>2</v>
      </c>
      <c r="B78" s="38" t="s">
        <v>1560</v>
      </c>
      <c r="C78" s="38" t="s">
        <v>1561</v>
      </c>
      <c r="D78" s="39">
        <v>45894</v>
      </c>
      <c r="E78" s="38" t="s">
        <v>22</v>
      </c>
      <c r="F78" s="38" t="s">
        <v>45</v>
      </c>
      <c r="G78" s="40">
        <v>781</v>
      </c>
      <c r="H78" s="84">
        <v>4800</v>
      </c>
      <c r="I78" s="40">
        <v>768</v>
      </c>
      <c r="J78" s="40">
        <f t="shared" si="5"/>
        <v>6349</v>
      </c>
      <c r="K78" s="40">
        <v>12729</v>
      </c>
      <c r="L78" s="40">
        <f t="shared" si="7"/>
        <v>-6380</v>
      </c>
      <c r="M78" s="38" t="s">
        <v>35</v>
      </c>
      <c r="N78" s="54"/>
      <c r="O78" s="36"/>
      <c r="P78" s="40">
        <v>0</v>
      </c>
      <c r="Q78" s="40">
        <v>781</v>
      </c>
      <c r="R78" s="41"/>
      <c r="S78" s="40">
        <v>4800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6"/>
        <v>0</v>
      </c>
      <c r="AJ78"/>
      <c r="AK78" s="37"/>
      <c r="AM78" s="1"/>
      <c r="AN78" s="1"/>
    </row>
    <row r="79" spans="1:40" ht="15.6" customHeight="1" x14ac:dyDescent="0.3">
      <c r="A79" s="38">
        <v>2</v>
      </c>
      <c r="B79" s="38" t="s">
        <v>1562</v>
      </c>
      <c r="C79" s="38" t="s">
        <v>1563</v>
      </c>
      <c r="D79" s="39">
        <v>45894</v>
      </c>
      <c r="E79" s="38" t="s">
        <v>53</v>
      </c>
      <c r="F79" s="38" t="s">
        <v>199</v>
      </c>
      <c r="G79" s="40">
        <v>782</v>
      </c>
      <c r="H79" s="84">
        <v>7400</v>
      </c>
      <c r="I79" s="40">
        <v>1184</v>
      </c>
      <c r="J79" s="40">
        <f t="shared" si="5"/>
        <v>9366</v>
      </c>
      <c r="K79" s="40">
        <v>9366</v>
      </c>
      <c r="L79" s="40">
        <f t="shared" si="7"/>
        <v>0</v>
      </c>
      <c r="M79" s="38" t="s">
        <v>35</v>
      </c>
      <c r="N79" s="54"/>
      <c r="O79" s="36"/>
      <c r="P79" s="40">
        <v>0</v>
      </c>
      <c r="Q79" s="40">
        <v>782</v>
      </c>
      <c r="R79" s="41"/>
      <c r="S79" s="40">
        <v>7400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6"/>
        <v>0</v>
      </c>
      <c r="AJ79"/>
      <c r="AK79" s="37"/>
      <c r="AM79" s="1"/>
      <c r="AN79" s="1"/>
    </row>
    <row r="80" spans="1:40" ht="15.6" customHeight="1" x14ac:dyDescent="0.3">
      <c r="A80" s="38">
        <v>2</v>
      </c>
      <c r="B80" s="38" t="s">
        <v>1564</v>
      </c>
      <c r="C80" s="38" t="s">
        <v>1565</v>
      </c>
      <c r="D80" s="39">
        <v>45895</v>
      </c>
      <c r="E80" s="38" t="s">
        <v>22</v>
      </c>
      <c r="F80" s="38" t="s">
        <v>45</v>
      </c>
      <c r="G80" s="40">
        <v>6098</v>
      </c>
      <c r="H80" s="84">
        <v>4000</v>
      </c>
      <c r="I80" s="40">
        <v>640</v>
      </c>
      <c r="J80" s="40">
        <f t="shared" si="5"/>
        <v>10738</v>
      </c>
      <c r="K80" s="40">
        <v>10738</v>
      </c>
      <c r="L80" s="40">
        <f t="shared" si="7"/>
        <v>0</v>
      </c>
      <c r="M80" s="38" t="s">
        <v>35</v>
      </c>
      <c r="N80" s="54"/>
      <c r="O80" s="36"/>
      <c r="P80" s="40">
        <v>0</v>
      </c>
      <c r="Q80" s="40">
        <v>6098</v>
      </c>
      <c r="R80" s="41"/>
      <c r="S80" s="40">
        <v>4000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36">
        <f t="shared" si="6"/>
        <v>0</v>
      </c>
      <c r="AJ80"/>
      <c r="AK80" s="37"/>
      <c r="AM80" s="1"/>
      <c r="AN80" s="1"/>
    </row>
    <row r="81" spans="1:40" ht="15.6" customHeight="1" x14ac:dyDescent="0.3">
      <c r="A81" s="38">
        <v>2</v>
      </c>
      <c r="B81" s="38" t="s">
        <v>1566</v>
      </c>
      <c r="C81" s="38" t="s">
        <v>1567</v>
      </c>
      <c r="D81" s="39">
        <v>45895</v>
      </c>
      <c r="E81" s="38" t="s">
        <v>22</v>
      </c>
      <c r="F81" s="38" t="s">
        <v>45</v>
      </c>
      <c r="G81" s="40">
        <v>781</v>
      </c>
      <c r="H81" s="84">
        <v>4200</v>
      </c>
      <c r="I81" s="40">
        <v>672</v>
      </c>
      <c r="J81" s="40">
        <f t="shared" si="5"/>
        <v>5653</v>
      </c>
      <c r="K81" s="40">
        <v>5653</v>
      </c>
      <c r="L81" s="40">
        <f t="shared" si="7"/>
        <v>0</v>
      </c>
      <c r="M81" s="38" t="s">
        <v>35</v>
      </c>
      <c r="N81" s="54"/>
      <c r="O81" s="36"/>
      <c r="P81" s="40">
        <v>0</v>
      </c>
      <c r="Q81" s="40">
        <v>781</v>
      </c>
      <c r="R81" s="41"/>
      <c r="S81" s="40">
        <v>4200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36">
        <f t="shared" si="6"/>
        <v>0</v>
      </c>
      <c r="AJ81"/>
      <c r="AK81" s="37"/>
      <c r="AM81" s="1"/>
      <c r="AN81" s="1"/>
    </row>
    <row r="82" spans="1:40" ht="15.6" customHeight="1" x14ac:dyDescent="0.3">
      <c r="A82" s="38">
        <v>2</v>
      </c>
      <c r="B82" s="38" t="s">
        <v>1568</v>
      </c>
      <c r="C82" s="38" t="s">
        <v>1569</v>
      </c>
      <c r="D82" s="39">
        <v>45895</v>
      </c>
      <c r="E82" s="38" t="s">
        <v>198</v>
      </c>
      <c r="F82" s="38" t="s">
        <v>200</v>
      </c>
      <c r="G82" s="40">
        <v>0</v>
      </c>
      <c r="H82" s="84">
        <v>22000</v>
      </c>
      <c r="I82" s="40">
        <v>3520</v>
      </c>
      <c r="J82" s="40">
        <f t="shared" si="5"/>
        <v>25520</v>
      </c>
      <c r="K82" s="40">
        <v>25520</v>
      </c>
      <c r="L82" s="40">
        <f t="shared" si="7"/>
        <v>0</v>
      </c>
      <c r="M82" s="38" t="s">
        <v>35</v>
      </c>
      <c r="N82" s="54"/>
      <c r="O82" s="36"/>
      <c r="P82" s="40">
        <v>0</v>
      </c>
      <c r="Q82" s="40">
        <v>0</v>
      </c>
      <c r="R82" s="41"/>
      <c r="S82" s="40">
        <v>0</v>
      </c>
      <c r="T82" s="40">
        <v>0</v>
      </c>
      <c r="U82" s="40">
        <v>0</v>
      </c>
      <c r="V82" s="40">
        <v>0</v>
      </c>
      <c r="W82" s="40">
        <v>22000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6"/>
        <v>0</v>
      </c>
      <c r="AJ82"/>
      <c r="AK82" s="37"/>
      <c r="AM82" s="1"/>
      <c r="AN82" s="1"/>
    </row>
    <row r="83" spans="1:40" ht="15.6" customHeight="1" x14ac:dyDescent="0.3">
      <c r="A83" s="38">
        <v>2</v>
      </c>
      <c r="B83" s="38" t="s">
        <v>1572</v>
      </c>
      <c r="C83" s="38" t="s">
        <v>1571</v>
      </c>
      <c r="D83" s="39">
        <v>45895</v>
      </c>
      <c r="E83" s="38" t="s">
        <v>40</v>
      </c>
      <c r="F83" s="38" t="s">
        <v>41</v>
      </c>
      <c r="G83" s="40">
        <v>0</v>
      </c>
      <c r="H83" s="84">
        <f>4200+7500</f>
        <v>11700</v>
      </c>
      <c r="I83" s="40">
        <v>1872</v>
      </c>
      <c r="J83" s="40">
        <f t="shared" si="5"/>
        <v>13572</v>
      </c>
      <c r="K83" s="40">
        <v>0</v>
      </c>
      <c r="L83" s="40">
        <f t="shared" si="7"/>
        <v>13572</v>
      </c>
      <c r="M83" s="38" t="s">
        <v>35</v>
      </c>
      <c r="N83" s="54"/>
      <c r="O83" s="36"/>
      <c r="P83" s="40">
        <v>0</v>
      </c>
      <c r="Q83" s="40">
        <v>0</v>
      </c>
      <c r="R83" s="41"/>
      <c r="S83" s="40">
        <v>4200</v>
      </c>
      <c r="T83" s="40">
        <v>0</v>
      </c>
      <c r="U83" s="40">
        <v>0</v>
      </c>
      <c r="V83" s="40">
        <v>0</v>
      </c>
      <c r="W83" s="40">
        <v>7500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6"/>
        <v>0</v>
      </c>
      <c r="AJ83"/>
      <c r="AK83" s="37"/>
      <c r="AM83" s="1"/>
      <c r="AN83" s="1"/>
    </row>
    <row r="84" spans="1:40" ht="15.6" customHeight="1" x14ac:dyDescent="0.3">
      <c r="A84" s="38">
        <v>1</v>
      </c>
      <c r="B84" s="38" t="s">
        <v>1573</v>
      </c>
      <c r="C84" s="38" t="s">
        <v>1574</v>
      </c>
      <c r="D84" s="39">
        <v>45896</v>
      </c>
      <c r="E84" s="38" t="s">
        <v>40</v>
      </c>
      <c r="F84" s="38" t="s">
        <v>41</v>
      </c>
      <c r="G84" s="40">
        <v>0</v>
      </c>
      <c r="H84" s="84">
        <v>3540</v>
      </c>
      <c r="I84" s="40">
        <v>566.4</v>
      </c>
      <c r="J84" s="40">
        <f t="shared" si="5"/>
        <v>4106.3999999999996</v>
      </c>
      <c r="K84" s="40">
        <v>0</v>
      </c>
      <c r="L84" s="40">
        <f t="shared" si="7"/>
        <v>4106.3999999999996</v>
      </c>
      <c r="M84" s="38" t="s">
        <v>35</v>
      </c>
      <c r="N84" s="54"/>
      <c r="O84" s="36"/>
      <c r="P84" s="40">
        <v>0</v>
      </c>
      <c r="Q84" s="40">
        <v>0</v>
      </c>
      <c r="R84" s="41"/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3540</v>
      </c>
      <c r="AG84" s="40">
        <v>0</v>
      </c>
      <c r="AH84" s="40">
        <v>0</v>
      </c>
      <c r="AI84" s="36">
        <f t="shared" si="6"/>
        <v>0</v>
      </c>
      <c r="AJ84"/>
      <c r="AK84" s="37"/>
      <c r="AM84" s="1"/>
      <c r="AN84" s="1"/>
    </row>
    <row r="85" spans="1:40" ht="15.6" customHeight="1" x14ac:dyDescent="0.3">
      <c r="A85" s="38">
        <v>1</v>
      </c>
      <c r="B85" s="38" t="s">
        <v>1575</v>
      </c>
      <c r="C85" s="38" t="s">
        <v>1268</v>
      </c>
      <c r="D85" s="39">
        <v>45896</v>
      </c>
      <c r="E85" s="38" t="s">
        <v>40</v>
      </c>
      <c r="F85" s="38" t="s">
        <v>41</v>
      </c>
      <c r="G85" s="40">
        <v>0</v>
      </c>
      <c r="H85" s="84">
        <v>101989.99</v>
      </c>
      <c r="I85" s="40">
        <v>16318.4</v>
      </c>
      <c r="J85" s="40">
        <f t="shared" si="5"/>
        <v>118308.39</v>
      </c>
      <c r="K85" s="40">
        <v>0</v>
      </c>
      <c r="L85" s="40">
        <f t="shared" si="7"/>
        <v>118308.39</v>
      </c>
      <c r="M85" s="38" t="s">
        <v>35</v>
      </c>
      <c r="N85" s="54"/>
      <c r="O85" s="36"/>
      <c r="P85" s="40">
        <v>0</v>
      </c>
      <c r="Q85" s="40">
        <v>0</v>
      </c>
      <c r="R85" s="41"/>
      <c r="S85" s="40">
        <v>5585.76</v>
      </c>
      <c r="T85" s="40">
        <v>1332.19</v>
      </c>
      <c r="U85" s="40">
        <v>29072.04</v>
      </c>
      <c r="V85" s="40">
        <v>0</v>
      </c>
      <c r="W85" s="40">
        <v>66000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6"/>
        <v>0</v>
      </c>
      <c r="AJ85"/>
      <c r="AK85" s="37"/>
      <c r="AM85" s="1"/>
      <c r="AN85" s="1"/>
    </row>
    <row r="86" spans="1:40" ht="15.6" customHeight="1" x14ac:dyDescent="0.3">
      <c r="A86" s="38">
        <v>1</v>
      </c>
      <c r="B86" s="38" t="s">
        <v>1576</v>
      </c>
      <c r="C86" s="38" t="s">
        <v>1577</v>
      </c>
      <c r="D86" s="39">
        <v>45896</v>
      </c>
      <c r="E86" s="38" t="s">
        <v>40</v>
      </c>
      <c r="F86" s="38" t="s">
        <v>41</v>
      </c>
      <c r="G86" s="40">
        <v>0</v>
      </c>
      <c r="H86" s="84">
        <v>20658.98</v>
      </c>
      <c r="I86" s="40">
        <v>3305.43</v>
      </c>
      <c r="J86" s="40">
        <f t="shared" si="5"/>
        <v>23964.41</v>
      </c>
      <c r="K86" s="40">
        <v>0</v>
      </c>
      <c r="L86" s="40">
        <f t="shared" si="7"/>
        <v>23964.41</v>
      </c>
      <c r="M86" s="38" t="s">
        <v>35</v>
      </c>
      <c r="N86" s="54"/>
      <c r="O86" s="36"/>
      <c r="P86" s="40">
        <v>0</v>
      </c>
      <c r="Q86" s="40">
        <v>0</v>
      </c>
      <c r="R86" s="41"/>
      <c r="S86" s="40">
        <v>11270.4</v>
      </c>
      <c r="T86" s="40">
        <v>0</v>
      </c>
      <c r="U86" s="40">
        <v>3713.58</v>
      </c>
      <c r="V86" s="40">
        <v>0</v>
      </c>
      <c r="W86" s="40">
        <f>2500+2500</f>
        <v>5000</v>
      </c>
      <c r="X86" s="40">
        <v>0</v>
      </c>
      <c r="Y86" s="40">
        <v>0</v>
      </c>
      <c r="Z86" s="40">
        <v>0</v>
      </c>
      <c r="AA86" s="40">
        <v>675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6"/>
        <v>0</v>
      </c>
      <c r="AJ86"/>
      <c r="AK86" s="37"/>
      <c r="AM86" s="1"/>
      <c r="AN86" s="1"/>
    </row>
    <row r="87" spans="1:40" ht="15.6" customHeight="1" x14ac:dyDescent="0.3">
      <c r="A87" s="38">
        <v>1</v>
      </c>
      <c r="B87" s="38" t="s">
        <v>1578</v>
      </c>
      <c r="C87" s="38" t="s">
        <v>1579</v>
      </c>
      <c r="D87" s="39">
        <v>45896</v>
      </c>
      <c r="E87" s="38" t="s">
        <v>40</v>
      </c>
      <c r="F87" s="38" t="s">
        <v>41</v>
      </c>
      <c r="G87" s="40">
        <v>0</v>
      </c>
      <c r="H87" s="84">
        <v>101132.04</v>
      </c>
      <c r="I87" s="40">
        <v>16181.13</v>
      </c>
      <c r="J87" s="40">
        <f t="shared" si="5"/>
        <v>117313.17</v>
      </c>
      <c r="K87" s="40">
        <v>0</v>
      </c>
      <c r="L87" s="40">
        <f t="shared" si="7"/>
        <v>117313.17</v>
      </c>
      <c r="M87" s="38" t="s">
        <v>35</v>
      </c>
      <c r="N87" s="54"/>
      <c r="O87" s="36"/>
      <c r="P87" s="40">
        <v>0</v>
      </c>
      <c r="Q87" s="40">
        <v>0</v>
      </c>
      <c r="R87" s="41"/>
      <c r="S87" s="40">
        <v>5600</v>
      </c>
      <c r="T87" s="40">
        <v>0</v>
      </c>
      <c r="U87" s="40">
        <v>29072.04</v>
      </c>
      <c r="V87" s="40">
        <v>0</v>
      </c>
      <c r="W87" s="40">
        <f>460+66000</f>
        <v>66460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6"/>
        <v>0</v>
      </c>
      <c r="AJ87"/>
      <c r="AK87" s="37"/>
      <c r="AM87" s="1"/>
      <c r="AN87" s="1"/>
    </row>
    <row r="88" spans="1:40" ht="15.6" customHeight="1" x14ac:dyDescent="0.3">
      <c r="A88" s="38">
        <v>1</v>
      </c>
      <c r="B88" s="38" t="s">
        <v>1580</v>
      </c>
      <c r="C88" s="38" t="s">
        <v>1226</v>
      </c>
      <c r="D88" s="39">
        <v>45896</v>
      </c>
      <c r="E88" s="38" t="s">
        <v>1227</v>
      </c>
      <c r="F88" s="38" t="s">
        <v>1228</v>
      </c>
      <c r="G88" s="40">
        <v>482450</v>
      </c>
      <c r="H88" s="84">
        <f>668733.57-G88</f>
        <v>186283.56999999995</v>
      </c>
      <c r="I88" s="40">
        <v>29805.37</v>
      </c>
      <c r="J88" s="40">
        <f t="shared" si="5"/>
        <v>698538.94</v>
      </c>
      <c r="K88" s="40">
        <v>698538.94</v>
      </c>
      <c r="L88" s="40">
        <f t="shared" si="7"/>
        <v>0</v>
      </c>
      <c r="M88" s="38" t="s">
        <v>35</v>
      </c>
      <c r="N88" s="54"/>
      <c r="O88" s="36"/>
      <c r="P88" s="40">
        <v>0</v>
      </c>
      <c r="Q88" s="40">
        <v>482450</v>
      </c>
      <c r="R88" s="41"/>
      <c r="S88" s="40">
        <v>7500</v>
      </c>
      <c r="T88" s="40">
        <v>0</v>
      </c>
      <c r="U88" s="40">
        <f>41935.93+13575+17660</f>
        <v>73170.929999999993</v>
      </c>
      <c r="V88" s="40">
        <v>59612.639999999999</v>
      </c>
      <c r="W88" s="40">
        <v>46000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6"/>
        <v>0</v>
      </c>
      <c r="AJ88"/>
      <c r="AK88" s="37"/>
      <c r="AM88" s="1"/>
      <c r="AN88" s="1"/>
    </row>
    <row r="89" spans="1:40" ht="15.6" customHeight="1" x14ac:dyDescent="0.3">
      <c r="A89" s="38">
        <v>2</v>
      </c>
      <c r="B89" s="38" t="s">
        <v>1581</v>
      </c>
      <c r="C89" s="38" t="s">
        <v>1582</v>
      </c>
      <c r="D89" s="39">
        <v>45896</v>
      </c>
      <c r="E89" s="38" t="s">
        <v>53</v>
      </c>
      <c r="F89" s="38" t="s">
        <v>199</v>
      </c>
      <c r="G89" s="40">
        <v>336</v>
      </c>
      <c r="H89" s="84">
        <v>7400</v>
      </c>
      <c r="I89" s="40">
        <v>1184</v>
      </c>
      <c r="J89" s="40">
        <f t="shared" si="5"/>
        <v>8920</v>
      </c>
      <c r="K89" s="40">
        <v>8920</v>
      </c>
      <c r="L89" s="40">
        <f t="shared" si="7"/>
        <v>0</v>
      </c>
      <c r="M89" s="38" t="s">
        <v>35</v>
      </c>
      <c r="N89" s="54"/>
      <c r="O89" s="36"/>
      <c r="P89" s="40">
        <v>0</v>
      </c>
      <c r="Q89" s="40">
        <v>336</v>
      </c>
      <c r="R89" s="41"/>
      <c r="S89" s="40">
        <v>7400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6"/>
        <v>0</v>
      </c>
      <c r="AJ89"/>
      <c r="AK89" s="37"/>
      <c r="AM89" s="1"/>
      <c r="AN89" s="1"/>
    </row>
    <row r="90" spans="1:40" ht="15.6" customHeight="1" x14ac:dyDescent="0.3">
      <c r="A90" s="38">
        <v>1</v>
      </c>
      <c r="B90" s="38" t="s">
        <v>1583</v>
      </c>
      <c r="C90" s="38" t="s">
        <v>1584</v>
      </c>
      <c r="D90" s="39">
        <v>45896</v>
      </c>
      <c r="E90" s="38" t="s">
        <v>223</v>
      </c>
      <c r="F90" s="38" t="s">
        <v>1178</v>
      </c>
      <c r="G90" s="40">
        <v>4911</v>
      </c>
      <c r="H90" s="90">
        <f>24411-G90</f>
        <v>19500</v>
      </c>
      <c r="I90" s="40">
        <v>3120</v>
      </c>
      <c r="J90" s="40">
        <f t="shared" si="5"/>
        <v>27531</v>
      </c>
      <c r="K90" s="40">
        <v>27535</v>
      </c>
      <c r="L90" s="40">
        <f t="shared" si="7"/>
        <v>-4</v>
      </c>
      <c r="M90" s="38" t="s">
        <v>35</v>
      </c>
      <c r="N90" s="54"/>
      <c r="O90" s="36"/>
      <c r="P90" s="40">
        <v>0</v>
      </c>
      <c r="Q90" s="40">
        <v>4911</v>
      </c>
      <c r="R90" s="41"/>
      <c r="S90" s="40">
        <v>6500</v>
      </c>
      <c r="T90" s="40">
        <v>1500</v>
      </c>
      <c r="U90" s="40">
        <v>9300</v>
      </c>
      <c r="V90" s="40">
        <v>0</v>
      </c>
      <c r="W90" s="40">
        <v>2200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6"/>
        <v>0</v>
      </c>
      <c r="AJ90"/>
      <c r="AK90" s="37"/>
      <c r="AM90" s="1"/>
      <c r="AN90" s="1"/>
    </row>
    <row r="91" spans="1:40" ht="15.6" customHeight="1" x14ac:dyDescent="0.3">
      <c r="A91" s="38">
        <v>1</v>
      </c>
      <c r="B91" s="38" t="s">
        <v>1585</v>
      </c>
      <c r="C91" s="38" t="s">
        <v>1586</v>
      </c>
      <c r="D91" s="39">
        <v>45896</v>
      </c>
      <c r="E91" s="38" t="s">
        <v>42</v>
      </c>
      <c r="F91" s="38" t="s">
        <v>1587</v>
      </c>
      <c r="G91" s="40">
        <v>2531</v>
      </c>
      <c r="H91" s="90">
        <f>13452.41-G91</f>
        <v>10921.41</v>
      </c>
      <c r="I91" s="40">
        <v>1747.42</v>
      </c>
      <c r="J91" s="40">
        <f t="shared" si="5"/>
        <v>15199.83</v>
      </c>
      <c r="K91" s="40">
        <v>16128.98</v>
      </c>
      <c r="L91" s="40">
        <f t="shared" si="7"/>
        <v>-929.14999999999964</v>
      </c>
      <c r="M91" s="38" t="s">
        <v>35</v>
      </c>
      <c r="N91" s="54"/>
      <c r="O91" s="36"/>
      <c r="P91" s="40">
        <v>0</v>
      </c>
      <c r="Q91" s="40">
        <v>2531</v>
      </c>
      <c r="R91" s="41"/>
      <c r="S91" s="40">
        <v>6755.39</v>
      </c>
      <c r="T91" s="40">
        <v>0</v>
      </c>
      <c r="U91" s="40">
        <v>4166.0200000000004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36">
        <f t="shared" si="6"/>
        <v>0</v>
      </c>
      <c r="AJ91"/>
      <c r="AK91" s="37"/>
      <c r="AM91" s="1"/>
      <c r="AN91" s="1"/>
    </row>
    <row r="92" spans="1:40" ht="15.6" customHeight="1" x14ac:dyDescent="0.3">
      <c r="A92" s="38">
        <v>1</v>
      </c>
      <c r="B92" s="38" t="s">
        <v>1588</v>
      </c>
      <c r="C92" s="38" t="s">
        <v>1589</v>
      </c>
      <c r="D92" s="39">
        <v>45896</v>
      </c>
      <c r="E92" s="38" t="s">
        <v>1590</v>
      </c>
      <c r="F92" s="38" t="s">
        <v>1591</v>
      </c>
      <c r="G92" s="40">
        <v>1674</v>
      </c>
      <c r="H92" s="90">
        <f>23443.67-G92</f>
        <v>21769.67</v>
      </c>
      <c r="I92" s="40">
        <v>3483.15</v>
      </c>
      <c r="J92" s="40">
        <f t="shared" si="5"/>
        <v>26926.82</v>
      </c>
      <c r="K92" s="40">
        <v>56425</v>
      </c>
      <c r="L92" s="40">
        <f t="shared" si="7"/>
        <v>-29498.18</v>
      </c>
      <c r="M92" s="38" t="s">
        <v>35</v>
      </c>
      <c r="N92" s="54"/>
      <c r="O92" s="36"/>
      <c r="P92" s="40">
        <v>0</v>
      </c>
      <c r="Q92" s="40">
        <v>1674</v>
      </c>
      <c r="R92" s="41"/>
      <c r="S92" s="40">
        <v>7400</v>
      </c>
      <c r="T92" s="40">
        <v>1334</v>
      </c>
      <c r="U92" s="40">
        <f>2461.23+3599.13+936.46</f>
        <v>6996.8200000000006</v>
      </c>
      <c r="V92" s="40">
        <v>3038.85</v>
      </c>
      <c r="W92" s="40">
        <v>0</v>
      </c>
      <c r="X92" s="40">
        <v>3000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36">
        <f t="shared" si="6"/>
        <v>0</v>
      </c>
      <c r="AJ92"/>
      <c r="AK92" s="37"/>
      <c r="AM92" s="1"/>
      <c r="AN92" s="1"/>
    </row>
    <row r="93" spans="1:40" ht="15.6" customHeight="1" x14ac:dyDescent="0.3">
      <c r="A93" s="38">
        <v>2</v>
      </c>
      <c r="B93" s="38" t="s">
        <v>1592</v>
      </c>
      <c r="C93" s="38" t="s">
        <v>1593</v>
      </c>
      <c r="D93" s="39">
        <v>45896</v>
      </c>
      <c r="E93" s="38" t="s">
        <v>198</v>
      </c>
      <c r="F93" s="38" t="s">
        <v>200</v>
      </c>
      <c r="G93" s="40">
        <v>0</v>
      </c>
      <c r="H93" s="90">
        <v>25000</v>
      </c>
      <c r="I93" s="40">
        <v>4000</v>
      </c>
      <c r="J93" s="40">
        <f t="shared" si="5"/>
        <v>29000</v>
      </c>
      <c r="K93" s="40">
        <v>29000</v>
      </c>
      <c r="L93" s="40">
        <f t="shared" si="7"/>
        <v>0</v>
      </c>
      <c r="M93" s="38" t="s">
        <v>35</v>
      </c>
      <c r="N93" s="54"/>
      <c r="O93" s="36"/>
      <c r="P93" s="40">
        <v>0</v>
      </c>
      <c r="Q93" s="40">
        <v>0</v>
      </c>
      <c r="R93" s="41"/>
      <c r="S93" s="40">
        <v>0</v>
      </c>
      <c r="T93" s="40">
        <v>0</v>
      </c>
      <c r="U93" s="40">
        <v>0</v>
      </c>
      <c r="V93" s="40">
        <v>0</v>
      </c>
      <c r="W93" s="40">
        <v>23000</v>
      </c>
      <c r="X93" s="40">
        <v>0</v>
      </c>
      <c r="Y93" s="40">
        <v>0</v>
      </c>
      <c r="Z93" s="40">
        <v>2000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36">
        <f t="shared" si="6"/>
        <v>0</v>
      </c>
      <c r="AJ93"/>
      <c r="AK93" s="37"/>
      <c r="AM93" s="1"/>
      <c r="AN93" s="1"/>
    </row>
    <row r="94" spans="1:40" ht="15.6" customHeight="1" x14ac:dyDescent="0.3">
      <c r="A94" s="38">
        <v>1</v>
      </c>
      <c r="B94" s="38" t="s">
        <v>1594</v>
      </c>
      <c r="C94" s="38" t="s">
        <v>1595</v>
      </c>
      <c r="D94" s="39">
        <v>45896</v>
      </c>
      <c r="E94" s="38" t="s">
        <v>53</v>
      </c>
      <c r="F94" s="38" t="s">
        <v>199</v>
      </c>
      <c r="G94" s="40">
        <v>781</v>
      </c>
      <c r="H94" s="90">
        <f>14112.62-G94</f>
        <v>13331.62</v>
      </c>
      <c r="I94" s="40">
        <v>2133.06</v>
      </c>
      <c r="J94" s="40">
        <f t="shared" si="5"/>
        <v>16245.68</v>
      </c>
      <c r="K94" s="40">
        <v>19457</v>
      </c>
      <c r="L94" s="40">
        <f t="shared" si="7"/>
        <v>-3211.3199999999997</v>
      </c>
      <c r="M94" s="38" t="s">
        <v>35</v>
      </c>
      <c r="N94" s="54"/>
      <c r="O94" s="36"/>
      <c r="P94" s="40">
        <v>0</v>
      </c>
      <c r="Q94" s="40">
        <v>781</v>
      </c>
      <c r="R94" s="41"/>
      <c r="S94" s="40">
        <v>6772.93</v>
      </c>
      <c r="T94" s="40">
        <v>608.91999999999996</v>
      </c>
      <c r="U94" s="40">
        <v>2049.77</v>
      </c>
      <c r="V94" s="40">
        <v>0</v>
      </c>
      <c r="W94" s="40">
        <v>3900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6">
        <f t="shared" si="6"/>
        <v>0</v>
      </c>
      <c r="AJ94"/>
      <c r="AK94" s="37"/>
      <c r="AM94" s="1"/>
      <c r="AN94" s="1"/>
    </row>
    <row r="95" spans="1:40" ht="15.6" customHeight="1" x14ac:dyDescent="0.3">
      <c r="A95" s="38">
        <v>2</v>
      </c>
      <c r="B95" s="38" t="s">
        <v>1596</v>
      </c>
      <c r="C95" s="38" t="s">
        <v>1597</v>
      </c>
      <c r="D95" s="39">
        <v>45896</v>
      </c>
      <c r="E95" s="38" t="s">
        <v>53</v>
      </c>
      <c r="F95" s="38" t="s">
        <v>199</v>
      </c>
      <c r="G95" s="40">
        <v>782</v>
      </c>
      <c r="H95" s="90">
        <v>7400</v>
      </c>
      <c r="I95" s="40">
        <v>1184</v>
      </c>
      <c r="J95" s="40">
        <f t="shared" si="5"/>
        <v>9366</v>
      </c>
      <c r="K95" s="40">
        <v>9366</v>
      </c>
      <c r="L95" s="40">
        <f t="shared" si="7"/>
        <v>0</v>
      </c>
      <c r="M95" s="38" t="s">
        <v>35</v>
      </c>
      <c r="N95" s="54"/>
      <c r="O95" s="36"/>
      <c r="P95" s="40">
        <v>0</v>
      </c>
      <c r="Q95" s="40">
        <v>782</v>
      </c>
      <c r="R95" s="41"/>
      <c r="S95" s="40">
        <v>7400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36">
        <f t="shared" si="6"/>
        <v>0</v>
      </c>
      <c r="AJ95"/>
      <c r="AK95" s="37"/>
      <c r="AM95" s="1"/>
      <c r="AN95" s="1"/>
    </row>
    <row r="96" spans="1:40" ht="15.6" customHeight="1" x14ac:dyDescent="0.3">
      <c r="A96" s="38">
        <v>1</v>
      </c>
      <c r="B96" s="38" t="s">
        <v>1598</v>
      </c>
      <c r="C96" s="38" t="s">
        <v>1599</v>
      </c>
      <c r="D96" s="39">
        <v>45896</v>
      </c>
      <c r="E96" s="38" t="s">
        <v>53</v>
      </c>
      <c r="F96" s="38" t="s">
        <v>199</v>
      </c>
      <c r="G96" s="40">
        <v>0</v>
      </c>
      <c r="H96" s="90">
        <f>7200+33562.8</f>
        <v>40762.800000000003</v>
      </c>
      <c r="I96" s="40">
        <v>6522.05</v>
      </c>
      <c r="J96" s="40">
        <f t="shared" si="5"/>
        <v>47284.850000000006</v>
      </c>
      <c r="K96" s="40">
        <v>66352</v>
      </c>
      <c r="L96" s="40">
        <f t="shared" si="7"/>
        <v>-19067.149999999994</v>
      </c>
      <c r="M96" s="38" t="s">
        <v>35</v>
      </c>
      <c r="N96" s="54"/>
      <c r="O96" s="36"/>
      <c r="P96" s="40">
        <v>0</v>
      </c>
      <c r="Q96" s="40">
        <v>0</v>
      </c>
      <c r="R96" s="41"/>
      <c r="S96" s="40">
        <v>7200</v>
      </c>
      <c r="T96" s="40">
        <v>0</v>
      </c>
      <c r="U96" s="40">
        <v>33562.800000000003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36">
        <f t="shared" si="6"/>
        <v>0</v>
      </c>
      <c r="AJ96"/>
      <c r="AK96" s="37"/>
      <c r="AM96" s="1"/>
      <c r="AN96" s="1"/>
    </row>
    <row r="97" spans="1:40" ht="15.6" customHeight="1" x14ac:dyDescent="0.3">
      <c r="A97" s="38">
        <v>1</v>
      </c>
      <c r="B97" s="38" t="s">
        <v>1600</v>
      </c>
      <c r="C97" s="38" t="s">
        <v>1601</v>
      </c>
      <c r="D97" s="39">
        <v>45896</v>
      </c>
      <c r="E97" s="38" t="s">
        <v>40</v>
      </c>
      <c r="F97" s="38" t="s">
        <v>41</v>
      </c>
      <c r="G97" s="40">
        <v>0</v>
      </c>
      <c r="H97" s="90">
        <v>73394.11</v>
      </c>
      <c r="I97" s="40">
        <v>11743.06</v>
      </c>
      <c r="J97" s="40">
        <f t="shared" si="5"/>
        <v>85137.17</v>
      </c>
      <c r="K97" s="40">
        <v>0</v>
      </c>
      <c r="L97" s="40">
        <f t="shared" si="7"/>
        <v>85137.17</v>
      </c>
      <c r="M97" s="38" t="s">
        <v>35</v>
      </c>
      <c r="N97" s="54"/>
      <c r="O97" s="36"/>
      <c r="P97" s="40">
        <v>0</v>
      </c>
      <c r="Q97" s="40">
        <v>0</v>
      </c>
      <c r="R97" s="41"/>
      <c r="S97" s="40">
        <v>5644.11</v>
      </c>
      <c r="T97" s="40">
        <v>0</v>
      </c>
      <c r="U97" s="40">
        <v>25750</v>
      </c>
      <c r="V97" s="40">
        <v>0</v>
      </c>
      <c r="W97" s="40">
        <v>42000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36">
        <f t="shared" si="6"/>
        <v>0</v>
      </c>
      <c r="AJ97"/>
      <c r="AK97" s="37"/>
      <c r="AM97" s="1"/>
      <c r="AN97" s="1"/>
    </row>
    <row r="98" spans="1:40" ht="15.6" customHeight="1" x14ac:dyDescent="0.3">
      <c r="A98" s="38">
        <v>1</v>
      </c>
      <c r="B98" s="38" t="s">
        <v>1602</v>
      </c>
      <c r="C98" s="38" t="s">
        <v>1603</v>
      </c>
      <c r="D98" s="39">
        <v>45896</v>
      </c>
      <c r="E98" s="38" t="s">
        <v>53</v>
      </c>
      <c r="F98" s="38" t="s">
        <v>199</v>
      </c>
      <c r="G98" s="40">
        <v>2116</v>
      </c>
      <c r="H98" s="90">
        <f>32944.14-G98</f>
        <v>30828.14</v>
      </c>
      <c r="I98" s="40">
        <v>4932.5</v>
      </c>
      <c r="J98" s="40">
        <f t="shared" si="5"/>
        <v>37876.639999999999</v>
      </c>
      <c r="K98" s="40">
        <v>187020</v>
      </c>
      <c r="L98" s="40">
        <f t="shared" si="7"/>
        <v>-149143.35999999999</v>
      </c>
      <c r="M98" s="38" t="s">
        <v>35</v>
      </c>
      <c r="N98" s="54"/>
      <c r="O98" s="36"/>
      <c r="P98" s="40">
        <v>0</v>
      </c>
      <c r="Q98" s="40">
        <v>2116</v>
      </c>
      <c r="R98" s="41"/>
      <c r="S98" s="40">
        <v>14400</v>
      </c>
      <c r="T98" s="40">
        <v>0</v>
      </c>
      <c r="U98" s="40">
        <v>16428.14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36">
        <f t="shared" si="6"/>
        <v>0</v>
      </c>
      <c r="AJ98"/>
      <c r="AK98" s="37"/>
      <c r="AM98" s="1"/>
      <c r="AN98" s="1"/>
    </row>
    <row r="99" spans="1:40" ht="15.6" customHeight="1" x14ac:dyDescent="0.3">
      <c r="A99" s="38">
        <v>1</v>
      </c>
      <c r="B99" s="38" t="s">
        <v>1604</v>
      </c>
      <c r="C99" s="38" t="s">
        <v>1605</v>
      </c>
      <c r="D99" s="39">
        <v>45896</v>
      </c>
      <c r="E99" s="38" t="s">
        <v>53</v>
      </c>
      <c r="F99" s="38" t="s">
        <v>199</v>
      </c>
      <c r="G99" s="40">
        <v>0</v>
      </c>
      <c r="H99" s="90">
        <v>24251.15</v>
      </c>
      <c r="I99" s="40">
        <v>3880.18</v>
      </c>
      <c r="J99" s="40">
        <f t="shared" si="5"/>
        <v>28131.33</v>
      </c>
      <c r="K99" s="40">
        <v>66352</v>
      </c>
      <c r="L99" s="40">
        <f t="shared" si="7"/>
        <v>-38220.67</v>
      </c>
      <c r="M99" s="38" t="s">
        <v>35</v>
      </c>
      <c r="N99" s="54"/>
      <c r="O99" s="36"/>
      <c r="P99" s="40">
        <v>0</v>
      </c>
      <c r="Q99" s="40">
        <v>0</v>
      </c>
      <c r="R99" s="41"/>
      <c r="S99" s="40">
        <v>7200</v>
      </c>
      <c r="T99" s="40">
        <v>0</v>
      </c>
      <c r="U99" s="40">
        <v>17051.150000000001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36">
        <f t="shared" si="6"/>
        <v>0</v>
      </c>
      <c r="AJ99"/>
      <c r="AK99" s="37"/>
      <c r="AM99" s="1"/>
      <c r="AN99" s="1"/>
    </row>
    <row r="100" spans="1:40" ht="15.6" customHeight="1" x14ac:dyDescent="0.3">
      <c r="A100" s="38">
        <v>1</v>
      </c>
      <c r="B100" s="38" t="s">
        <v>1606</v>
      </c>
      <c r="C100" s="38" t="s">
        <v>1607</v>
      </c>
      <c r="D100" s="39">
        <v>45896</v>
      </c>
      <c r="E100" s="38" t="s">
        <v>53</v>
      </c>
      <c r="F100" s="38" t="s">
        <v>199</v>
      </c>
      <c r="G100" s="40">
        <v>0</v>
      </c>
      <c r="H100" s="90">
        <v>13540.23</v>
      </c>
      <c r="I100" s="40">
        <v>2166.44</v>
      </c>
      <c r="J100" s="40">
        <f t="shared" si="5"/>
        <v>15706.67</v>
      </c>
      <c r="K100" s="40">
        <v>66352</v>
      </c>
      <c r="L100" s="40">
        <f t="shared" si="7"/>
        <v>-50645.33</v>
      </c>
      <c r="M100" s="38" t="s">
        <v>35</v>
      </c>
      <c r="N100" s="54"/>
      <c r="O100" s="36"/>
      <c r="P100" s="40">
        <v>0</v>
      </c>
      <c r="Q100" s="40">
        <v>0</v>
      </c>
      <c r="R100" s="41"/>
      <c r="S100" s="40">
        <v>7200</v>
      </c>
      <c r="T100" s="40">
        <v>0</v>
      </c>
      <c r="U100" s="40">
        <v>6340.23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36">
        <f t="shared" si="6"/>
        <v>0</v>
      </c>
      <c r="AJ100"/>
      <c r="AK100" s="37"/>
      <c r="AM100" s="1"/>
      <c r="AN100" s="1"/>
    </row>
    <row r="101" spans="1:40" ht="15.6" customHeight="1" x14ac:dyDescent="0.3">
      <c r="A101" s="38">
        <v>1</v>
      </c>
      <c r="B101" s="38" t="s">
        <v>1608</v>
      </c>
      <c r="C101" s="38" t="s">
        <v>1609</v>
      </c>
      <c r="D101" s="39">
        <v>45896</v>
      </c>
      <c r="E101" s="38" t="s">
        <v>53</v>
      </c>
      <c r="F101" s="38" t="s">
        <v>199</v>
      </c>
      <c r="G101" s="40">
        <v>0</v>
      </c>
      <c r="H101" s="90">
        <v>14277.57</v>
      </c>
      <c r="I101" s="40">
        <v>2284.41</v>
      </c>
      <c r="J101" s="40">
        <f t="shared" si="5"/>
        <v>16561.98</v>
      </c>
      <c r="K101" s="40">
        <v>66352</v>
      </c>
      <c r="L101" s="40">
        <f t="shared" si="7"/>
        <v>-49790.020000000004</v>
      </c>
      <c r="M101" s="38" t="s">
        <v>35</v>
      </c>
      <c r="N101" s="54"/>
      <c r="O101" s="36"/>
      <c r="P101" s="40">
        <v>0</v>
      </c>
      <c r="Q101" s="40">
        <v>0</v>
      </c>
      <c r="R101" s="41"/>
      <c r="S101" s="40">
        <v>7200</v>
      </c>
      <c r="T101" s="40">
        <v>0</v>
      </c>
      <c r="U101" s="40">
        <v>7077.57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36">
        <f t="shared" si="6"/>
        <v>0</v>
      </c>
      <c r="AJ101"/>
      <c r="AK101" s="37"/>
      <c r="AM101" s="1"/>
      <c r="AN101" s="1"/>
    </row>
    <row r="102" spans="1:40" ht="15.6" customHeight="1" x14ac:dyDescent="0.3">
      <c r="A102" s="38">
        <v>1</v>
      </c>
      <c r="B102" s="38" t="s">
        <v>1610</v>
      </c>
      <c r="C102" s="38" t="s">
        <v>1611</v>
      </c>
      <c r="D102" s="39">
        <v>45896</v>
      </c>
      <c r="E102" s="38" t="s">
        <v>53</v>
      </c>
      <c r="F102" s="38" t="s">
        <v>199</v>
      </c>
      <c r="G102" s="40">
        <v>0</v>
      </c>
      <c r="H102" s="90">
        <v>16040.23</v>
      </c>
      <c r="I102" s="40">
        <v>2566.44</v>
      </c>
      <c r="J102" s="40">
        <f t="shared" si="5"/>
        <v>18606.669999999998</v>
      </c>
      <c r="K102" s="40">
        <v>66352</v>
      </c>
      <c r="L102" s="40">
        <f t="shared" si="7"/>
        <v>-47745.33</v>
      </c>
      <c r="M102" s="38" t="s">
        <v>35</v>
      </c>
      <c r="N102" s="54"/>
      <c r="O102" s="36"/>
      <c r="P102" s="40">
        <v>0</v>
      </c>
      <c r="Q102" s="40">
        <v>0</v>
      </c>
      <c r="R102" s="41"/>
      <c r="S102" s="40">
        <v>7200</v>
      </c>
      <c r="T102" s="40">
        <v>0</v>
      </c>
      <c r="U102" s="40">
        <v>6340.23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2500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36">
        <f t="shared" si="6"/>
        <v>0</v>
      </c>
      <c r="AJ102"/>
      <c r="AK102" s="37"/>
      <c r="AM102" s="1"/>
      <c r="AN102" s="1"/>
    </row>
    <row r="103" spans="1:40" ht="15.6" customHeight="1" x14ac:dyDescent="0.3">
      <c r="A103" s="38">
        <v>1</v>
      </c>
      <c r="B103" s="38" t="s">
        <v>1612</v>
      </c>
      <c r="C103" s="38" t="s">
        <v>1613</v>
      </c>
      <c r="D103" s="39">
        <v>45896</v>
      </c>
      <c r="E103" s="38" t="s">
        <v>53</v>
      </c>
      <c r="F103" s="38" t="s">
        <v>199</v>
      </c>
      <c r="G103" s="40">
        <v>0</v>
      </c>
      <c r="H103" s="84">
        <v>16938.759999999998</v>
      </c>
      <c r="I103" s="40">
        <v>2710.2</v>
      </c>
      <c r="J103" s="40">
        <f t="shared" si="5"/>
        <v>19648.96</v>
      </c>
      <c r="K103" s="40">
        <v>66352</v>
      </c>
      <c r="L103" s="40">
        <f t="shared" si="7"/>
        <v>-46703.040000000001</v>
      </c>
      <c r="M103" s="38" t="s">
        <v>35</v>
      </c>
      <c r="N103" s="54"/>
      <c r="O103" s="36"/>
      <c r="P103" s="40">
        <v>0</v>
      </c>
      <c r="Q103" s="40">
        <v>0</v>
      </c>
      <c r="R103" s="41"/>
      <c r="S103" s="40">
        <v>7200</v>
      </c>
      <c r="T103" s="40">
        <v>0</v>
      </c>
      <c r="U103" s="40">
        <v>7238.76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2500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36">
        <f t="shared" si="6"/>
        <v>0</v>
      </c>
      <c r="AJ103"/>
      <c r="AK103" s="37"/>
      <c r="AM103" s="1"/>
      <c r="AN103" s="1"/>
    </row>
    <row r="104" spans="1:40" ht="15.6" customHeight="1" x14ac:dyDescent="0.3">
      <c r="A104" s="38">
        <v>1</v>
      </c>
      <c r="B104" s="38" t="s">
        <v>1614</v>
      </c>
      <c r="C104" s="38" t="s">
        <v>1615</v>
      </c>
      <c r="D104" s="39">
        <v>45896</v>
      </c>
      <c r="E104" s="38" t="s">
        <v>53</v>
      </c>
      <c r="F104" s="38" t="s">
        <v>199</v>
      </c>
      <c r="G104" s="40">
        <v>0</v>
      </c>
      <c r="H104" s="90">
        <v>16777.57</v>
      </c>
      <c r="I104" s="40">
        <v>2684.41</v>
      </c>
      <c r="J104" s="40">
        <f t="shared" si="5"/>
        <v>19461.98</v>
      </c>
      <c r="K104" s="40">
        <v>66352</v>
      </c>
      <c r="L104" s="40">
        <f t="shared" si="7"/>
        <v>-46890.020000000004</v>
      </c>
      <c r="M104" s="38" t="s">
        <v>35</v>
      </c>
      <c r="N104" s="54"/>
      <c r="O104" s="36"/>
      <c r="P104" s="40">
        <v>0</v>
      </c>
      <c r="Q104" s="40">
        <v>0</v>
      </c>
      <c r="R104" s="41"/>
      <c r="S104" s="40">
        <v>7200</v>
      </c>
      <c r="T104" s="40">
        <v>0</v>
      </c>
      <c r="U104" s="40">
        <v>7077.57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2500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36">
        <f t="shared" si="6"/>
        <v>0</v>
      </c>
      <c r="AJ104"/>
      <c r="AK104" s="37"/>
      <c r="AM104" s="1"/>
      <c r="AN104" s="1"/>
    </row>
    <row r="105" spans="1:40" ht="15.6" customHeight="1" x14ac:dyDescent="0.3">
      <c r="A105" s="38">
        <v>2</v>
      </c>
      <c r="B105" s="38" t="s">
        <v>1616</v>
      </c>
      <c r="C105" s="38" t="s">
        <v>1617</v>
      </c>
      <c r="D105" s="39">
        <v>45897</v>
      </c>
      <c r="E105" s="38" t="s">
        <v>198</v>
      </c>
      <c r="F105" s="38" t="s">
        <v>200</v>
      </c>
      <c r="G105" s="40">
        <v>0</v>
      </c>
      <c r="H105" s="84">
        <v>22000</v>
      </c>
      <c r="I105" s="40">
        <v>3520</v>
      </c>
      <c r="J105" s="40">
        <f t="shared" si="5"/>
        <v>25520</v>
      </c>
      <c r="K105" s="40">
        <v>25520</v>
      </c>
      <c r="L105" s="40">
        <f t="shared" si="7"/>
        <v>0</v>
      </c>
      <c r="M105" s="38" t="s">
        <v>35</v>
      </c>
      <c r="N105" s="54"/>
      <c r="O105" s="36"/>
      <c r="P105" s="40">
        <v>0</v>
      </c>
      <c r="Q105" s="40">
        <v>0</v>
      </c>
      <c r="R105" s="41"/>
      <c r="S105" s="40">
        <v>0</v>
      </c>
      <c r="T105" s="40">
        <v>0</v>
      </c>
      <c r="U105" s="40">
        <v>0</v>
      </c>
      <c r="V105" s="40">
        <v>0</v>
      </c>
      <c r="W105" s="40">
        <v>22000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36">
        <f t="shared" si="6"/>
        <v>0</v>
      </c>
      <c r="AJ105"/>
      <c r="AK105" s="37"/>
      <c r="AM105" s="1"/>
      <c r="AN105" s="1"/>
    </row>
    <row r="106" spans="1:40" ht="15.6" customHeight="1" x14ac:dyDescent="0.3">
      <c r="A106" s="38">
        <v>1</v>
      </c>
      <c r="B106" s="38" t="s">
        <v>1622</v>
      </c>
      <c r="C106" s="38" t="s">
        <v>1623</v>
      </c>
      <c r="D106" s="39">
        <v>45897</v>
      </c>
      <c r="E106" s="38" t="s">
        <v>22</v>
      </c>
      <c r="F106" s="38" t="s">
        <v>45</v>
      </c>
      <c r="G106" s="40">
        <v>336</v>
      </c>
      <c r="H106" s="84">
        <f>9198-336</f>
        <v>8862</v>
      </c>
      <c r="I106" s="40">
        <v>1417.92</v>
      </c>
      <c r="J106" s="40">
        <f t="shared" si="5"/>
        <v>10615.92</v>
      </c>
      <c r="K106" s="40">
        <v>12028.8</v>
      </c>
      <c r="L106" s="40">
        <f t="shared" si="7"/>
        <v>-1412.8799999999992</v>
      </c>
      <c r="M106" s="38" t="s">
        <v>35</v>
      </c>
      <c r="N106" s="54"/>
      <c r="O106" s="36"/>
      <c r="P106" s="40">
        <v>0</v>
      </c>
      <c r="Q106" s="40">
        <v>336</v>
      </c>
      <c r="R106" s="41"/>
      <c r="S106" s="40">
        <v>6000</v>
      </c>
      <c r="T106" s="40">
        <v>0</v>
      </c>
      <c r="U106" s="40">
        <v>2862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36">
        <f t="shared" si="6"/>
        <v>0</v>
      </c>
      <c r="AJ106"/>
      <c r="AK106" s="37"/>
      <c r="AM106" s="1"/>
      <c r="AN106" s="1"/>
    </row>
    <row r="107" spans="1:40" ht="15.6" customHeight="1" x14ac:dyDescent="0.3">
      <c r="A107" s="38">
        <v>2</v>
      </c>
      <c r="B107" s="38" t="s">
        <v>1624</v>
      </c>
      <c r="C107" s="38" t="s">
        <v>1625</v>
      </c>
      <c r="D107" s="39">
        <v>45897</v>
      </c>
      <c r="E107" s="38" t="s">
        <v>22</v>
      </c>
      <c r="F107" s="38" t="s">
        <v>45</v>
      </c>
      <c r="G107" s="40">
        <v>336</v>
      </c>
      <c r="H107" s="84">
        <f>4800+3500</f>
        <v>8300</v>
      </c>
      <c r="I107" s="40">
        <v>1328</v>
      </c>
      <c r="J107" s="40">
        <f>SUM(G107:I107)</f>
        <v>9964</v>
      </c>
      <c r="K107" s="40">
        <v>14952</v>
      </c>
      <c r="L107" s="40">
        <f t="shared" si="7"/>
        <v>-4988</v>
      </c>
      <c r="M107" s="38" t="s">
        <v>35</v>
      </c>
      <c r="N107" s="54"/>
      <c r="O107" s="36"/>
      <c r="P107" s="40">
        <v>0</v>
      </c>
      <c r="Q107" s="40">
        <v>336</v>
      </c>
      <c r="R107" s="41"/>
      <c r="S107" s="40">
        <v>4800</v>
      </c>
      <c r="T107" s="40">
        <v>0</v>
      </c>
      <c r="U107" s="40">
        <v>0</v>
      </c>
      <c r="V107" s="40">
        <v>0</v>
      </c>
      <c r="W107" s="40">
        <v>3500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36">
        <f t="shared" si="6"/>
        <v>0</v>
      </c>
      <c r="AJ107"/>
      <c r="AK107" s="37"/>
      <c r="AM107" s="1"/>
      <c r="AN107" s="1"/>
    </row>
    <row r="108" spans="1:40" ht="15.6" customHeight="1" x14ac:dyDescent="0.3">
      <c r="A108" s="38">
        <v>2</v>
      </c>
      <c r="B108" s="38" t="s">
        <v>1626</v>
      </c>
      <c r="C108" s="38" t="s">
        <v>1627</v>
      </c>
      <c r="D108" s="39">
        <v>45897</v>
      </c>
      <c r="E108" s="38" t="s">
        <v>22</v>
      </c>
      <c r="F108" s="38" t="s">
        <v>45</v>
      </c>
      <c r="G108" s="40">
        <v>781</v>
      </c>
      <c r="H108" s="84">
        <v>4800</v>
      </c>
      <c r="I108" s="40">
        <v>768</v>
      </c>
      <c r="J108" s="40">
        <f t="shared" si="5"/>
        <v>6349</v>
      </c>
      <c r="K108" s="40">
        <v>6349</v>
      </c>
      <c r="L108" s="40">
        <f t="shared" si="7"/>
        <v>0</v>
      </c>
      <c r="M108" s="38" t="s">
        <v>35</v>
      </c>
      <c r="N108" s="54"/>
      <c r="O108" s="36"/>
      <c r="P108" s="40">
        <v>0</v>
      </c>
      <c r="Q108" s="40">
        <v>781</v>
      </c>
      <c r="R108" s="41"/>
      <c r="S108" s="40">
        <v>4800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36">
        <f t="shared" si="6"/>
        <v>0</v>
      </c>
      <c r="AJ108"/>
      <c r="AK108" s="37"/>
      <c r="AM108" s="1"/>
      <c r="AN108" s="1"/>
    </row>
    <row r="109" spans="1:40" ht="15.6" customHeight="1" x14ac:dyDescent="0.3">
      <c r="A109" s="38">
        <v>1</v>
      </c>
      <c r="B109" s="38" t="s">
        <v>1628</v>
      </c>
      <c r="C109" s="38" t="s">
        <v>1629</v>
      </c>
      <c r="D109" s="39">
        <v>45897</v>
      </c>
      <c r="E109" s="38" t="s">
        <v>53</v>
      </c>
      <c r="F109" s="38" t="s">
        <v>199</v>
      </c>
      <c r="G109" s="40">
        <v>1226</v>
      </c>
      <c r="H109" s="84">
        <f>44329.54-G109</f>
        <v>43103.54</v>
      </c>
      <c r="I109" s="40">
        <v>6896.57</v>
      </c>
      <c r="J109" s="40">
        <f t="shared" si="5"/>
        <v>51226.11</v>
      </c>
      <c r="K109" s="40">
        <v>91978.6</v>
      </c>
      <c r="L109" s="40">
        <f t="shared" si="7"/>
        <v>-40752.490000000005</v>
      </c>
      <c r="M109" s="38" t="s">
        <v>35</v>
      </c>
      <c r="N109" s="54"/>
      <c r="O109" s="36"/>
      <c r="P109" s="40">
        <v>0</v>
      </c>
      <c r="Q109" s="40">
        <v>1226</v>
      </c>
      <c r="R109" s="41"/>
      <c r="S109" s="40">
        <v>6742.62</v>
      </c>
      <c r="T109" s="40">
        <v>0</v>
      </c>
      <c r="U109" s="40">
        <v>29335.99</v>
      </c>
      <c r="V109" s="40">
        <v>6349.93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675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36">
        <f t="shared" si="6"/>
        <v>0</v>
      </c>
      <c r="AJ109"/>
      <c r="AK109" s="37"/>
      <c r="AM109" s="1"/>
      <c r="AN109" s="1"/>
    </row>
    <row r="110" spans="1:40" ht="15.6" customHeight="1" x14ac:dyDescent="0.3">
      <c r="A110" s="38">
        <v>1</v>
      </c>
      <c r="B110" s="38" t="s">
        <v>1630</v>
      </c>
      <c r="C110" s="38" t="s">
        <v>1631</v>
      </c>
      <c r="D110" s="39">
        <v>45897</v>
      </c>
      <c r="E110" s="38" t="s">
        <v>53</v>
      </c>
      <c r="F110" s="38" t="s">
        <v>199</v>
      </c>
      <c r="G110" s="40">
        <v>1226</v>
      </c>
      <c r="H110" s="84">
        <f>312754.71-G110</f>
        <v>311528.71000000002</v>
      </c>
      <c r="I110" s="40">
        <v>49844.6</v>
      </c>
      <c r="J110" s="40">
        <f t="shared" si="5"/>
        <v>362599.31</v>
      </c>
      <c r="K110" s="40">
        <v>564986</v>
      </c>
      <c r="L110" s="40">
        <f t="shared" si="7"/>
        <v>-202386.69</v>
      </c>
      <c r="M110" s="38" t="s">
        <v>35</v>
      </c>
      <c r="N110" s="54"/>
      <c r="O110" s="36"/>
      <c r="P110" s="40">
        <v>0</v>
      </c>
      <c r="Q110" s="40">
        <v>1226</v>
      </c>
      <c r="R110" s="41"/>
      <c r="S110" s="40">
        <f>40573.44+6000</f>
        <v>46573.440000000002</v>
      </c>
      <c r="T110" s="40">
        <v>0</v>
      </c>
      <c r="U110" s="40">
        <v>179316.05</v>
      </c>
      <c r="V110" s="40">
        <v>73024.22</v>
      </c>
      <c r="W110" s="40">
        <v>0</v>
      </c>
      <c r="X110" s="40">
        <v>6000</v>
      </c>
      <c r="Y110" s="40">
        <v>0</v>
      </c>
      <c r="Z110" s="40">
        <v>0</v>
      </c>
      <c r="AA110" s="40">
        <v>0</v>
      </c>
      <c r="AB110" s="40">
        <v>4590</v>
      </c>
      <c r="AC110" s="40">
        <v>2025</v>
      </c>
      <c r="AD110" s="40">
        <v>0</v>
      </c>
      <c r="AE110" s="40">
        <v>0</v>
      </c>
      <c r="AF110" s="40">
        <v>0</v>
      </c>
      <c r="AG110" s="40">
        <v>0</v>
      </c>
      <c r="AH110" s="40">
        <v>0</v>
      </c>
      <c r="AI110" s="36">
        <f t="shared" si="6"/>
        <v>0</v>
      </c>
      <c r="AJ110"/>
      <c r="AK110" s="37"/>
      <c r="AM110" s="1"/>
      <c r="AN110" s="1"/>
    </row>
    <row r="111" spans="1:40" ht="15.6" customHeight="1" x14ac:dyDescent="0.3">
      <c r="A111" s="38">
        <v>2</v>
      </c>
      <c r="B111" s="38" t="s">
        <v>1632</v>
      </c>
      <c r="C111" s="38" t="s">
        <v>1633</v>
      </c>
      <c r="D111" s="39">
        <v>45897</v>
      </c>
      <c r="E111" s="38" t="s">
        <v>198</v>
      </c>
      <c r="F111" s="38" t="s">
        <v>200</v>
      </c>
      <c r="G111" s="40">
        <v>0</v>
      </c>
      <c r="H111" s="84">
        <v>22000</v>
      </c>
      <c r="I111" s="40">
        <v>3520</v>
      </c>
      <c r="J111" s="40">
        <f t="shared" si="5"/>
        <v>25520</v>
      </c>
      <c r="K111" s="40">
        <v>25520</v>
      </c>
      <c r="L111" s="40">
        <f t="shared" si="7"/>
        <v>0</v>
      </c>
      <c r="M111" s="38" t="s">
        <v>35</v>
      </c>
      <c r="N111" s="54"/>
      <c r="O111" s="36"/>
      <c r="P111" s="40">
        <v>0</v>
      </c>
      <c r="Q111" s="40">
        <v>0</v>
      </c>
      <c r="R111" s="41"/>
      <c r="S111" s="40">
        <v>0</v>
      </c>
      <c r="T111" s="40">
        <v>0</v>
      </c>
      <c r="U111" s="40">
        <v>0</v>
      </c>
      <c r="V111" s="40">
        <v>0</v>
      </c>
      <c r="W111" s="40">
        <v>22000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6">
        <f t="shared" si="6"/>
        <v>0</v>
      </c>
      <c r="AJ111"/>
      <c r="AK111" s="37"/>
      <c r="AM111" s="1"/>
      <c r="AN111" s="1"/>
    </row>
    <row r="112" spans="1:40" ht="15.6" customHeight="1" x14ac:dyDescent="0.3">
      <c r="A112" s="38">
        <v>1</v>
      </c>
      <c r="B112" s="38" t="s">
        <v>1634</v>
      </c>
      <c r="C112" s="38" t="s">
        <v>1635</v>
      </c>
      <c r="D112" s="39">
        <v>45897</v>
      </c>
      <c r="E112" s="38" t="s">
        <v>53</v>
      </c>
      <c r="F112" s="38" t="s">
        <v>199</v>
      </c>
      <c r="G112" s="40">
        <v>1226</v>
      </c>
      <c r="H112" s="84">
        <f>222286.26-G112</f>
        <v>221060.26</v>
      </c>
      <c r="I112" s="40">
        <v>35369.64</v>
      </c>
      <c r="J112" s="40">
        <f t="shared" si="5"/>
        <v>257655.90000000002</v>
      </c>
      <c r="K112" s="40">
        <v>644480.80000000005</v>
      </c>
      <c r="L112" s="40">
        <f t="shared" si="7"/>
        <v>-386824.9</v>
      </c>
      <c r="M112" s="38" t="s">
        <v>35</v>
      </c>
      <c r="N112" s="54"/>
      <c r="O112" s="36"/>
      <c r="P112" s="40">
        <v>0</v>
      </c>
      <c r="Q112" s="40">
        <v>1226</v>
      </c>
      <c r="R112" s="41"/>
      <c r="S112" s="40">
        <v>46960.959999999999</v>
      </c>
      <c r="T112" s="40">
        <v>0</v>
      </c>
      <c r="U112" s="40">
        <v>169374.3</v>
      </c>
      <c r="V112" s="40">
        <v>0</v>
      </c>
      <c r="W112" s="40">
        <v>0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0">
        <v>4725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36">
        <f t="shared" si="6"/>
        <v>0</v>
      </c>
      <c r="AJ112"/>
      <c r="AK112" s="37"/>
      <c r="AM112" s="1"/>
      <c r="AN112" s="1"/>
    </row>
    <row r="113" spans="1:40" ht="15.6" customHeight="1" x14ac:dyDescent="0.3">
      <c r="A113" s="38">
        <v>1</v>
      </c>
      <c r="B113" s="38" t="s">
        <v>1636</v>
      </c>
      <c r="C113" s="38" t="s">
        <v>1637</v>
      </c>
      <c r="D113" s="39">
        <v>45898</v>
      </c>
      <c r="E113" s="38" t="s">
        <v>53</v>
      </c>
      <c r="F113" s="38" t="s">
        <v>199</v>
      </c>
      <c r="G113" s="40">
        <v>1671</v>
      </c>
      <c r="H113" s="84">
        <f>7200+30183.15</f>
        <v>37383.15</v>
      </c>
      <c r="I113" s="40">
        <v>5981.3</v>
      </c>
      <c r="J113" s="40">
        <f t="shared" si="5"/>
        <v>45035.450000000004</v>
      </c>
      <c r="K113" s="40">
        <v>77952</v>
      </c>
      <c r="L113" s="40">
        <f t="shared" si="7"/>
        <v>-32916.549999999996</v>
      </c>
      <c r="M113" s="38" t="s">
        <v>35</v>
      </c>
      <c r="N113" s="54"/>
      <c r="O113" s="36"/>
      <c r="P113" s="40">
        <v>0</v>
      </c>
      <c r="Q113" s="40">
        <v>1671</v>
      </c>
      <c r="R113" s="41"/>
      <c r="S113" s="40">
        <v>7200</v>
      </c>
      <c r="T113" s="40">
        <v>0</v>
      </c>
      <c r="U113" s="40">
        <v>30183.15</v>
      </c>
      <c r="V113" s="40">
        <v>0</v>
      </c>
      <c r="W113" s="40">
        <v>0</v>
      </c>
      <c r="X113" s="40">
        <v>0</v>
      </c>
      <c r="Y113" s="40">
        <v>0</v>
      </c>
      <c r="Z113" s="40">
        <v>0</v>
      </c>
      <c r="AA113" s="40">
        <v>0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36">
        <f t="shared" si="6"/>
        <v>0</v>
      </c>
      <c r="AJ113"/>
      <c r="AK113" s="37"/>
      <c r="AM113" s="1"/>
      <c r="AN113" s="1"/>
    </row>
    <row r="114" spans="1:40" ht="15.6" customHeight="1" x14ac:dyDescent="0.3">
      <c r="A114" s="38">
        <v>1</v>
      </c>
      <c r="B114" s="38" t="s">
        <v>1638</v>
      </c>
      <c r="C114" s="38" t="s">
        <v>1639</v>
      </c>
      <c r="D114" s="39">
        <v>45898</v>
      </c>
      <c r="E114" s="38" t="s">
        <v>53</v>
      </c>
      <c r="F114" s="38" t="s">
        <v>199</v>
      </c>
      <c r="G114" s="40">
        <v>0</v>
      </c>
      <c r="H114" s="84">
        <v>17973.509999999998</v>
      </c>
      <c r="I114" s="40">
        <v>2875.76</v>
      </c>
      <c r="J114" s="40">
        <f t="shared" si="5"/>
        <v>20849.269999999997</v>
      </c>
      <c r="K114" s="40">
        <v>77952</v>
      </c>
      <c r="L114" s="40">
        <f t="shared" si="7"/>
        <v>-57102.73</v>
      </c>
      <c r="M114" s="38" t="s">
        <v>35</v>
      </c>
      <c r="N114" s="54"/>
      <c r="O114" s="36"/>
      <c r="P114" s="40">
        <v>0</v>
      </c>
      <c r="Q114" s="40">
        <v>0</v>
      </c>
      <c r="R114" s="41"/>
      <c r="S114" s="40">
        <v>7200</v>
      </c>
      <c r="T114" s="40">
        <v>0</v>
      </c>
      <c r="U114" s="40">
        <v>7773.51</v>
      </c>
      <c r="V114" s="40">
        <v>0</v>
      </c>
      <c r="W114" s="40">
        <v>0</v>
      </c>
      <c r="X114" s="40">
        <v>3000</v>
      </c>
      <c r="Y114" s="40">
        <v>0</v>
      </c>
      <c r="Z114" s="40">
        <v>0</v>
      </c>
      <c r="AA114" s="40">
        <v>0</v>
      </c>
      <c r="AB114" s="40">
        <v>0</v>
      </c>
      <c r="AC114" s="40">
        <v>0</v>
      </c>
      <c r="AD114" s="40">
        <v>0</v>
      </c>
      <c r="AE114" s="40">
        <v>0</v>
      </c>
      <c r="AF114" s="40">
        <v>0</v>
      </c>
      <c r="AG114" s="40">
        <v>0</v>
      </c>
      <c r="AH114" s="40">
        <v>0</v>
      </c>
      <c r="AI114" s="36">
        <f t="shared" si="6"/>
        <v>0</v>
      </c>
      <c r="AJ114"/>
      <c r="AK114" s="37"/>
      <c r="AM114" s="1"/>
      <c r="AN114" s="1"/>
    </row>
    <row r="115" spans="1:40" ht="15.6" customHeight="1" x14ac:dyDescent="0.3">
      <c r="A115" s="38">
        <v>1</v>
      </c>
      <c r="B115" s="38" t="s">
        <v>1640</v>
      </c>
      <c r="C115" s="38" t="s">
        <v>1641</v>
      </c>
      <c r="D115" s="39">
        <v>45898</v>
      </c>
      <c r="E115" s="38" t="s">
        <v>53</v>
      </c>
      <c r="F115" s="38" t="s">
        <v>199</v>
      </c>
      <c r="G115" s="40">
        <v>1226</v>
      </c>
      <c r="H115" s="84">
        <f>195321.07-G115</f>
        <v>194095.07</v>
      </c>
      <c r="I115" s="40">
        <v>31055.22</v>
      </c>
      <c r="J115" s="40">
        <f t="shared" si="5"/>
        <v>226376.29</v>
      </c>
      <c r="K115" s="40">
        <v>336152.8</v>
      </c>
      <c r="L115" s="40">
        <f t="shared" si="7"/>
        <v>-109776.50999999998</v>
      </c>
      <c r="M115" s="38" t="s">
        <v>35</v>
      </c>
      <c r="N115" s="54"/>
      <c r="O115" s="36"/>
      <c r="P115" s="40">
        <v>0</v>
      </c>
      <c r="Q115" s="40">
        <v>1226</v>
      </c>
      <c r="R115" s="41"/>
      <c r="S115" s="40">
        <v>26776.799999999999</v>
      </c>
      <c r="T115" s="40">
        <v>0</v>
      </c>
      <c r="U115" s="40">
        <v>121866.36</v>
      </c>
      <c r="V115" s="40">
        <v>36461.910000000003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4590</v>
      </c>
      <c r="AC115" s="40">
        <v>4400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36">
        <f t="shared" si="6"/>
        <v>0</v>
      </c>
      <c r="AJ115"/>
      <c r="AK115" s="37"/>
      <c r="AM115" s="1"/>
      <c r="AN115" s="1"/>
    </row>
    <row r="116" spans="1:40" ht="15.6" customHeight="1" x14ac:dyDescent="0.3">
      <c r="A116" s="38">
        <v>2</v>
      </c>
      <c r="B116" s="38" t="s">
        <v>1642</v>
      </c>
      <c r="C116" s="38" t="s">
        <v>1643</v>
      </c>
      <c r="D116" s="39">
        <v>45898</v>
      </c>
      <c r="E116" s="38" t="s">
        <v>22</v>
      </c>
      <c r="F116" s="38" t="s">
        <v>45</v>
      </c>
      <c r="G116" s="40">
        <v>336</v>
      </c>
      <c r="H116" s="84">
        <f>10736-G116</f>
        <v>10400</v>
      </c>
      <c r="I116" s="40">
        <v>1664</v>
      </c>
      <c r="J116" s="40">
        <f t="shared" si="5"/>
        <v>12400</v>
      </c>
      <c r="K116" s="40">
        <v>17724</v>
      </c>
      <c r="L116" s="40">
        <f t="shared" si="7"/>
        <v>-5324</v>
      </c>
      <c r="M116" s="38" t="s">
        <v>35</v>
      </c>
      <c r="N116" s="54"/>
      <c r="O116" s="36"/>
      <c r="P116" s="40">
        <v>0</v>
      </c>
      <c r="Q116" s="40">
        <v>336</v>
      </c>
      <c r="R116" s="41"/>
      <c r="S116" s="40">
        <v>4600</v>
      </c>
      <c r="T116" s="40">
        <v>0</v>
      </c>
      <c r="U116" s="40">
        <v>0</v>
      </c>
      <c r="V116" s="40">
        <v>0</v>
      </c>
      <c r="W116" s="40">
        <v>5800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36">
        <f t="shared" si="6"/>
        <v>0</v>
      </c>
      <c r="AJ116"/>
      <c r="AK116" s="37"/>
      <c r="AM116" s="1"/>
      <c r="AN116" s="1"/>
    </row>
    <row r="117" spans="1:40" ht="15.6" customHeight="1" x14ac:dyDescent="0.3">
      <c r="A117" s="38">
        <v>1</v>
      </c>
      <c r="B117" s="38" t="s">
        <v>1644</v>
      </c>
      <c r="C117" s="38" t="s">
        <v>1645</v>
      </c>
      <c r="D117" s="39">
        <v>45898</v>
      </c>
      <c r="E117" s="38" t="s">
        <v>42</v>
      </c>
      <c r="F117" s="38" t="s">
        <v>1587</v>
      </c>
      <c r="G117" s="40">
        <v>7220</v>
      </c>
      <c r="H117" s="84">
        <f>20219.32-G117</f>
        <v>12999.32</v>
      </c>
      <c r="I117" s="40">
        <v>2079.89</v>
      </c>
      <c r="J117" s="40">
        <f t="shared" si="5"/>
        <v>22299.21</v>
      </c>
      <c r="K117" s="40">
        <v>22299.21</v>
      </c>
      <c r="L117" s="40">
        <f t="shared" si="7"/>
        <v>0</v>
      </c>
      <c r="M117" s="38" t="s">
        <v>35</v>
      </c>
      <c r="N117" s="54"/>
      <c r="O117" s="36"/>
      <c r="P117" s="40">
        <v>0</v>
      </c>
      <c r="Q117" s="40">
        <v>7220</v>
      </c>
      <c r="R117" s="41"/>
      <c r="S117" s="40">
        <v>6752.59</v>
      </c>
      <c r="T117" s="40">
        <v>0</v>
      </c>
      <c r="U117" s="40">
        <v>3743.69</v>
      </c>
      <c r="V117" s="40">
        <v>1003.04</v>
      </c>
      <c r="W117" s="40">
        <v>1500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0</v>
      </c>
      <c r="AH117" s="40">
        <v>0</v>
      </c>
      <c r="AI117" s="36">
        <f t="shared" si="6"/>
        <v>0</v>
      </c>
      <c r="AJ117"/>
      <c r="AK117" s="37"/>
      <c r="AM117" s="1"/>
      <c r="AN117" s="1"/>
    </row>
    <row r="118" spans="1:40" ht="15.6" customHeight="1" x14ac:dyDescent="0.3">
      <c r="A118" s="38"/>
      <c r="B118" s="38"/>
      <c r="C118" s="38"/>
      <c r="D118" s="39"/>
      <c r="E118" s="38"/>
      <c r="F118" s="38"/>
      <c r="G118" s="40"/>
      <c r="H118" s="84"/>
      <c r="I118" s="40"/>
      <c r="J118" s="40">
        <f t="shared" si="5"/>
        <v>0</v>
      </c>
      <c r="K118" s="40"/>
      <c r="L118" s="40">
        <f t="shared" si="7"/>
        <v>0</v>
      </c>
      <c r="M118" s="38" t="s">
        <v>35</v>
      </c>
      <c r="N118" s="54"/>
      <c r="O118" s="36"/>
      <c r="P118" s="40">
        <v>0</v>
      </c>
      <c r="Q118" s="40">
        <v>0</v>
      </c>
      <c r="R118" s="41"/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36">
        <f t="shared" si="6"/>
        <v>0</v>
      </c>
      <c r="AJ118"/>
      <c r="AK118" s="37"/>
      <c r="AM118" s="1"/>
      <c r="AN118" s="1"/>
    </row>
    <row r="119" spans="1:40" ht="15.6" customHeight="1" x14ac:dyDescent="0.3">
      <c r="A119" s="38"/>
      <c r="B119" s="38"/>
      <c r="C119" s="38"/>
      <c r="D119" s="39"/>
      <c r="E119" s="38"/>
      <c r="F119" s="38"/>
      <c r="G119" s="40"/>
      <c r="H119" s="84"/>
      <c r="I119" s="40"/>
      <c r="J119" s="40">
        <f t="shared" si="5"/>
        <v>0</v>
      </c>
      <c r="K119" s="40"/>
      <c r="L119" s="40">
        <f t="shared" si="7"/>
        <v>0</v>
      </c>
      <c r="M119" s="38" t="s">
        <v>35</v>
      </c>
      <c r="N119" s="54"/>
      <c r="O119" s="36"/>
      <c r="P119" s="40">
        <v>0</v>
      </c>
      <c r="Q119" s="40">
        <v>0</v>
      </c>
      <c r="R119" s="41"/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36">
        <f t="shared" si="6"/>
        <v>0</v>
      </c>
      <c r="AJ119"/>
      <c r="AK119" s="37"/>
      <c r="AM119" s="1"/>
      <c r="AN119" s="1"/>
    </row>
    <row r="120" spans="1:40" ht="15.6" customHeight="1" x14ac:dyDescent="0.3">
      <c r="A120" s="38"/>
      <c r="B120" s="38"/>
      <c r="C120" s="38"/>
      <c r="D120" s="39"/>
      <c r="E120" s="38"/>
      <c r="F120" s="38"/>
      <c r="G120" s="40"/>
      <c r="H120" s="84"/>
      <c r="I120" s="40"/>
      <c r="J120" s="40">
        <f t="shared" si="5"/>
        <v>0</v>
      </c>
      <c r="K120" s="40"/>
      <c r="L120" s="40">
        <f t="shared" si="7"/>
        <v>0</v>
      </c>
      <c r="M120" s="38" t="s">
        <v>35</v>
      </c>
      <c r="N120" s="54"/>
      <c r="O120" s="36"/>
      <c r="P120" s="40">
        <v>0</v>
      </c>
      <c r="Q120" s="40">
        <v>0</v>
      </c>
      <c r="R120" s="41"/>
      <c r="S120" s="40">
        <v>0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40">
        <v>0</v>
      </c>
      <c r="AH120" s="40">
        <v>0</v>
      </c>
      <c r="AI120" s="36">
        <f t="shared" si="6"/>
        <v>0</v>
      </c>
      <c r="AJ120"/>
      <c r="AK120" s="37"/>
      <c r="AM120" s="1"/>
      <c r="AN120" s="1"/>
    </row>
    <row r="121" spans="1:40" ht="15.6" customHeight="1" x14ac:dyDescent="0.3">
      <c r="A121" s="38"/>
      <c r="B121" s="38"/>
      <c r="C121" s="38"/>
      <c r="D121" s="39"/>
      <c r="E121" s="38"/>
      <c r="F121" s="38"/>
      <c r="G121" s="40"/>
      <c r="H121" s="84"/>
      <c r="I121" s="40"/>
      <c r="J121" s="40">
        <f t="shared" si="5"/>
        <v>0</v>
      </c>
      <c r="K121" s="40"/>
      <c r="L121" s="40">
        <f t="shared" si="7"/>
        <v>0</v>
      </c>
      <c r="M121" s="38" t="s">
        <v>35</v>
      </c>
      <c r="N121" s="54"/>
      <c r="O121" s="36"/>
      <c r="P121" s="40">
        <v>0</v>
      </c>
      <c r="Q121" s="40">
        <v>0</v>
      </c>
      <c r="R121" s="41"/>
      <c r="S121" s="40">
        <v>0</v>
      </c>
      <c r="T121" s="40">
        <v>0</v>
      </c>
      <c r="U121" s="40">
        <v>0</v>
      </c>
      <c r="V121" s="40">
        <v>0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36">
        <f t="shared" si="6"/>
        <v>0</v>
      </c>
      <c r="AJ121"/>
      <c r="AK121" s="37"/>
      <c r="AM121" s="1"/>
      <c r="AN121" s="1"/>
    </row>
    <row r="122" spans="1:40" ht="15.6" customHeight="1" x14ac:dyDescent="0.3">
      <c r="A122" s="38"/>
      <c r="B122" s="38"/>
      <c r="C122" s="38"/>
      <c r="D122" s="39"/>
      <c r="E122" s="38"/>
      <c r="F122" s="38"/>
      <c r="G122" s="40"/>
      <c r="H122" s="84"/>
      <c r="I122" s="40"/>
      <c r="J122" s="40">
        <f t="shared" si="5"/>
        <v>0</v>
      </c>
      <c r="K122" s="40"/>
      <c r="L122" s="40">
        <f t="shared" si="7"/>
        <v>0</v>
      </c>
      <c r="M122" s="38" t="s">
        <v>35</v>
      </c>
      <c r="N122" s="54"/>
      <c r="O122" s="36"/>
      <c r="P122" s="40">
        <v>0</v>
      </c>
      <c r="Q122" s="40">
        <v>0</v>
      </c>
      <c r="R122" s="41"/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40">
        <v>0</v>
      </c>
      <c r="AH122" s="40">
        <v>0</v>
      </c>
      <c r="AI122" s="36">
        <f t="shared" si="6"/>
        <v>0</v>
      </c>
      <c r="AJ122"/>
      <c r="AK122" s="37"/>
      <c r="AM122" s="1"/>
      <c r="AN122" s="1"/>
    </row>
    <row r="123" spans="1:40" ht="15.6" customHeight="1" x14ac:dyDescent="0.3">
      <c r="A123" s="38"/>
      <c r="B123" s="38"/>
      <c r="C123" s="38"/>
      <c r="D123" s="39"/>
      <c r="E123" s="38"/>
      <c r="F123" s="38"/>
      <c r="G123" s="40"/>
      <c r="H123" s="84"/>
      <c r="I123" s="40"/>
      <c r="J123" s="40">
        <f t="shared" si="5"/>
        <v>0</v>
      </c>
      <c r="K123" s="40"/>
      <c r="L123" s="40">
        <f t="shared" si="7"/>
        <v>0</v>
      </c>
      <c r="M123" s="38" t="s">
        <v>35</v>
      </c>
      <c r="N123" s="54"/>
      <c r="O123" s="36"/>
      <c r="P123" s="40">
        <v>0</v>
      </c>
      <c r="Q123" s="40">
        <v>0</v>
      </c>
      <c r="R123" s="41"/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0</v>
      </c>
      <c r="AD123" s="40">
        <v>0</v>
      </c>
      <c r="AE123" s="40">
        <v>0</v>
      </c>
      <c r="AF123" s="40">
        <v>0</v>
      </c>
      <c r="AG123" s="40">
        <v>0</v>
      </c>
      <c r="AH123" s="40">
        <v>0</v>
      </c>
      <c r="AI123" s="36">
        <f t="shared" si="6"/>
        <v>0</v>
      </c>
      <c r="AJ123"/>
      <c r="AK123" s="37"/>
      <c r="AM123" s="1"/>
      <c r="AN123" s="1"/>
    </row>
    <row r="124" spans="1:40" ht="15.6" customHeight="1" x14ac:dyDescent="0.3">
      <c r="A124" s="38"/>
      <c r="B124" s="38"/>
      <c r="C124" s="38"/>
      <c r="D124" s="39"/>
      <c r="E124" s="38"/>
      <c r="F124" s="38"/>
      <c r="G124" s="40"/>
      <c r="H124" s="84"/>
      <c r="I124" s="40"/>
      <c r="J124" s="40">
        <f t="shared" si="5"/>
        <v>0</v>
      </c>
      <c r="K124" s="40"/>
      <c r="L124" s="40">
        <f t="shared" si="7"/>
        <v>0</v>
      </c>
      <c r="M124" s="38" t="s">
        <v>35</v>
      </c>
      <c r="N124" s="54"/>
      <c r="O124" s="36"/>
      <c r="P124" s="40">
        <v>0</v>
      </c>
      <c r="Q124" s="40">
        <v>0</v>
      </c>
      <c r="R124" s="41"/>
      <c r="S124" s="40">
        <v>0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0">
        <v>0</v>
      </c>
      <c r="AG124" s="40">
        <v>0</v>
      </c>
      <c r="AH124" s="40">
        <v>0</v>
      </c>
      <c r="AI124" s="36">
        <f t="shared" si="6"/>
        <v>0</v>
      </c>
      <c r="AJ124"/>
      <c r="AK124" s="37"/>
      <c r="AM124" s="1"/>
      <c r="AN124" s="1"/>
    </row>
    <row r="125" spans="1:40" ht="15.6" customHeight="1" x14ac:dyDescent="0.3">
      <c r="A125" s="38"/>
      <c r="B125" s="38"/>
      <c r="C125" s="38"/>
      <c r="D125" s="39"/>
      <c r="E125" s="38"/>
      <c r="F125" s="38"/>
      <c r="G125" s="40"/>
      <c r="H125" s="84"/>
      <c r="I125" s="40"/>
      <c r="J125" s="40">
        <f t="shared" si="5"/>
        <v>0</v>
      </c>
      <c r="K125" s="40"/>
      <c r="L125" s="40">
        <f t="shared" si="7"/>
        <v>0</v>
      </c>
      <c r="M125" s="38" t="s">
        <v>35</v>
      </c>
      <c r="N125" s="54"/>
      <c r="O125" s="36"/>
      <c r="P125" s="40">
        <v>0</v>
      </c>
      <c r="Q125" s="40">
        <v>0</v>
      </c>
      <c r="R125" s="41"/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36">
        <f t="shared" si="6"/>
        <v>0</v>
      </c>
      <c r="AJ125"/>
      <c r="AK125" s="37"/>
      <c r="AM125" s="1"/>
      <c r="AN125" s="1"/>
    </row>
    <row r="126" spans="1:40" ht="15.6" customHeight="1" x14ac:dyDescent="0.3">
      <c r="A126" s="38"/>
      <c r="B126" s="38"/>
      <c r="C126" s="38"/>
      <c r="D126" s="39"/>
      <c r="E126" s="38"/>
      <c r="F126" s="38"/>
      <c r="G126" s="40"/>
      <c r="H126" s="84"/>
      <c r="I126" s="40"/>
      <c r="J126" s="40">
        <f t="shared" si="5"/>
        <v>0</v>
      </c>
      <c r="K126" s="40"/>
      <c r="L126" s="40">
        <f t="shared" si="7"/>
        <v>0</v>
      </c>
      <c r="M126" s="38" t="s">
        <v>35</v>
      </c>
      <c r="N126" s="54"/>
      <c r="O126" s="36"/>
      <c r="P126" s="40">
        <v>0</v>
      </c>
      <c r="Q126" s="40">
        <v>0</v>
      </c>
      <c r="R126" s="41"/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36">
        <f t="shared" si="6"/>
        <v>0</v>
      </c>
      <c r="AJ126"/>
      <c r="AK126" s="37"/>
      <c r="AM126" s="1"/>
      <c r="AN126" s="1"/>
    </row>
    <row r="127" spans="1:40" ht="15.6" customHeight="1" x14ac:dyDescent="0.3">
      <c r="A127" s="38"/>
      <c r="B127" s="38"/>
      <c r="C127" s="38"/>
      <c r="D127" s="39"/>
      <c r="E127" s="38"/>
      <c r="F127" s="38"/>
      <c r="G127" s="40"/>
      <c r="H127" s="84"/>
      <c r="I127" s="40"/>
      <c r="J127" s="40">
        <f t="shared" si="5"/>
        <v>0</v>
      </c>
      <c r="K127" s="40"/>
      <c r="L127" s="40">
        <f t="shared" si="7"/>
        <v>0</v>
      </c>
      <c r="M127" s="38" t="s">
        <v>35</v>
      </c>
      <c r="N127" s="54"/>
      <c r="O127" s="36"/>
      <c r="P127" s="40">
        <v>0</v>
      </c>
      <c r="Q127" s="40">
        <v>0</v>
      </c>
      <c r="R127" s="41"/>
      <c r="S127" s="40">
        <v>0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36">
        <f t="shared" si="6"/>
        <v>0</v>
      </c>
      <c r="AJ127"/>
      <c r="AK127" s="37"/>
      <c r="AM127" s="1"/>
      <c r="AN127" s="1"/>
    </row>
    <row r="128" spans="1:40" ht="15.6" customHeight="1" x14ac:dyDescent="0.3">
      <c r="A128" s="38"/>
      <c r="B128" s="38"/>
      <c r="C128" s="38"/>
      <c r="D128" s="39"/>
      <c r="E128" s="38"/>
      <c r="F128" s="38"/>
      <c r="G128" s="40"/>
      <c r="H128" s="84"/>
      <c r="I128" s="40"/>
      <c r="J128" s="40">
        <f t="shared" si="5"/>
        <v>0</v>
      </c>
      <c r="K128" s="40"/>
      <c r="L128" s="40">
        <f t="shared" ref="L128:L149" si="8">+J128-K128</f>
        <v>0</v>
      </c>
      <c r="M128" s="38" t="s">
        <v>35</v>
      </c>
      <c r="N128" s="54"/>
      <c r="O128" s="36"/>
      <c r="P128" s="40">
        <v>0</v>
      </c>
      <c r="Q128" s="40">
        <v>0</v>
      </c>
      <c r="R128" s="41"/>
      <c r="S128" s="40">
        <v>0</v>
      </c>
      <c r="T128" s="40">
        <v>0</v>
      </c>
      <c r="U128" s="40">
        <v>0</v>
      </c>
      <c r="V128" s="40">
        <v>0</v>
      </c>
      <c r="W128" s="40">
        <v>0</v>
      </c>
      <c r="X128" s="40">
        <v>0</v>
      </c>
      <c r="Y128" s="40">
        <v>0</v>
      </c>
      <c r="Z128" s="40">
        <v>0</v>
      </c>
      <c r="AA128" s="40">
        <v>0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36">
        <f t="shared" si="6"/>
        <v>0</v>
      </c>
      <c r="AJ128"/>
      <c r="AK128" s="37"/>
      <c r="AM128" s="1"/>
      <c r="AN128" s="1"/>
    </row>
    <row r="129" spans="1:40" ht="15.6" customHeight="1" x14ac:dyDescent="0.3">
      <c r="A129" s="38"/>
      <c r="B129" s="38"/>
      <c r="C129" s="38"/>
      <c r="D129" s="39"/>
      <c r="E129" s="38"/>
      <c r="F129" s="38"/>
      <c r="G129" s="40"/>
      <c r="H129" s="84"/>
      <c r="I129" s="40"/>
      <c r="J129" s="40">
        <f t="shared" si="5"/>
        <v>0</v>
      </c>
      <c r="K129" s="40"/>
      <c r="L129" s="40">
        <f t="shared" si="8"/>
        <v>0</v>
      </c>
      <c r="M129" s="38" t="s">
        <v>35</v>
      </c>
      <c r="N129" s="54"/>
      <c r="O129" s="36"/>
      <c r="P129" s="40">
        <v>0</v>
      </c>
      <c r="Q129" s="40">
        <v>0</v>
      </c>
      <c r="R129" s="41"/>
      <c r="S129" s="40">
        <v>0</v>
      </c>
      <c r="T129" s="40">
        <v>0</v>
      </c>
      <c r="U129" s="40">
        <v>0</v>
      </c>
      <c r="V129" s="40">
        <v>0</v>
      </c>
      <c r="W129" s="40">
        <v>0</v>
      </c>
      <c r="X129" s="40">
        <v>0</v>
      </c>
      <c r="Y129" s="40">
        <v>0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0">
        <v>0</v>
      </c>
      <c r="AG129" s="40">
        <v>0</v>
      </c>
      <c r="AH129" s="40">
        <v>0</v>
      </c>
      <c r="AI129" s="36">
        <f t="shared" si="6"/>
        <v>0</v>
      </c>
      <c r="AJ129"/>
      <c r="AK129" s="37"/>
      <c r="AM129" s="1"/>
      <c r="AN129" s="1"/>
    </row>
    <row r="130" spans="1:40" ht="15.6" customHeight="1" x14ac:dyDescent="0.3">
      <c r="A130" s="38"/>
      <c r="B130" s="38"/>
      <c r="C130" s="38"/>
      <c r="D130" s="39"/>
      <c r="E130" s="38"/>
      <c r="F130" s="38"/>
      <c r="G130" s="40"/>
      <c r="H130" s="84"/>
      <c r="I130" s="40"/>
      <c r="J130" s="40">
        <f t="shared" si="5"/>
        <v>0</v>
      </c>
      <c r="K130" s="40"/>
      <c r="L130" s="40">
        <f t="shared" si="8"/>
        <v>0</v>
      </c>
      <c r="M130" s="38" t="s">
        <v>35</v>
      </c>
      <c r="N130" s="54"/>
      <c r="O130" s="36"/>
      <c r="P130" s="40">
        <v>0</v>
      </c>
      <c r="Q130" s="40">
        <v>0</v>
      </c>
      <c r="R130" s="41"/>
      <c r="S130" s="40">
        <v>0</v>
      </c>
      <c r="T130" s="40">
        <v>0</v>
      </c>
      <c r="U130" s="40">
        <v>0</v>
      </c>
      <c r="V130" s="40">
        <v>0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36">
        <f t="shared" si="6"/>
        <v>0</v>
      </c>
      <c r="AJ130"/>
      <c r="AK130" s="37"/>
      <c r="AM130" s="1"/>
      <c r="AN130" s="1"/>
    </row>
    <row r="131" spans="1:40" ht="15.6" customHeight="1" x14ac:dyDescent="0.3">
      <c r="A131" s="38"/>
      <c r="B131" s="38"/>
      <c r="C131" s="38"/>
      <c r="D131" s="39"/>
      <c r="E131" s="38"/>
      <c r="F131" s="38"/>
      <c r="G131" s="40"/>
      <c r="H131" s="84"/>
      <c r="I131" s="40"/>
      <c r="J131" s="40">
        <f t="shared" si="5"/>
        <v>0</v>
      </c>
      <c r="K131" s="40"/>
      <c r="L131" s="40">
        <f t="shared" si="8"/>
        <v>0</v>
      </c>
      <c r="M131" s="38" t="s">
        <v>35</v>
      </c>
      <c r="N131" s="54"/>
      <c r="O131" s="36"/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6">
        <f t="shared" si="6"/>
        <v>0</v>
      </c>
      <c r="AJ131"/>
      <c r="AK131" s="37"/>
      <c r="AM131" s="1"/>
      <c r="AN131" s="1"/>
    </row>
    <row r="132" spans="1:40" ht="15.6" customHeight="1" x14ac:dyDescent="0.3">
      <c r="A132" s="38"/>
      <c r="B132" s="38"/>
      <c r="C132" s="38"/>
      <c r="D132" s="39"/>
      <c r="E132" s="38"/>
      <c r="F132" s="38"/>
      <c r="G132" s="40"/>
      <c r="H132" s="84"/>
      <c r="I132" s="40"/>
      <c r="J132" s="40">
        <f t="shared" si="5"/>
        <v>0</v>
      </c>
      <c r="K132" s="40"/>
      <c r="L132" s="40">
        <f t="shared" si="8"/>
        <v>0</v>
      </c>
      <c r="M132" s="38" t="s">
        <v>35</v>
      </c>
      <c r="N132" s="54"/>
      <c r="O132" s="36"/>
      <c r="P132" s="40">
        <v>0</v>
      </c>
      <c r="Q132" s="40">
        <v>0</v>
      </c>
      <c r="R132" s="41"/>
      <c r="S132" s="40">
        <v>0</v>
      </c>
      <c r="T132" s="40">
        <v>0</v>
      </c>
      <c r="U132" s="40">
        <v>0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</v>
      </c>
      <c r="AH132" s="40">
        <v>0</v>
      </c>
      <c r="AI132" s="36">
        <f t="shared" si="6"/>
        <v>0</v>
      </c>
      <c r="AJ132"/>
      <c r="AK132" s="37"/>
      <c r="AM132" s="1"/>
      <c r="AN132" s="1"/>
    </row>
    <row r="133" spans="1:40" ht="15.6" customHeight="1" x14ac:dyDescent="0.3">
      <c r="A133" s="38"/>
      <c r="B133" s="38"/>
      <c r="C133" s="38"/>
      <c r="D133" s="39"/>
      <c r="E133" s="38"/>
      <c r="F133" s="38"/>
      <c r="G133" s="40"/>
      <c r="H133" s="84"/>
      <c r="I133" s="40"/>
      <c r="J133" s="40">
        <f t="shared" si="5"/>
        <v>0</v>
      </c>
      <c r="K133" s="40"/>
      <c r="L133" s="40">
        <f t="shared" si="8"/>
        <v>0</v>
      </c>
      <c r="M133" s="38" t="s">
        <v>35</v>
      </c>
      <c r="N133" s="54"/>
      <c r="O133" s="36"/>
      <c r="P133" s="40">
        <v>0</v>
      </c>
      <c r="Q133" s="40">
        <v>0</v>
      </c>
      <c r="R133" s="41"/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6">
        <f t="shared" si="6"/>
        <v>0</v>
      </c>
      <c r="AJ133"/>
      <c r="AK133" s="37"/>
      <c r="AM133" s="1"/>
      <c r="AN133" s="1"/>
    </row>
    <row r="134" spans="1:40" ht="15.6" customHeight="1" x14ac:dyDescent="0.3">
      <c r="A134" s="38"/>
      <c r="B134" s="38"/>
      <c r="C134" s="38"/>
      <c r="D134" s="39"/>
      <c r="E134" s="38"/>
      <c r="F134" s="38"/>
      <c r="G134" s="40"/>
      <c r="H134" s="84"/>
      <c r="I134" s="40"/>
      <c r="J134" s="40">
        <f t="shared" si="5"/>
        <v>0</v>
      </c>
      <c r="K134" s="40"/>
      <c r="L134" s="40">
        <f t="shared" si="8"/>
        <v>0</v>
      </c>
      <c r="M134" s="38" t="s">
        <v>35</v>
      </c>
      <c r="N134" s="54"/>
      <c r="O134" s="36"/>
      <c r="P134" s="40">
        <v>0</v>
      </c>
      <c r="Q134" s="40">
        <v>0</v>
      </c>
      <c r="R134" s="41"/>
      <c r="S134" s="40">
        <v>0</v>
      </c>
      <c r="T134" s="40">
        <v>0</v>
      </c>
      <c r="U134" s="40">
        <v>0</v>
      </c>
      <c r="V134" s="40">
        <v>0</v>
      </c>
      <c r="W134" s="40">
        <v>0</v>
      </c>
      <c r="X134" s="40">
        <v>0</v>
      </c>
      <c r="Y134" s="40">
        <v>0</v>
      </c>
      <c r="Z134" s="40">
        <v>0</v>
      </c>
      <c r="AA134" s="40">
        <v>0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36">
        <f t="shared" si="6"/>
        <v>0</v>
      </c>
      <c r="AJ134"/>
      <c r="AK134" s="37"/>
      <c r="AM134" s="1"/>
      <c r="AN134" s="1"/>
    </row>
    <row r="135" spans="1:40" ht="15.6" customHeight="1" x14ac:dyDescent="0.3">
      <c r="A135" s="38"/>
      <c r="B135" s="38"/>
      <c r="C135" s="38"/>
      <c r="D135" s="39"/>
      <c r="E135" s="38"/>
      <c r="F135" s="38"/>
      <c r="G135" s="40"/>
      <c r="H135" s="84"/>
      <c r="I135" s="40"/>
      <c r="J135" s="40">
        <f t="shared" si="5"/>
        <v>0</v>
      </c>
      <c r="K135" s="40"/>
      <c r="L135" s="40">
        <f t="shared" si="8"/>
        <v>0</v>
      </c>
      <c r="M135" s="38" t="s">
        <v>35</v>
      </c>
      <c r="N135" s="54"/>
      <c r="O135" s="36"/>
      <c r="P135" s="40">
        <v>0</v>
      </c>
      <c r="Q135" s="40">
        <v>0</v>
      </c>
      <c r="R135" s="41"/>
      <c r="S135" s="40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36">
        <f t="shared" si="6"/>
        <v>0</v>
      </c>
      <c r="AJ135"/>
      <c r="AK135" s="37"/>
      <c r="AM135" s="1"/>
      <c r="AN135" s="1"/>
    </row>
    <row r="136" spans="1:40" ht="15.6" customHeight="1" x14ac:dyDescent="0.3">
      <c r="A136" s="38"/>
      <c r="B136" s="38"/>
      <c r="C136" s="38"/>
      <c r="D136" s="39"/>
      <c r="E136" s="38"/>
      <c r="F136" s="38"/>
      <c r="G136" s="40"/>
      <c r="H136" s="84"/>
      <c r="I136" s="40"/>
      <c r="J136" s="40">
        <f t="shared" si="5"/>
        <v>0</v>
      </c>
      <c r="K136" s="40"/>
      <c r="L136" s="40">
        <f t="shared" si="8"/>
        <v>0</v>
      </c>
      <c r="M136" s="38" t="s">
        <v>35</v>
      </c>
      <c r="N136" s="54"/>
      <c r="O136" s="36"/>
      <c r="P136" s="40">
        <v>0</v>
      </c>
      <c r="Q136" s="40">
        <v>0</v>
      </c>
      <c r="R136" s="41"/>
      <c r="S136" s="40">
        <v>0</v>
      </c>
      <c r="T136" s="40">
        <v>0</v>
      </c>
      <c r="U136" s="40">
        <v>0</v>
      </c>
      <c r="V136" s="40">
        <v>0</v>
      </c>
      <c r="W136" s="40">
        <v>0</v>
      </c>
      <c r="X136" s="40">
        <v>0</v>
      </c>
      <c r="Y136" s="40">
        <v>0</v>
      </c>
      <c r="Z136" s="40">
        <v>0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36">
        <f t="shared" si="6"/>
        <v>0</v>
      </c>
      <c r="AJ136"/>
      <c r="AK136" s="37"/>
      <c r="AM136" s="1"/>
      <c r="AN136" s="1"/>
    </row>
    <row r="137" spans="1:40" ht="15.6" customHeight="1" x14ac:dyDescent="0.3">
      <c r="A137" s="38"/>
      <c r="B137" s="38"/>
      <c r="C137" s="38"/>
      <c r="D137" s="39"/>
      <c r="E137" s="38"/>
      <c r="F137" s="38"/>
      <c r="G137" s="40"/>
      <c r="H137" s="84"/>
      <c r="I137" s="40"/>
      <c r="J137" s="40">
        <f t="shared" si="5"/>
        <v>0</v>
      </c>
      <c r="K137" s="40"/>
      <c r="L137" s="40">
        <f t="shared" si="8"/>
        <v>0</v>
      </c>
      <c r="M137" s="38" t="s">
        <v>35</v>
      </c>
      <c r="N137" s="54"/>
      <c r="O137" s="36"/>
      <c r="P137" s="40">
        <v>0</v>
      </c>
      <c r="Q137" s="40">
        <v>0</v>
      </c>
      <c r="R137" s="41"/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36">
        <f t="shared" si="6"/>
        <v>0</v>
      </c>
      <c r="AJ137"/>
      <c r="AK137" s="37"/>
      <c r="AM137" s="1"/>
      <c r="AN137" s="1"/>
    </row>
    <row r="138" spans="1:40" ht="15.6" customHeight="1" x14ac:dyDescent="0.3">
      <c r="A138" s="38"/>
      <c r="B138" s="38"/>
      <c r="C138" s="38"/>
      <c r="D138" s="39"/>
      <c r="E138" s="38"/>
      <c r="F138" s="38"/>
      <c r="G138" s="40"/>
      <c r="H138" s="84"/>
      <c r="I138" s="40"/>
      <c r="J138" s="40">
        <f t="shared" si="5"/>
        <v>0</v>
      </c>
      <c r="K138" s="40"/>
      <c r="L138" s="40">
        <f t="shared" si="8"/>
        <v>0</v>
      </c>
      <c r="M138" s="38" t="s">
        <v>35</v>
      </c>
      <c r="N138" s="54"/>
      <c r="O138" s="36"/>
      <c r="P138" s="40">
        <v>0</v>
      </c>
      <c r="Q138" s="40">
        <v>0</v>
      </c>
      <c r="R138" s="41"/>
      <c r="S138" s="40">
        <v>0</v>
      </c>
      <c r="T138" s="40">
        <v>0</v>
      </c>
      <c r="U138" s="40">
        <v>0</v>
      </c>
      <c r="V138" s="40">
        <v>0</v>
      </c>
      <c r="W138" s="40">
        <v>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36">
        <f t="shared" si="6"/>
        <v>0</v>
      </c>
      <c r="AJ138"/>
      <c r="AK138" s="37"/>
      <c r="AM138" s="1"/>
      <c r="AN138" s="1"/>
    </row>
    <row r="139" spans="1:40" ht="15.6" customHeight="1" x14ac:dyDescent="0.3">
      <c r="A139" s="38"/>
      <c r="B139" s="38"/>
      <c r="C139" s="38"/>
      <c r="D139" s="39"/>
      <c r="E139" s="38"/>
      <c r="F139" s="38"/>
      <c r="G139" s="40"/>
      <c r="H139" s="84"/>
      <c r="I139" s="40"/>
      <c r="J139" s="40">
        <f t="shared" si="5"/>
        <v>0</v>
      </c>
      <c r="K139" s="40"/>
      <c r="L139" s="40">
        <f t="shared" si="8"/>
        <v>0</v>
      </c>
      <c r="M139" s="38" t="s">
        <v>35</v>
      </c>
      <c r="N139" s="54"/>
      <c r="O139" s="36"/>
      <c r="P139" s="40">
        <v>0</v>
      </c>
      <c r="Q139" s="40">
        <v>0</v>
      </c>
      <c r="R139" s="41"/>
      <c r="S139" s="40">
        <v>0</v>
      </c>
      <c r="T139" s="40">
        <v>0</v>
      </c>
      <c r="U139" s="40">
        <v>0</v>
      </c>
      <c r="V139" s="40">
        <v>0</v>
      </c>
      <c r="W139" s="40">
        <v>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36">
        <f t="shared" si="6"/>
        <v>0</v>
      </c>
      <c r="AJ139"/>
      <c r="AK139" s="37"/>
      <c r="AM139" s="1"/>
      <c r="AN139" s="1"/>
    </row>
    <row r="140" spans="1:40" ht="15.6" customHeight="1" x14ac:dyDescent="0.3">
      <c r="A140" s="38"/>
      <c r="B140" s="38"/>
      <c r="C140" s="38"/>
      <c r="D140" s="39"/>
      <c r="E140" s="38"/>
      <c r="F140" s="38"/>
      <c r="G140" s="40"/>
      <c r="H140" s="84"/>
      <c r="I140" s="40"/>
      <c r="J140" s="40">
        <f t="shared" si="5"/>
        <v>0</v>
      </c>
      <c r="K140" s="40"/>
      <c r="L140" s="40">
        <f t="shared" si="8"/>
        <v>0</v>
      </c>
      <c r="M140" s="38" t="s">
        <v>35</v>
      </c>
      <c r="N140" s="54"/>
      <c r="O140" s="36"/>
      <c r="P140" s="40">
        <v>0</v>
      </c>
      <c r="Q140" s="40">
        <v>0</v>
      </c>
      <c r="R140" s="41"/>
      <c r="S140" s="40">
        <v>0</v>
      </c>
      <c r="T140" s="40">
        <v>0</v>
      </c>
      <c r="U140" s="40">
        <v>0</v>
      </c>
      <c r="V140" s="40">
        <v>0</v>
      </c>
      <c r="W140" s="40">
        <v>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36">
        <f t="shared" si="6"/>
        <v>0</v>
      </c>
      <c r="AJ140"/>
      <c r="AK140" s="37"/>
      <c r="AM140" s="1"/>
      <c r="AN140" s="1"/>
    </row>
    <row r="141" spans="1:40" ht="15.6" customHeight="1" x14ac:dyDescent="0.3">
      <c r="A141" s="38"/>
      <c r="B141" s="38"/>
      <c r="C141" s="38"/>
      <c r="D141" s="39"/>
      <c r="E141" s="38"/>
      <c r="F141" s="38"/>
      <c r="G141" s="40"/>
      <c r="H141" s="84"/>
      <c r="I141" s="40"/>
      <c r="J141" s="40">
        <f t="shared" si="5"/>
        <v>0</v>
      </c>
      <c r="K141" s="40"/>
      <c r="L141" s="40">
        <f t="shared" si="8"/>
        <v>0</v>
      </c>
      <c r="M141" s="38" t="s">
        <v>35</v>
      </c>
      <c r="N141" s="54"/>
      <c r="O141" s="36"/>
      <c r="P141" s="40">
        <v>0</v>
      </c>
      <c r="Q141" s="40">
        <v>0</v>
      </c>
      <c r="R141" s="41"/>
      <c r="S141" s="40">
        <v>0</v>
      </c>
      <c r="T141" s="40">
        <v>0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36">
        <f t="shared" si="6"/>
        <v>0</v>
      </c>
      <c r="AJ141"/>
      <c r="AK141" s="37"/>
      <c r="AM141" s="1"/>
      <c r="AN141" s="1"/>
    </row>
    <row r="142" spans="1:40" ht="15.6" customHeight="1" x14ac:dyDescent="0.3">
      <c r="A142" s="38"/>
      <c r="B142" s="38"/>
      <c r="C142" s="38"/>
      <c r="D142" s="39"/>
      <c r="E142" s="38"/>
      <c r="F142" s="38"/>
      <c r="G142" s="40"/>
      <c r="H142" s="84"/>
      <c r="I142" s="40"/>
      <c r="J142" s="40">
        <f t="shared" si="5"/>
        <v>0</v>
      </c>
      <c r="K142" s="40"/>
      <c r="L142" s="40">
        <f t="shared" si="8"/>
        <v>0</v>
      </c>
      <c r="M142" s="38" t="s">
        <v>35</v>
      </c>
      <c r="N142" s="54"/>
      <c r="O142" s="36"/>
      <c r="P142" s="40">
        <v>0</v>
      </c>
      <c r="Q142" s="40">
        <v>0</v>
      </c>
      <c r="R142" s="41"/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36">
        <f t="shared" si="6"/>
        <v>0</v>
      </c>
      <c r="AJ142"/>
      <c r="AK142" s="37"/>
      <c r="AM142" s="1"/>
      <c r="AN142" s="1"/>
    </row>
    <row r="143" spans="1:40" ht="15.6" customHeight="1" x14ac:dyDescent="0.3">
      <c r="A143" s="38"/>
      <c r="B143" s="38"/>
      <c r="C143" s="38"/>
      <c r="D143" s="39"/>
      <c r="E143" s="38"/>
      <c r="F143" s="38"/>
      <c r="G143" s="40"/>
      <c r="H143" s="84"/>
      <c r="I143" s="40"/>
      <c r="J143" s="40">
        <f t="shared" si="5"/>
        <v>0</v>
      </c>
      <c r="K143" s="40"/>
      <c r="L143" s="40">
        <f t="shared" si="8"/>
        <v>0</v>
      </c>
      <c r="M143" s="38" t="s">
        <v>35</v>
      </c>
      <c r="N143" s="54"/>
      <c r="O143" s="36"/>
      <c r="P143" s="40">
        <v>0</v>
      </c>
      <c r="Q143" s="40">
        <v>0</v>
      </c>
      <c r="R143" s="41"/>
      <c r="S143" s="40">
        <v>0</v>
      </c>
      <c r="T143" s="40">
        <v>0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36">
        <f t="shared" si="6"/>
        <v>0</v>
      </c>
      <c r="AJ143"/>
      <c r="AK143" s="37"/>
      <c r="AM143" s="1"/>
      <c r="AN143" s="1"/>
    </row>
    <row r="144" spans="1:40" ht="15.6" customHeight="1" x14ac:dyDescent="0.3">
      <c r="A144" s="38"/>
      <c r="B144" s="38"/>
      <c r="C144" s="38"/>
      <c r="D144" s="39"/>
      <c r="E144" s="38"/>
      <c r="F144" s="38"/>
      <c r="G144" s="40"/>
      <c r="H144" s="84"/>
      <c r="I144" s="40"/>
      <c r="J144" s="40">
        <f t="shared" si="5"/>
        <v>0</v>
      </c>
      <c r="K144" s="40"/>
      <c r="L144" s="40">
        <f t="shared" si="8"/>
        <v>0</v>
      </c>
      <c r="M144" s="38" t="s">
        <v>35</v>
      </c>
      <c r="N144" s="54"/>
      <c r="O144" s="36"/>
      <c r="P144" s="40">
        <v>0</v>
      </c>
      <c r="Q144" s="40">
        <v>0</v>
      </c>
      <c r="R144" s="41"/>
      <c r="S144" s="40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36">
        <f t="shared" si="6"/>
        <v>0</v>
      </c>
      <c r="AJ144"/>
      <c r="AK144" s="37"/>
      <c r="AM144" s="1"/>
      <c r="AN144" s="1"/>
    </row>
    <row r="145" spans="1:42" ht="15.6" customHeight="1" x14ac:dyDescent="0.3">
      <c r="A145" s="38"/>
      <c r="B145" s="38"/>
      <c r="C145" s="38"/>
      <c r="D145" s="39"/>
      <c r="E145" s="38"/>
      <c r="F145" s="38"/>
      <c r="G145" s="40"/>
      <c r="H145" s="84"/>
      <c r="I145" s="40"/>
      <c r="J145" s="40">
        <f t="shared" si="5"/>
        <v>0</v>
      </c>
      <c r="K145" s="40"/>
      <c r="L145" s="40">
        <f t="shared" si="8"/>
        <v>0</v>
      </c>
      <c r="M145" s="38" t="s">
        <v>35</v>
      </c>
      <c r="N145" s="54"/>
      <c r="O145" s="36"/>
      <c r="P145" s="40">
        <v>0</v>
      </c>
      <c r="Q145" s="40">
        <v>0</v>
      </c>
      <c r="R145" s="41"/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36">
        <f t="shared" si="6"/>
        <v>0</v>
      </c>
      <c r="AJ145"/>
      <c r="AK145" s="37"/>
      <c r="AM145" s="1"/>
      <c r="AN145" s="1"/>
    </row>
    <row r="146" spans="1:42" ht="15.6" customHeight="1" x14ac:dyDescent="0.3">
      <c r="A146" s="38"/>
      <c r="B146" s="38"/>
      <c r="C146" s="38"/>
      <c r="D146" s="39"/>
      <c r="E146" s="38"/>
      <c r="F146" s="38"/>
      <c r="G146" s="40"/>
      <c r="H146" s="84"/>
      <c r="I146" s="40"/>
      <c r="J146" s="40">
        <f t="shared" si="5"/>
        <v>0</v>
      </c>
      <c r="K146" s="40"/>
      <c r="L146" s="40">
        <f t="shared" si="8"/>
        <v>0</v>
      </c>
      <c r="M146" s="38" t="s">
        <v>35</v>
      </c>
      <c r="N146" s="54"/>
      <c r="O146" s="36"/>
      <c r="P146" s="40">
        <v>0</v>
      </c>
      <c r="Q146" s="40">
        <v>0</v>
      </c>
      <c r="R146" s="41"/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36">
        <f t="shared" si="6"/>
        <v>0</v>
      </c>
      <c r="AJ146"/>
      <c r="AK146" s="37"/>
      <c r="AM146" s="1"/>
      <c r="AN146" s="1"/>
    </row>
    <row r="147" spans="1:42" ht="15.6" customHeight="1" x14ac:dyDescent="0.3">
      <c r="A147" s="38"/>
      <c r="B147" s="38"/>
      <c r="C147" s="38"/>
      <c r="D147" s="39"/>
      <c r="E147" s="38"/>
      <c r="F147" s="38"/>
      <c r="G147" s="40"/>
      <c r="H147" s="84"/>
      <c r="I147" s="40"/>
      <c r="J147" s="40">
        <f t="shared" si="5"/>
        <v>0</v>
      </c>
      <c r="K147" s="40"/>
      <c r="L147" s="40">
        <f t="shared" si="8"/>
        <v>0</v>
      </c>
      <c r="M147" s="38" t="s">
        <v>35</v>
      </c>
      <c r="N147" s="54"/>
      <c r="O147" s="36"/>
      <c r="P147" s="40">
        <v>0</v>
      </c>
      <c r="Q147" s="40">
        <v>0</v>
      </c>
      <c r="R147" s="41"/>
      <c r="S147" s="40">
        <v>0</v>
      </c>
      <c r="T147" s="40">
        <v>0</v>
      </c>
      <c r="U147" s="40">
        <v>0</v>
      </c>
      <c r="V147" s="40">
        <v>0</v>
      </c>
      <c r="W147" s="40">
        <v>0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36">
        <f t="shared" si="6"/>
        <v>0</v>
      </c>
      <c r="AJ147"/>
      <c r="AK147" s="37"/>
      <c r="AM147" s="1"/>
      <c r="AN147" s="1"/>
    </row>
    <row r="148" spans="1:42" ht="15.6" customHeight="1" x14ac:dyDescent="0.3">
      <c r="A148" s="38"/>
      <c r="B148" s="38"/>
      <c r="C148" s="38"/>
      <c r="D148" s="39"/>
      <c r="E148" s="38"/>
      <c r="F148" s="38"/>
      <c r="G148" s="40"/>
      <c r="H148" s="84"/>
      <c r="I148" s="40"/>
      <c r="J148" s="40">
        <f t="shared" si="5"/>
        <v>0</v>
      </c>
      <c r="K148" s="40"/>
      <c r="L148" s="40">
        <f t="shared" si="8"/>
        <v>0</v>
      </c>
      <c r="M148" s="38" t="s">
        <v>35</v>
      </c>
      <c r="N148" s="54"/>
      <c r="O148" s="36"/>
      <c r="P148" s="40">
        <v>0</v>
      </c>
      <c r="Q148" s="40">
        <v>0</v>
      </c>
      <c r="R148" s="41"/>
      <c r="S148" s="40">
        <v>0</v>
      </c>
      <c r="T148" s="40">
        <v>0</v>
      </c>
      <c r="U148" s="40">
        <v>0</v>
      </c>
      <c r="V148" s="40">
        <v>0</v>
      </c>
      <c r="W148" s="40">
        <v>0</v>
      </c>
      <c r="X148" s="40">
        <v>0</v>
      </c>
      <c r="Y148" s="40">
        <v>0</v>
      </c>
      <c r="Z148" s="40">
        <v>0</v>
      </c>
      <c r="AA148" s="40">
        <v>0</v>
      </c>
      <c r="AB148" s="40">
        <v>0</v>
      </c>
      <c r="AC148" s="40">
        <v>0</v>
      </c>
      <c r="AD148" s="40">
        <v>0</v>
      </c>
      <c r="AE148" s="40">
        <v>0</v>
      </c>
      <c r="AF148" s="40">
        <v>0</v>
      </c>
      <c r="AG148" s="40">
        <v>0</v>
      </c>
      <c r="AH148" s="40">
        <v>0</v>
      </c>
      <c r="AI148" s="36">
        <f t="shared" si="6"/>
        <v>0</v>
      </c>
      <c r="AJ148"/>
      <c r="AK148" s="37"/>
      <c r="AM148" s="1"/>
      <c r="AN148" s="1"/>
    </row>
    <row r="149" spans="1:42" x14ac:dyDescent="0.3">
      <c r="A149" s="50"/>
      <c r="B149" s="38"/>
      <c r="C149" s="50"/>
      <c r="D149" s="39"/>
      <c r="E149" s="38"/>
      <c r="F149" s="38"/>
      <c r="G149" s="40"/>
      <c r="H149" s="40"/>
      <c r="I149" s="40"/>
      <c r="J149" s="40">
        <f t="shared" si="5"/>
        <v>0</v>
      </c>
      <c r="K149" s="40"/>
      <c r="L149" s="40">
        <f t="shared" si="8"/>
        <v>0</v>
      </c>
      <c r="M149" s="38" t="s">
        <v>35</v>
      </c>
      <c r="N149" s="54"/>
      <c r="O149" s="36"/>
      <c r="P149" s="40">
        <v>0</v>
      </c>
      <c r="Q149" s="40">
        <v>0</v>
      </c>
      <c r="R149" s="41"/>
      <c r="S149" s="40">
        <v>0</v>
      </c>
      <c r="T149" s="40">
        <v>0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0</v>
      </c>
      <c r="AA149" s="40">
        <v>0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36">
        <f t="shared" si="6"/>
        <v>0</v>
      </c>
      <c r="AJ149"/>
      <c r="AK149" s="37"/>
      <c r="AM149" s="1"/>
      <c r="AN149" s="1"/>
    </row>
    <row r="150" spans="1:42" ht="15" thickBot="1" x14ac:dyDescent="0.35">
      <c r="G150" s="16">
        <f t="shared" ref="G150:L150" si="9">+SUM(G2:G149)</f>
        <v>2685915.9</v>
      </c>
      <c r="H150" s="16">
        <f t="shared" si="9"/>
        <v>3270402.4999999986</v>
      </c>
      <c r="I150" s="16">
        <f t="shared" si="9"/>
        <v>523264.43999999994</v>
      </c>
      <c r="J150" s="16">
        <f t="shared" si="9"/>
        <v>6479582.8399999989</v>
      </c>
      <c r="K150" s="16">
        <f t="shared" si="9"/>
        <v>7904554.3299999982</v>
      </c>
      <c r="L150" s="16">
        <f t="shared" si="9"/>
        <v>-1424971.4900000002</v>
      </c>
      <c r="P150" s="16">
        <f>+SUM(P2:P149)</f>
        <v>0</v>
      </c>
      <c r="Q150" s="16">
        <f>+SUM(Q2:Q149)</f>
        <v>2685915.9</v>
      </c>
      <c r="S150" s="16">
        <f t="shared" ref="S150:AI150" si="10">+SUM(S2:S149)</f>
        <v>830480.25999999989</v>
      </c>
      <c r="T150" s="16">
        <f t="shared" si="10"/>
        <v>9655.2200000000012</v>
      </c>
      <c r="U150" s="16">
        <f t="shared" si="10"/>
        <v>1131851.5799999998</v>
      </c>
      <c r="V150" s="16">
        <f t="shared" si="10"/>
        <v>344540.88999999996</v>
      </c>
      <c r="W150" s="16">
        <f t="shared" si="10"/>
        <v>800409</v>
      </c>
      <c r="X150" s="16">
        <f t="shared" si="10"/>
        <v>28600</v>
      </c>
      <c r="Y150" s="16">
        <f t="shared" si="10"/>
        <v>46800</v>
      </c>
      <c r="Z150" s="16">
        <f t="shared" si="10"/>
        <v>2000</v>
      </c>
      <c r="AA150" s="16">
        <f t="shared" si="10"/>
        <v>25475</v>
      </c>
      <c r="AB150" s="16">
        <f t="shared" si="10"/>
        <v>19283.25</v>
      </c>
      <c r="AC150" s="16">
        <f t="shared" si="10"/>
        <v>16727.3</v>
      </c>
      <c r="AD150" s="16">
        <f t="shared" si="10"/>
        <v>1575</v>
      </c>
      <c r="AE150" s="16">
        <f t="shared" si="10"/>
        <v>5145</v>
      </c>
      <c r="AF150" s="16">
        <f t="shared" si="10"/>
        <v>7080</v>
      </c>
      <c r="AG150" s="16">
        <f t="shared" si="10"/>
        <v>780</v>
      </c>
      <c r="AH150" s="16">
        <f t="shared" si="10"/>
        <v>0</v>
      </c>
      <c r="AI150" s="47">
        <f t="shared" si="10"/>
        <v>0</v>
      </c>
      <c r="AJ150"/>
      <c r="AK150" s="37"/>
      <c r="AM150" s="1"/>
      <c r="AN150" s="1"/>
    </row>
    <row r="151" spans="1:42" ht="15" thickTop="1" x14ac:dyDescent="0.3">
      <c r="K151" s="1">
        <f>+K64</f>
        <v>1573477</v>
      </c>
      <c r="AK151" s="37"/>
      <c r="AM151" s="1"/>
      <c r="AN151" s="1"/>
    </row>
    <row r="152" spans="1:42" x14ac:dyDescent="0.3">
      <c r="K152" s="1">
        <f>+K150-K151</f>
        <v>6331077.3299999982</v>
      </c>
      <c r="Q152" s="1">
        <f>+G150-P150-Q150</f>
        <v>0</v>
      </c>
    </row>
    <row r="153" spans="1:42" x14ac:dyDescent="0.3">
      <c r="M153" s="46"/>
    </row>
    <row r="154" spans="1:42" x14ac:dyDescent="0.3">
      <c r="D154"/>
      <c r="E154" s="49"/>
      <c r="F154" s="14"/>
      <c r="H154" s="21" t="s">
        <v>25</v>
      </c>
      <c r="I154" s="21" t="s">
        <v>26</v>
      </c>
      <c r="J154" s="21" t="s">
        <v>27</v>
      </c>
      <c r="K154" s="21" t="s">
        <v>28</v>
      </c>
    </row>
    <row r="155" spans="1:42" x14ac:dyDescent="0.3">
      <c r="B155" s="14" t="s">
        <v>30</v>
      </c>
      <c r="D155" s="15">
        <v>3813293.04</v>
      </c>
      <c r="G155" s="14" t="s">
        <v>23</v>
      </c>
      <c r="H155" s="1">
        <f>+H150-I155</f>
        <v>3270402.4999999986</v>
      </c>
      <c r="I155" s="1">
        <v>0</v>
      </c>
      <c r="J155" s="1">
        <f>+H155*0.16</f>
        <v>523264.39999999979</v>
      </c>
      <c r="K155" s="1">
        <f>+SUM(H155:J155)</f>
        <v>3793666.8999999985</v>
      </c>
      <c r="M155" s="46"/>
    </row>
    <row r="156" spans="1:42" x14ac:dyDescent="0.3">
      <c r="A156" s="22" t="s">
        <v>32</v>
      </c>
      <c r="B156" s="14" t="s">
        <v>31</v>
      </c>
      <c r="D156" s="15">
        <f>+H159</f>
        <v>3813293.8617279986</v>
      </c>
      <c r="G156" s="14" t="s">
        <v>24</v>
      </c>
      <c r="H156" s="1">
        <f>+'AGO USD'!N22</f>
        <v>216159.26652800001</v>
      </c>
      <c r="I156" s="1">
        <f>+'AGO USD'!N23</f>
        <v>326732.09520000004</v>
      </c>
      <c r="J156" s="1">
        <f>+H156*0.16</f>
        <v>34585.482644479998</v>
      </c>
      <c r="K156" s="1">
        <f>+SUM(H156:J156)</f>
        <v>577476.84437247994</v>
      </c>
    </row>
    <row r="157" spans="1:42" ht="15" thickBot="1" x14ac:dyDescent="0.35">
      <c r="A157" s="22" t="s">
        <v>33</v>
      </c>
      <c r="B157" s="14" t="s">
        <v>34</v>
      </c>
      <c r="D157" s="20">
        <f>+D155-D156</f>
        <v>-0.82172799855470657</v>
      </c>
      <c r="E157" s="35"/>
      <c r="H157" s="20">
        <f>+SUM(H155:H156)</f>
        <v>3486561.7665279987</v>
      </c>
      <c r="I157" s="20">
        <f t="shared" ref="I157:J157" si="11">+SUM(I155:I156)</f>
        <v>326732.09520000004</v>
      </c>
      <c r="J157" s="20">
        <f t="shared" si="11"/>
        <v>557849.88264447975</v>
      </c>
      <c r="K157" s="20">
        <f>+SUM(K155:K156)</f>
        <v>4371143.7443724787</v>
      </c>
    </row>
    <row r="158" spans="1:42" ht="15" thickTop="1" x14ac:dyDescent="0.3">
      <c r="D158"/>
    </row>
    <row r="159" spans="1:42" x14ac:dyDescent="0.3">
      <c r="D159" s="33"/>
      <c r="G159" s="14" t="s">
        <v>29</v>
      </c>
      <c r="H159" s="15">
        <f>+H157+I157</f>
        <v>3813293.8617279986</v>
      </c>
    </row>
    <row r="160" spans="1:42" x14ac:dyDescent="0.3">
      <c r="D160" s="33"/>
      <c r="G160" s="14"/>
      <c r="H160" s="15"/>
      <c r="AP160" s="1"/>
    </row>
    <row r="161" spans="1:42" x14ac:dyDescent="0.3">
      <c r="D161" s="33"/>
      <c r="G161" s="14"/>
      <c r="H161" s="15"/>
      <c r="AP161" s="1"/>
    </row>
    <row r="162" spans="1:42" x14ac:dyDescent="0.3">
      <c r="D162" s="33"/>
      <c r="G162" s="14"/>
      <c r="H162" s="15"/>
      <c r="AP162" s="1"/>
    </row>
    <row r="163" spans="1:42" x14ac:dyDescent="0.3">
      <c r="D163" s="33"/>
      <c r="G163" s="14"/>
      <c r="H163" s="15"/>
      <c r="AP163" s="1"/>
    </row>
    <row r="164" spans="1:42" s="1" customFormat="1" x14ac:dyDescent="0.3">
      <c r="A164"/>
      <c r="B164"/>
      <c r="C164"/>
      <c r="D164" s="33"/>
      <c r="E164"/>
      <c r="F164"/>
      <c r="G164" s="14"/>
      <c r="H164" s="15"/>
      <c r="M164"/>
      <c r="N164"/>
      <c r="O164"/>
      <c r="R164"/>
      <c r="AM164"/>
      <c r="AN164"/>
      <c r="AO164"/>
      <c r="AP164"/>
    </row>
    <row r="165" spans="1:42" s="1" customFormat="1" x14ac:dyDescent="0.3">
      <c r="A165"/>
      <c r="B165"/>
      <c r="C165"/>
      <c r="D165" s="33"/>
      <c r="E165"/>
      <c r="F165"/>
      <c r="G165" s="14"/>
      <c r="H165" s="15"/>
      <c r="M165"/>
      <c r="N165"/>
      <c r="O165"/>
      <c r="R165"/>
      <c r="AM165"/>
      <c r="AN165"/>
      <c r="AO165"/>
      <c r="AP165"/>
    </row>
    <row r="166" spans="1:42" s="1" customFormat="1" x14ac:dyDescent="0.3">
      <c r="A166"/>
      <c r="B166"/>
      <c r="C166"/>
      <c r="D166" s="33"/>
      <c r="E166"/>
      <c r="F166"/>
      <c r="G166" s="14"/>
      <c r="H166" s="15"/>
      <c r="M166"/>
      <c r="N166"/>
      <c r="O166"/>
      <c r="R166"/>
      <c r="AM166"/>
      <c r="AN166"/>
      <c r="AO166"/>
      <c r="AP166"/>
    </row>
    <row r="167" spans="1:42" s="1" customFormat="1" x14ac:dyDescent="0.3">
      <c r="A167"/>
      <c r="B167"/>
      <c r="C167"/>
      <c r="D167" s="33"/>
      <c r="E167"/>
      <c r="F167"/>
      <c r="G167" s="14"/>
      <c r="H167" s="15"/>
      <c r="M167"/>
      <c r="N167"/>
      <c r="O167"/>
      <c r="R167"/>
      <c r="AM167"/>
      <c r="AN167"/>
      <c r="AO167"/>
      <c r="AP167"/>
    </row>
  </sheetData>
  <autoFilter ref="A1:AM150" xr:uid="{6D9A6E66-117A-42D1-8872-A55637CA45F1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B71F-F5E7-4052-94AF-410E7896B960}">
  <sheetPr>
    <tabColor rgb="FF0070C0"/>
  </sheetPr>
  <dimension ref="A1:AN27"/>
  <sheetViews>
    <sheetView zoomScale="90" zoomScaleNormal="90" workbookViewId="0">
      <pane xSplit="2" ySplit="2" topLeftCell="C3" activePane="bottomRight" state="frozen"/>
      <selection activeCell="I67" sqref="I67"/>
      <selection pane="topRight" activeCell="I67" sqref="I67"/>
      <selection pane="bottomLeft" activeCell="I67" sqref="I67"/>
      <selection pane="bottomRight" activeCell="I67" sqref="I67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8" width="20.33203125" customWidth="1"/>
    <col min="29" max="29" width="15.6640625" customWidth="1"/>
    <col min="30" max="30" width="1.6640625" customWidth="1"/>
    <col min="39" max="39" width="15.6640625" customWidth="1"/>
  </cols>
  <sheetData>
    <row r="1" spans="1:40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40" ht="28.8" x14ac:dyDescent="0.3">
      <c r="A2" s="10" t="s">
        <v>6</v>
      </c>
      <c r="B2" s="10" t="s">
        <v>7</v>
      </c>
      <c r="C2" s="10" t="s">
        <v>794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1</v>
      </c>
      <c r="W2" s="5" t="s">
        <v>54</v>
      </c>
      <c r="X2" s="5" t="s">
        <v>1274</v>
      </c>
      <c r="Y2" s="5" t="s">
        <v>769</v>
      </c>
      <c r="Z2" s="5" t="s">
        <v>3</v>
      </c>
      <c r="AA2" s="5" t="s">
        <v>974</v>
      </c>
      <c r="AB2" s="5" t="s">
        <v>47</v>
      </c>
      <c r="AC2" s="5" t="s">
        <v>396</v>
      </c>
      <c r="AD2" s="8"/>
      <c r="AE2" s="5" t="s">
        <v>60</v>
      </c>
      <c r="AF2" s="5" t="s">
        <v>1</v>
      </c>
      <c r="AG2" s="5" t="s">
        <v>54</v>
      </c>
      <c r="AH2" s="5" t="s">
        <v>1274</v>
      </c>
      <c r="AI2" s="5" t="s">
        <v>769</v>
      </c>
      <c r="AJ2" s="5" t="s">
        <v>3</v>
      </c>
      <c r="AK2" s="5" t="s">
        <v>974</v>
      </c>
      <c r="AL2" s="5" t="s">
        <v>47</v>
      </c>
      <c r="AM2" s="5" t="s">
        <v>396</v>
      </c>
    </row>
    <row r="3" spans="1:40" x14ac:dyDescent="0.3">
      <c r="A3" s="82">
        <v>1</v>
      </c>
      <c r="B3" s="19" t="s">
        <v>1438</v>
      </c>
      <c r="C3" s="2" t="s">
        <v>1454</v>
      </c>
      <c r="D3" s="27">
        <v>45877</v>
      </c>
      <c r="E3" s="19" t="s">
        <v>1187</v>
      </c>
      <c r="F3" s="2" t="s">
        <v>1464</v>
      </c>
      <c r="G3" s="13">
        <v>0</v>
      </c>
      <c r="H3" s="13">
        <v>210</v>
      </c>
      <c r="I3" s="13">
        <v>0</v>
      </c>
      <c r="J3" s="13">
        <f>SUM(G3:I3)</f>
        <v>210</v>
      </c>
      <c r="K3" s="13">
        <v>0</v>
      </c>
      <c r="L3" s="13">
        <f>J3-K3</f>
        <v>210</v>
      </c>
      <c r="M3" s="18">
        <v>18.619199999999999</v>
      </c>
      <c r="N3" s="3">
        <f t="shared" ref="N3:N18" si="0">H3*M3</f>
        <v>3910.0319999999997</v>
      </c>
      <c r="O3" s="3">
        <f>I3*M3</f>
        <v>0</v>
      </c>
      <c r="P3" s="3">
        <f>J3*M3</f>
        <v>3910.0319999999997</v>
      </c>
      <c r="Q3" s="3">
        <f>M3*K3</f>
        <v>0</v>
      </c>
      <c r="R3" s="3">
        <f>L3*M3</f>
        <v>3910.0319999999997</v>
      </c>
      <c r="S3" s="48"/>
      <c r="T3" s="44"/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210</v>
      </c>
      <c r="AE3" s="3">
        <f>U3*M3</f>
        <v>0</v>
      </c>
      <c r="AF3" s="3">
        <f>+V3*M3</f>
        <v>0</v>
      </c>
      <c r="AG3" s="60">
        <f>+M3*W3</f>
        <v>0</v>
      </c>
      <c r="AH3" s="3">
        <f>+X3*M3</f>
        <v>0</v>
      </c>
      <c r="AI3" s="3">
        <f>+Y3*M3</f>
        <v>0</v>
      </c>
      <c r="AJ3" s="3">
        <f>+Z3*M3</f>
        <v>0</v>
      </c>
      <c r="AK3" s="3">
        <f>+AA3*M3</f>
        <v>0</v>
      </c>
      <c r="AL3" s="3">
        <f>+AB3*M3</f>
        <v>0</v>
      </c>
      <c r="AM3" s="3">
        <f>+AC3*M3</f>
        <v>3910.0319999999997</v>
      </c>
      <c r="AN3" s="46"/>
    </row>
    <row r="4" spans="1:40" x14ac:dyDescent="0.3">
      <c r="A4" s="82">
        <v>1</v>
      </c>
      <c r="B4" s="19" t="s">
        <v>1439</v>
      </c>
      <c r="C4" s="2" t="s">
        <v>1455</v>
      </c>
      <c r="D4" s="27">
        <v>45877</v>
      </c>
      <c r="E4" s="19" t="s">
        <v>157</v>
      </c>
      <c r="F4" s="2" t="s">
        <v>155</v>
      </c>
      <c r="G4" s="13">
        <v>0</v>
      </c>
      <c r="H4" s="13">
        <v>360.34</v>
      </c>
      <c r="I4" s="13">
        <v>57.65</v>
      </c>
      <c r="J4" s="13">
        <f t="shared" ref="J4:J18" si="1">SUM(G4:I4)</f>
        <v>417.98999999999995</v>
      </c>
      <c r="K4" s="13">
        <v>418</v>
      </c>
      <c r="L4" s="13">
        <f>J4-K4</f>
        <v>-1.0000000000047748E-2</v>
      </c>
      <c r="M4" s="18">
        <v>18.619199999999999</v>
      </c>
      <c r="N4" s="3">
        <f t="shared" si="0"/>
        <v>6709.2425279999989</v>
      </c>
      <c r="O4" s="3">
        <f>I4*M4</f>
        <v>1073.39688</v>
      </c>
      <c r="P4" s="3">
        <f>J4*M4</f>
        <v>7782.6394079999991</v>
      </c>
      <c r="Q4" s="3">
        <f>M4*K4</f>
        <v>7782.8256000000001</v>
      </c>
      <c r="R4" s="3">
        <f>L4*M4</f>
        <v>-0.18619200000088904</v>
      </c>
      <c r="S4" s="48"/>
      <c r="T4" s="44"/>
      <c r="U4" s="3">
        <v>0</v>
      </c>
      <c r="V4" s="3">
        <v>0</v>
      </c>
      <c r="W4" s="3">
        <v>0</v>
      </c>
      <c r="X4" s="3">
        <v>0</v>
      </c>
      <c r="Y4" s="3">
        <v>360.34</v>
      </c>
      <c r="Z4" s="3">
        <v>0</v>
      </c>
      <c r="AA4" s="3">
        <v>0</v>
      </c>
      <c r="AB4" s="3">
        <v>0</v>
      </c>
      <c r="AC4" s="3">
        <v>0</v>
      </c>
      <c r="AE4" s="3">
        <f>U4*M4</f>
        <v>0</v>
      </c>
      <c r="AF4" s="3">
        <f t="shared" ref="AF4:AF18" si="2">+V4*M4</f>
        <v>0</v>
      </c>
      <c r="AG4" s="60">
        <f t="shared" ref="AG4:AG18" si="3">+M4*W4</f>
        <v>0</v>
      </c>
      <c r="AH4" s="3">
        <f>+X4*M4</f>
        <v>0</v>
      </c>
      <c r="AI4" s="3">
        <f t="shared" ref="AI4:AI18" si="4">+Y4*M4</f>
        <v>6709.2425279999989</v>
      </c>
      <c r="AJ4" s="3">
        <f t="shared" ref="AJ4:AJ18" si="5">+Z4*M4</f>
        <v>0</v>
      </c>
      <c r="AK4" s="3">
        <f t="shared" ref="AK4:AK18" si="6">+AA4*M4</f>
        <v>0</v>
      </c>
      <c r="AL4" s="3">
        <f t="shared" ref="AL4:AL18" si="7">+AB4*M4</f>
        <v>0</v>
      </c>
      <c r="AM4" s="3">
        <f>+AC4*M4</f>
        <v>0</v>
      </c>
      <c r="AN4" s="46"/>
    </row>
    <row r="5" spans="1:40" x14ac:dyDescent="0.3">
      <c r="A5" s="82">
        <v>1</v>
      </c>
      <c r="B5" s="19" t="s">
        <v>1440</v>
      </c>
      <c r="C5" s="2" t="s">
        <v>1455</v>
      </c>
      <c r="D5" s="27">
        <v>45877</v>
      </c>
      <c r="E5" s="19" t="s">
        <v>157</v>
      </c>
      <c r="F5" s="2" t="s">
        <v>155</v>
      </c>
      <c r="G5" s="13">
        <v>0</v>
      </c>
      <c r="H5" s="13">
        <v>3750</v>
      </c>
      <c r="I5" s="13">
        <v>0</v>
      </c>
      <c r="J5" s="13">
        <f t="shared" si="1"/>
        <v>3750</v>
      </c>
      <c r="K5" s="13">
        <v>3750</v>
      </c>
      <c r="L5" s="13">
        <f t="shared" ref="L5:L18" si="8">J5-K5</f>
        <v>0</v>
      </c>
      <c r="M5" s="18">
        <v>18.619199999999999</v>
      </c>
      <c r="N5" s="3">
        <f t="shared" si="0"/>
        <v>69822</v>
      </c>
      <c r="O5" s="3">
        <f>I5*M5</f>
        <v>0</v>
      </c>
      <c r="P5" s="3">
        <f>J5*M5</f>
        <v>69822</v>
      </c>
      <c r="Q5" s="3">
        <f>M5*K5</f>
        <v>69822</v>
      </c>
      <c r="R5" s="3">
        <f>L5*M5</f>
        <v>0</v>
      </c>
      <c r="S5" s="48"/>
      <c r="T5" s="44"/>
      <c r="U5" s="3">
        <v>3750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E5" s="3">
        <f>U5*M5</f>
        <v>69822</v>
      </c>
      <c r="AF5" s="3">
        <f t="shared" si="2"/>
        <v>0</v>
      </c>
      <c r="AG5" s="3">
        <f t="shared" si="3"/>
        <v>0</v>
      </c>
      <c r="AH5" s="3">
        <f>+X5*M5</f>
        <v>0</v>
      </c>
      <c r="AI5" s="3">
        <f t="shared" si="4"/>
        <v>0</v>
      </c>
      <c r="AJ5" s="3">
        <f t="shared" si="5"/>
        <v>0</v>
      </c>
      <c r="AK5" s="3">
        <f t="shared" si="6"/>
        <v>0</v>
      </c>
      <c r="AL5" s="3">
        <f t="shared" si="7"/>
        <v>0</v>
      </c>
      <c r="AM5" s="3">
        <f>+AC5*M5</f>
        <v>0</v>
      </c>
      <c r="AN5" s="46"/>
    </row>
    <row r="6" spans="1:40" x14ac:dyDescent="0.3">
      <c r="A6" s="82">
        <v>1</v>
      </c>
      <c r="B6" s="19" t="s">
        <v>1526</v>
      </c>
      <c r="C6" s="2" t="s">
        <v>1375</v>
      </c>
      <c r="D6" s="27">
        <v>45890</v>
      </c>
      <c r="E6" s="19" t="s">
        <v>224</v>
      </c>
      <c r="F6" s="2" t="s">
        <v>221</v>
      </c>
      <c r="G6" s="13">
        <v>0</v>
      </c>
      <c r="H6" s="13">
        <v>10560</v>
      </c>
      <c r="I6" s="13">
        <v>1689.6</v>
      </c>
      <c r="J6" s="13">
        <f t="shared" si="1"/>
        <v>12249.6</v>
      </c>
      <c r="K6" s="13">
        <v>12249.6</v>
      </c>
      <c r="L6" s="13">
        <f t="shared" si="8"/>
        <v>0</v>
      </c>
      <c r="M6" s="18">
        <v>18.757200000000001</v>
      </c>
      <c r="N6" s="3">
        <f t="shared" si="0"/>
        <v>198076.03200000001</v>
      </c>
      <c r="O6" s="3">
        <f t="shared" ref="O6:O18" si="9">I6*M6</f>
        <v>31692.165120000001</v>
      </c>
      <c r="P6" s="3">
        <f t="shared" ref="P6:P18" si="10">J6*M6</f>
        <v>229768.19712000003</v>
      </c>
      <c r="Q6" s="3">
        <f t="shared" ref="Q6:Q18" si="11">M6*K6</f>
        <v>229768.19712000003</v>
      </c>
      <c r="R6" s="3">
        <f t="shared" ref="R6:R18" si="12">L6*M6</f>
        <v>0</v>
      </c>
      <c r="S6" s="48"/>
      <c r="T6" s="44"/>
      <c r="U6" s="3">
        <v>4050</v>
      </c>
      <c r="V6" s="3">
        <v>1350</v>
      </c>
      <c r="W6" s="3">
        <v>4350</v>
      </c>
      <c r="X6" s="3">
        <v>360</v>
      </c>
      <c r="Y6" s="3">
        <v>0</v>
      </c>
      <c r="Z6" s="3">
        <v>450</v>
      </c>
      <c r="AA6" s="3">
        <v>0</v>
      </c>
      <c r="AB6" s="3">
        <v>0</v>
      </c>
      <c r="AC6" s="3">
        <v>0</v>
      </c>
      <c r="AE6" s="3">
        <f>U6*M6</f>
        <v>75966.66</v>
      </c>
      <c r="AF6" s="3">
        <f t="shared" si="2"/>
        <v>25322.22</v>
      </c>
      <c r="AG6" s="3">
        <f t="shared" si="3"/>
        <v>81593.820000000007</v>
      </c>
      <c r="AH6" s="3">
        <f>+X6*M6</f>
        <v>6752.5920000000006</v>
      </c>
      <c r="AI6" s="3">
        <f t="shared" si="4"/>
        <v>0</v>
      </c>
      <c r="AJ6" s="3">
        <f t="shared" si="5"/>
        <v>8440.74</v>
      </c>
      <c r="AK6" s="3">
        <f t="shared" si="6"/>
        <v>0</v>
      </c>
      <c r="AL6" s="3">
        <f t="shared" si="7"/>
        <v>0</v>
      </c>
      <c r="AM6" s="3">
        <f>+AC6*M6</f>
        <v>0</v>
      </c>
      <c r="AN6" s="46"/>
    </row>
    <row r="7" spans="1:40" x14ac:dyDescent="0.3">
      <c r="A7" s="82">
        <v>1</v>
      </c>
      <c r="B7" s="19" t="s">
        <v>1527</v>
      </c>
      <c r="C7" s="2" t="s">
        <v>1226</v>
      </c>
      <c r="D7" s="27">
        <v>45890</v>
      </c>
      <c r="E7" s="19" t="s">
        <v>1227</v>
      </c>
      <c r="F7" s="2" t="s">
        <v>1228</v>
      </c>
      <c r="G7" s="13">
        <v>0</v>
      </c>
      <c r="H7" s="13">
        <f>75+3496</f>
        <v>3571</v>
      </c>
      <c r="I7" s="13">
        <v>0</v>
      </c>
      <c r="J7" s="13">
        <f t="shared" si="1"/>
        <v>3571</v>
      </c>
      <c r="K7" s="13">
        <v>3571</v>
      </c>
      <c r="L7" s="13">
        <f t="shared" si="8"/>
        <v>0</v>
      </c>
      <c r="M7" s="18">
        <v>18.757200000000001</v>
      </c>
      <c r="N7" s="3">
        <f t="shared" si="0"/>
        <v>66981.961200000005</v>
      </c>
      <c r="O7" s="3">
        <f t="shared" si="9"/>
        <v>0</v>
      </c>
      <c r="P7" s="3">
        <f t="shared" si="10"/>
        <v>66981.961200000005</v>
      </c>
      <c r="Q7" s="3">
        <f t="shared" si="11"/>
        <v>66981.961200000005</v>
      </c>
      <c r="R7" s="3">
        <f t="shared" si="12"/>
        <v>0</v>
      </c>
      <c r="S7" s="48"/>
      <c r="T7" s="44"/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3496</v>
      </c>
      <c r="AB7" s="3">
        <v>75</v>
      </c>
      <c r="AC7" s="3">
        <v>0</v>
      </c>
      <c r="AE7" s="3">
        <f>U7*M7</f>
        <v>0</v>
      </c>
      <c r="AF7" s="3">
        <f t="shared" si="2"/>
        <v>0</v>
      </c>
      <c r="AG7" s="3">
        <f t="shared" si="3"/>
        <v>0</v>
      </c>
      <c r="AH7" s="3">
        <f>+X7*M7</f>
        <v>0</v>
      </c>
      <c r="AI7" s="3">
        <f t="shared" si="4"/>
        <v>0</v>
      </c>
      <c r="AJ7" s="3">
        <f t="shared" si="5"/>
        <v>0</v>
      </c>
      <c r="AK7" s="3">
        <f t="shared" si="6"/>
        <v>65575.171199999997</v>
      </c>
      <c r="AL7" s="3">
        <f t="shared" si="7"/>
        <v>1406.79</v>
      </c>
      <c r="AM7" s="3">
        <f>+AC7*M7</f>
        <v>0</v>
      </c>
      <c r="AN7" s="46"/>
    </row>
    <row r="8" spans="1:40" x14ac:dyDescent="0.3">
      <c r="A8" s="82">
        <v>2</v>
      </c>
      <c r="B8" s="19" t="s">
        <v>1570</v>
      </c>
      <c r="C8" s="2" t="s">
        <v>1571</v>
      </c>
      <c r="D8" s="27">
        <v>45895</v>
      </c>
      <c r="E8" s="19" t="s">
        <v>40</v>
      </c>
      <c r="F8" s="2" t="s">
        <v>41</v>
      </c>
      <c r="G8" s="13">
        <v>0</v>
      </c>
      <c r="H8" s="13">
        <v>250</v>
      </c>
      <c r="I8" s="13">
        <v>40</v>
      </c>
      <c r="J8" s="13">
        <f t="shared" si="1"/>
        <v>290</v>
      </c>
      <c r="K8" s="13">
        <v>0</v>
      </c>
      <c r="L8" s="13">
        <f t="shared" si="8"/>
        <v>290</v>
      </c>
      <c r="M8" s="18">
        <v>18.636800000000001</v>
      </c>
      <c r="N8" s="3">
        <f t="shared" si="0"/>
        <v>4659.2</v>
      </c>
      <c r="O8" s="3">
        <f t="shared" si="9"/>
        <v>745.47199999999998</v>
      </c>
      <c r="P8" s="3">
        <f t="shared" si="10"/>
        <v>5404.6720000000005</v>
      </c>
      <c r="Q8" s="3">
        <f t="shared" si="11"/>
        <v>0</v>
      </c>
      <c r="R8" s="3">
        <f t="shared" si="12"/>
        <v>5404.6720000000005</v>
      </c>
      <c r="S8" s="48"/>
      <c r="T8" s="44"/>
      <c r="U8" s="3">
        <v>250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E8" s="3">
        <f t="shared" ref="AE8:AE18" si="13">U8*M8</f>
        <v>4659.2</v>
      </c>
      <c r="AF8" s="3">
        <f t="shared" si="2"/>
        <v>0</v>
      </c>
      <c r="AG8" s="3">
        <f t="shared" si="3"/>
        <v>0</v>
      </c>
      <c r="AH8" s="3">
        <f t="shared" ref="AH8:AH18" si="14">+X8*M8</f>
        <v>0</v>
      </c>
      <c r="AI8" s="3">
        <f t="shared" si="4"/>
        <v>0</v>
      </c>
      <c r="AJ8" s="3">
        <f t="shared" si="5"/>
        <v>0</v>
      </c>
      <c r="AK8" s="3">
        <f t="shared" si="6"/>
        <v>0</v>
      </c>
      <c r="AL8" s="3">
        <f t="shared" si="7"/>
        <v>0</v>
      </c>
      <c r="AM8" s="3">
        <f t="shared" ref="AM8:AM18" si="15">+AC8*M8</f>
        <v>0</v>
      </c>
      <c r="AN8" s="46"/>
    </row>
    <row r="9" spans="1:40" x14ac:dyDescent="0.3">
      <c r="A9" s="82">
        <v>2</v>
      </c>
      <c r="B9" s="19" t="s">
        <v>1618</v>
      </c>
      <c r="C9" s="2" t="s">
        <v>1619</v>
      </c>
      <c r="D9" s="27">
        <v>45897</v>
      </c>
      <c r="E9" s="19" t="s">
        <v>61</v>
      </c>
      <c r="F9" s="38" t="s">
        <v>156</v>
      </c>
      <c r="G9" s="13">
        <v>0</v>
      </c>
      <c r="H9" s="13">
        <v>6000</v>
      </c>
      <c r="I9" s="13">
        <v>0</v>
      </c>
      <c r="J9" s="13">
        <f t="shared" si="1"/>
        <v>6000</v>
      </c>
      <c r="K9" s="13">
        <v>0</v>
      </c>
      <c r="L9" s="13">
        <f t="shared" si="8"/>
        <v>6000</v>
      </c>
      <c r="M9" s="18">
        <v>18.691199999999998</v>
      </c>
      <c r="N9" s="3">
        <f t="shared" si="0"/>
        <v>112147.2</v>
      </c>
      <c r="O9" s="3">
        <f t="shared" si="9"/>
        <v>0</v>
      </c>
      <c r="P9" s="3">
        <f t="shared" si="10"/>
        <v>112147.2</v>
      </c>
      <c r="Q9" s="3">
        <f t="shared" si="11"/>
        <v>0</v>
      </c>
      <c r="R9" s="3">
        <f t="shared" si="12"/>
        <v>112147.2</v>
      </c>
      <c r="S9" s="48"/>
      <c r="T9" s="44"/>
      <c r="U9" s="3">
        <v>6000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E9" s="3">
        <f t="shared" si="13"/>
        <v>112147.2</v>
      </c>
      <c r="AF9" s="3">
        <f t="shared" si="2"/>
        <v>0</v>
      </c>
      <c r="AG9" s="3">
        <f t="shared" si="3"/>
        <v>0</v>
      </c>
      <c r="AH9" s="3">
        <f t="shared" si="14"/>
        <v>0</v>
      </c>
      <c r="AI9" s="3">
        <f t="shared" si="4"/>
        <v>0</v>
      </c>
      <c r="AJ9" s="3">
        <f t="shared" si="5"/>
        <v>0</v>
      </c>
      <c r="AK9" s="3">
        <f t="shared" si="6"/>
        <v>0</v>
      </c>
      <c r="AL9" s="3">
        <f t="shared" si="7"/>
        <v>0</v>
      </c>
      <c r="AM9" s="3">
        <f t="shared" si="15"/>
        <v>0</v>
      </c>
      <c r="AN9" s="46"/>
    </row>
    <row r="10" spans="1:40" x14ac:dyDescent="0.3">
      <c r="A10" s="82">
        <v>1</v>
      </c>
      <c r="B10" s="19" t="s">
        <v>1620</v>
      </c>
      <c r="C10" s="2" t="s">
        <v>1621</v>
      </c>
      <c r="D10" s="27">
        <v>45897</v>
      </c>
      <c r="E10" s="19" t="s">
        <v>1187</v>
      </c>
      <c r="F10" s="2" t="s">
        <v>1464</v>
      </c>
      <c r="G10" s="13">
        <v>0</v>
      </c>
      <c r="H10" s="13">
        <v>210</v>
      </c>
      <c r="I10" s="13">
        <v>0</v>
      </c>
      <c r="J10" s="13">
        <f t="shared" si="1"/>
        <v>210</v>
      </c>
      <c r="K10" s="13">
        <v>0</v>
      </c>
      <c r="L10" s="13">
        <f t="shared" si="8"/>
        <v>210</v>
      </c>
      <c r="M10" s="18">
        <v>18.691199999999998</v>
      </c>
      <c r="N10" s="3">
        <f t="shared" si="0"/>
        <v>3925.1519999999996</v>
      </c>
      <c r="O10" s="3">
        <f t="shared" si="9"/>
        <v>0</v>
      </c>
      <c r="P10" s="3">
        <f t="shared" si="10"/>
        <v>3925.1519999999996</v>
      </c>
      <c r="Q10" s="3">
        <f t="shared" si="11"/>
        <v>0</v>
      </c>
      <c r="R10" s="3">
        <f t="shared" si="12"/>
        <v>3925.1519999999996</v>
      </c>
      <c r="S10" s="48"/>
      <c r="T10" s="44"/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210</v>
      </c>
      <c r="AE10" s="3">
        <f t="shared" si="13"/>
        <v>0</v>
      </c>
      <c r="AF10" s="3">
        <f t="shared" si="2"/>
        <v>0</v>
      </c>
      <c r="AG10" s="3">
        <f t="shared" si="3"/>
        <v>0</v>
      </c>
      <c r="AH10" s="3">
        <f t="shared" si="14"/>
        <v>0</v>
      </c>
      <c r="AI10" s="3">
        <f t="shared" si="4"/>
        <v>0</v>
      </c>
      <c r="AJ10" s="3">
        <f t="shared" si="5"/>
        <v>0</v>
      </c>
      <c r="AK10" s="3">
        <f t="shared" si="6"/>
        <v>0</v>
      </c>
      <c r="AL10" s="3">
        <f t="shared" si="7"/>
        <v>0</v>
      </c>
      <c r="AM10" s="3">
        <f t="shared" si="15"/>
        <v>3925.1519999999996</v>
      </c>
      <c r="AN10" s="46"/>
    </row>
    <row r="11" spans="1:40" x14ac:dyDescent="0.3">
      <c r="A11" s="82">
        <v>1</v>
      </c>
      <c r="B11" s="19" t="s">
        <v>1646</v>
      </c>
      <c r="C11" s="2" t="s">
        <v>1647</v>
      </c>
      <c r="D11" s="27">
        <v>45898</v>
      </c>
      <c r="E11" s="19" t="s">
        <v>157</v>
      </c>
      <c r="F11" s="2" t="s">
        <v>155</v>
      </c>
      <c r="G11" s="13">
        <v>0</v>
      </c>
      <c r="H11" s="13">
        <v>3750</v>
      </c>
      <c r="I11" s="13">
        <v>0</v>
      </c>
      <c r="J11" s="13">
        <f t="shared" si="1"/>
        <v>3750</v>
      </c>
      <c r="K11" s="13">
        <v>3750</v>
      </c>
      <c r="L11" s="13">
        <f t="shared" si="8"/>
        <v>0</v>
      </c>
      <c r="M11" s="18">
        <v>18.652200000000001</v>
      </c>
      <c r="N11" s="3">
        <f t="shared" si="0"/>
        <v>69945.75</v>
      </c>
      <c r="O11" s="3">
        <f t="shared" si="9"/>
        <v>0</v>
      </c>
      <c r="P11" s="3">
        <f t="shared" si="10"/>
        <v>69945.75</v>
      </c>
      <c r="Q11" s="3">
        <f t="shared" si="11"/>
        <v>69945.75</v>
      </c>
      <c r="R11" s="3">
        <f t="shared" si="12"/>
        <v>0</v>
      </c>
      <c r="S11" s="48"/>
      <c r="T11" s="44"/>
      <c r="U11" s="3">
        <v>3750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E11" s="3">
        <f t="shared" si="13"/>
        <v>69945.75</v>
      </c>
      <c r="AF11" s="3">
        <f t="shared" si="2"/>
        <v>0</v>
      </c>
      <c r="AG11" s="3">
        <f t="shared" si="3"/>
        <v>0</v>
      </c>
      <c r="AH11" s="3">
        <f t="shared" si="14"/>
        <v>0</v>
      </c>
      <c r="AI11" s="3">
        <f t="shared" si="4"/>
        <v>0</v>
      </c>
      <c r="AJ11" s="3">
        <f t="shared" si="5"/>
        <v>0</v>
      </c>
      <c r="AK11" s="3">
        <f t="shared" si="6"/>
        <v>0</v>
      </c>
      <c r="AL11" s="3">
        <f t="shared" si="7"/>
        <v>0</v>
      </c>
      <c r="AM11" s="3">
        <f t="shared" si="15"/>
        <v>0</v>
      </c>
      <c r="AN11" s="46"/>
    </row>
    <row r="12" spans="1:40" x14ac:dyDescent="0.3">
      <c r="A12" s="82">
        <v>1</v>
      </c>
      <c r="B12" s="19" t="s">
        <v>1648</v>
      </c>
      <c r="C12" s="2" t="s">
        <v>1647</v>
      </c>
      <c r="D12" s="27">
        <v>45898</v>
      </c>
      <c r="E12" s="19" t="s">
        <v>157</v>
      </c>
      <c r="F12" s="2" t="s">
        <v>155</v>
      </c>
      <c r="G12" s="13">
        <v>0</v>
      </c>
      <c r="H12" s="13">
        <v>360</v>
      </c>
      <c r="I12" s="13">
        <v>57.6</v>
      </c>
      <c r="J12" s="13">
        <f t="shared" si="1"/>
        <v>417.6</v>
      </c>
      <c r="K12" s="13">
        <v>417.6</v>
      </c>
      <c r="L12" s="13">
        <f t="shared" si="8"/>
        <v>0</v>
      </c>
      <c r="M12" s="18">
        <v>18.652200000000001</v>
      </c>
      <c r="N12" s="3">
        <f t="shared" si="0"/>
        <v>6714.7920000000004</v>
      </c>
      <c r="O12" s="3">
        <f t="shared" si="9"/>
        <v>1074.36672</v>
      </c>
      <c r="P12" s="3">
        <f t="shared" si="10"/>
        <v>7789.1587200000004</v>
      </c>
      <c r="Q12" s="3">
        <f t="shared" si="11"/>
        <v>7789.1587200000004</v>
      </c>
      <c r="R12" s="3">
        <f t="shared" si="12"/>
        <v>0</v>
      </c>
      <c r="S12" s="48"/>
      <c r="T12" s="44"/>
      <c r="U12" s="3">
        <v>0</v>
      </c>
      <c r="V12" s="3">
        <v>0</v>
      </c>
      <c r="W12" s="3">
        <v>0</v>
      </c>
      <c r="X12" s="3">
        <v>0</v>
      </c>
      <c r="Y12" s="3">
        <v>360</v>
      </c>
      <c r="Z12" s="3">
        <v>0</v>
      </c>
      <c r="AA12" s="3">
        <v>0</v>
      </c>
      <c r="AB12" s="3">
        <v>0</v>
      </c>
      <c r="AC12" s="3">
        <v>0</v>
      </c>
      <c r="AE12" s="3">
        <f t="shared" si="13"/>
        <v>0</v>
      </c>
      <c r="AF12" s="3">
        <f t="shared" si="2"/>
        <v>0</v>
      </c>
      <c r="AG12" s="3">
        <f t="shared" si="3"/>
        <v>0</v>
      </c>
      <c r="AH12" s="3">
        <f t="shared" si="14"/>
        <v>0</v>
      </c>
      <c r="AI12" s="3">
        <f t="shared" si="4"/>
        <v>6714.7920000000004</v>
      </c>
      <c r="AJ12" s="3">
        <f t="shared" si="5"/>
        <v>0</v>
      </c>
      <c r="AK12" s="3">
        <f t="shared" si="6"/>
        <v>0</v>
      </c>
      <c r="AL12" s="3">
        <f t="shared" si="7"/>
        <v>0</v>
      </c>
      <c r="AM12" s="3">
        <f t="shared" si="15"/>
        <v>0</v>
      </c>
      <c r="AN12" s="46"/>
    </row>
    <row r="13" spans="1:40" x14ac:dyDescent="0.3">
      <c r="A13" s="82"/>
      <c r="B13" s="19"/>
      <c r="C13" s="2"/>
      <c r="D13" s="27"/>
      <c r="E13" s="19"/>
      <c r="F13" s="2"/>
      <c r="G13" s="13"/>
      <c r="H13" s="13"/>
      <c r="I13" s="13"/>
      <c r="J13" s="13">
        <f t="shared" si="1"/>
        <v>0</v>
      </c>
      <c r="K13" s="13"/>
      <c r="L13" s="13">
        <f t="shared" si="8"/>
        <v>0</v>
      </c>
      <c r="M13" s="18"/>
      <c r="N13" s="3">
        <f t="shared" si="0"/>
        <v>0</v>
      </c>
      <c r="O13" s="3">
        <f t="shared" si="9"/>
        <v>0</v>
      </c>
      <c r="P13" s="3">
        <f t="shared" si="10"/>
        <v>0</v>
      </c>
      <c r="Q13" s="3">
        <f t="shared" si="11"/>
        <v>0</v>
      </c>
      <c r="R13" s="3">
        <f t="shared" si="12"/>
        <v>0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E13" s="3">
        <f t="shared" si="13"/>
        <v>0</v>
      </c>
      <c r="AF13" s="3">
        <f t="shared" si="2"/>
        <v>0</v>
      </c>
      <c r="AG13" s="3">
        <f t="shared" si="3"/>
        <v>0</v>
      </c>
      <c r="AH13" s="3">
        <f t="shared" si="14"/>
        <v>0</v>
      </c>
      <c r="AI13" s="3">
        <f t="shared" si="4"/>
        <v>0</v>
      </c>
      <c r="AJ13" s="3">
        <f t="shared" si="5"/>
        <v>0</v>
      </c>
      <c r="AK13" s="3">
        <f t="shared" si="6"/>
        <v>0</v>
      </c>
      <c r="AL13" s="3">
        <f t="shared" si="7"/>
        <v>0</v>
      </c>
      <c r="AM13" s="3">
        <f t="shared" si="15"/>
        <v>0</v>
      </c>
      <c r="AN13" s="46"/>
    </row>
    <row r="14" spans="1:40" x14ac:dyDescent="0.3">
      <c r="A14" s="82"/>
      <c r="B14" s="19"/>
      <c r="C14" s="2"/>
      <c r="D14" s="27"/>
      <c r="E14" s="19"/>
      <c r="F14" s="2"/>
      <c r="G14" s="13"/>
      <c r="H14" s="13"/>
      <c r="I14" s="13"/>
      <c r="J14" s="13">
        <f t="shared" si="1"/>
        <v>0</v>
      </c>
      <c r="K14" s="13"/>
      <c r="L14" s="13">
        <f t="shared" si="8"/>
        <v>0</v>
      </c>
      <c r="M14" s="18"/>
      <c r="N14" s="3">
        <f t="shared" si="0"/>
        <v>0</v>
      </c>
      <c r="O14" s="3">
        <f t="shared" si="9"/>
        <v>0</v>
      </c>
      <c r="P14" s="3">
        <f t="shared" si="10"/>
        <v>0</v>
      </c>
      <c r="Q14" s="3">
        <f t="shared" si="11"/>
        <v>0</v>
      </c>
      <c r="R14" s="3">
        <f t="shared" si="12"/>
        <v>0</v>
      </c>
      <c r="S14" s="48"/>
      <c r="T14" s="44"/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E14" s="3">
        <f t="shared" si="13"/>
        <v>0</v>
      </c>
      <c r="AF14" s="3">
        <f t="shared" si="2"/>
        <v>0</v>
      </c>
      <c r="AG14" s="3">
        <f t="shared" si="3"/>
        <v>0</v>
      </c>
      <c r="AH14" s="3">
        <f t="shared" si="14"/>
        <v>0</v>
      </c>
      <c r="AI14" s="3">
        <f t="shared" si="4"/>
        <v>0</v>
      </c>
      <c r="AJ14" s="3">
        <f t="shared" si="5"/>
        <v>0</v>
      </c>
      <c r="AK14" s="3">
        <f t="shared" si="6"/>
        <v>0</v>
      </c>
      <c r="AL14" s="3">
        <f t="shared" si="7"/>
        <v>0</v>
      </c>
      <c r="AM14" s="3">
        <f t="shared" si="15"/>
        <v>0</v>
      </c>
      <c r="AN14" s="46"/>
    </row>
    <row r="15" spans="1:40" x14ac:dyDescent="0.3">
      <c r="A15" s="82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8"/>
        <v>0</v>
      </c>
      <c r="M15" s="18"/>
      <c r="N15" s="3">
        <f t="shared" si="0"/>
        <v>0</v>
      </c>
      <c r="O15" s="3">
        <f t="shared" si="9"/>
        <v>0</v>
      </c>
      <c r="P15" s="3">
        <f t="shared" si="10"/>
        <v>0</v>
      </c>
      <c r="Q15" s="3">
        <f t="shared" si="11"/>
        <v>0</v>
      </c>
      <c r="R15" s="3">
        <f t="shared" si="12"/>
        <v>0</v>
      </c>
      <c r="S15" s="48"/>
      <c r="T15" s="44"/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E15" s="3">
        <f t="shared" si="13"/>
        <v>0</v>
      </c>
      <c r="AF15" s="3">
        <f t="shared" si="2"/>
        <v>0</v>
      </c>
      <c r="AG15" s="3">
        <f t="shared" si="3"/>
        <v>0</v>
      </c>
      <c r="AH15" s="3">
        <f t="shared" si="14"/>
        <v>0</v>
      </c>
      <c r="AI15" s="3">
        <f t="shared" si="4"/>
        <v>0</v>
      </c>
      <c r="AJ15" s="3">
        <f t="shared" si="5"/>
        <v>0</v>
      </c>
      <c r="AK15" s="3">
        <f t="shared" si="6"/>
        <v>0</v>
      </c>
      <c r="AL15" s="3">
        <f t="shared" si="7"/>
        <v>0</v>
      </c>
      <c r="AM15" s="3">
        <f t="shared" si="15"/>
        <v>0</v>
      </c>
      <c r="AN15" s="46"/>
    </row>
    <row r="16" spans="1:40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8"/>
        <v>0</v>
      </c>
      <c r="M16" s="18"/>
      <c r="N16" s="3">
        <f t="shared" si="0"/>
        <v>0</v>
      </c>
      <c r="O16" s="3">
        <f t="shared" si="9"/>
        <v>0</v>
      </c>
      <c r="P16" s="3">
        <f t="shared" si="10"/>
        <v>0</v>
      </c>
      <c r="Q16" s="3">
        <f t="shared" si="11"/>
        <v>0</v>
      </c>
      <c r="R16" s="3">
        <f t="shared" si="12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E16" s="3">
        <f t="shared" si="13"/>
        <v>0</v>
      </c>
      <c r="AF16" s="3">
        <f t="shared" si="2"/>
        <v>0</v>
      </c>
      <c r="AG16" s="3">
        <f t="shared" si="3"/>
        <v>0</v>
      </c>
      <c r="AH16" s="3">
        <f t="shared" si="14"/>
        <v>0</v>
      </c>
      <c r="AI16" s="3">
        <f t="shared" si="4"/>
        <v>0</v>
      </c>
      <c r="AJ16" s="3">
        <f t="shared" si="5"/>
        <v>0</v>
      </c>
      <c r="AK16" s="3">
        <f t="shared" si="6"/>
        <v>0</v>
      </c>
      <c r="AL16" s="3">
        <f t="shared" si="7"/>
        <v>0</v>
      </c>
      <c r="AM16" s="3">
        <f t="shared" si="15"/>
        <v>0</v>
      </c>
      <c r="AN16" s="46"/>
    </row>
    <row r="17" spans="1:40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8"/>
        <v>0</v>
      </c>
      <c r="M17" s="18"/>
      <c r="N17" s="3">
        <f t="shared" si="0"/>
        <v>0</v>
      </c>
      <c r="O17" s="3">
        <f t="shared" si="9"/>
        <v>0</v>
      </c>
      <c r="P17" s="3">
        <f t="shared" si="10"/>
        <v>0</v>
      </c>
      <c r="Q17" s="3">
        <f t="shared" si="11"/>
        <v>0</v>
      </c>
      <c r="R17" s="3">
        <f t="shared" si="12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E17" s="3">
        <f t="shared" si="13"/>
        <v>0</v>
      </c>
      <c r="AF17" s="3">
        <f t="shared" si="2"/>
        <v>0</v>
      </c>
      <c r="AG17" s="3">
        <f t="shared" si="3"/>
        <v>0</v>
      </c>
      <c r="AH17" s="3">
        <f t="shared" si="14"/>
        <v>0</v>
      </c>
      <c r="AI17" s="3">
        <f t="shared" si="4"/>
        <v>0</v>
      </c>
      <c r="AJ17" s="3">
        <f t="shared" si="5"/>
        <v>0</v>
      </c>
      <c r="AK17" s="3">
        <f t="shared" si="6"/>
        <v>0</v>
      </c>
      <c r="AL17" s="3">
        <f t="shared" si="7"/>
        <v>0</v>
      </c>
      <c r="AM17" s="3">
        <f t="shared" si="15"/>
        <v>0</v>
      </c>
      <c r="AN17" s="46"/>
    </row>
    <row r="18" spans="1:40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8"/>
        <v>0</v>
      </c>
      <c r="M18" s="18"/>
      <c r="N18" s="3">
        <f t="shared" si="0"/>
        <v>0</v>
      </c>
      <c r="O18" s="3">
        <f t="shared" si="9"/>
        <v>0</v>
      </c>
      <c r="P18" s="3">
        <f t="shared" si="10"/>
        <v>0</v>
      </c>
      <c r="Q18" s="3">
        <f t="shared" si="11"/>
        <v>0</v>
      </c>
      <c r="R18" s="3">
        <f t="shared" si="12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E18" s="3">
        <f t="shared" si="13"/>
        <v>0</v>
      </c>
      <c r="AF18" s="3">
        <f t="shared" si="2"/>
        <v>0</v>
      </c>
      <c r="AG18" s="3">
        <f t="shared" si="3"/>
        <v>0</v>
      </c>
      <c r="AH18" s="3">
        <f t="shared" si="14"/>
        <v>0</v>
      </c>
      <c r="AI18" s="3">
        <f t="shared" si="4"/>
        <v>0</v>
      </c>
      <c r="AJ18" s="3">
        <f t="shared" si="5"/>
        <v>0</v>
      </c>
      <c r="AK18" s="3">
        <f t="shared" si="6"/>
        <v>0</v>
      </c>
      <c r="AL18" s="3">
        <f t="shared" si="7"/>
        <v>0</v>
      </c>
      <c r="AM18" s="3">
        <f t="shared" si="15"/>
        <v>0</v>
      </c>
      <c r="AN18" s="46"/>
    </row>
    <row r="19" spans="1:40" ht="15" thickBot="1" x14ac:dyDescent="0.35">
      <c r="A19" s="14"/>
      <c r="B19" s="14"/>
      <c r="C19" s="14"/>
      <c r="D19" s="28"/>
      <c r="E19" s="14"/>
      <c r="F19" s="14"/>
      <c r="G19" s="17">
        <f t="shared" ref="G19:L19" si="16">+SUM(G3:G18)</f>
        <v>0</v>
      </c>
      <c r="H19" s="59">
        <f t="shared" si="16"/>
        <v>29021.34</v>
      </c>
      <c r="I19" s="17">
        <f t="shared" si="16"/>
        <v>1844.85</v>
      </c>
      <c r="J19" s="17">
        <f t="shared" si="16"/>
        <v>30866.19</v>
      </c>
      <c r="K19" s="17">
        <f t="shared" si="16"/>
        <v>24156.199999999997</v>
      </c>
      <c r="L19" s="17">
        <f t="shared" si="16"/>
        <v>6709.99</v>
      </c>
      <c r="M19" s="14"/>
      <c r="N19" s="55">
        <f>+SUM(N3:N18)</f>
        <v>542891.36172800011</v>
      </c>
      <c r="O19" s="16">
        <f>+SUM(O3:O18)</f>
        <v>34585.400719999998</v>
      </c>
      <c r="P19" s="16">
        <f>+SUM(P3:P18)</f>
        <v>577476.76244800002</v>
      </c>
      <c r="Q19" s="16">
        <f>+SUM(Q3:Q18)</f>
        <v>452089.89264000003</v>
      </c>
      <c r="R19" s="16">
        <f>+SUM(R3:R18)</f>
        <v>125386.869808</v>
      </c>
      <c r="S19" s="15"/>
      <c r="T19" s="15"/>
      <c r="U19" s="17">
        <f t="shared" ref="U19:AC19" si="17">+SUM(U3:U18)</f>
        <v>17800</v>
      </c>
      <c r="V19" s="17">
        <f t="shared" si="17"/>
        <v>1350</v>
      </c>
      <c r="W19" s="17">
        <f t="shared" si="17"/>
        <v>4350</v>
      </c>
      <c r="X19" s="17">
        <f t="shared" si="17"/>
        <v>360</v>
      </c>
      <c r="Y19" s="17">
        <f t="shared" si="17"/>
        <v>720.33999999999992</v>
      </c>
      <c r="Z19" s="17">
        <f t="shared" si="17"/>
        <v>450</v>
      </c>
      <c r="AA19" s="17">
        <f t="shared" si="17"/>
        <v>3496</v>
      </c>
      <c r="AB19" s="17">
        <f t="shared" si="17"/>
        <v>75</v>
      </c>
      <c r="AC19" s="17">
        <f t="shared" si="17"/>
        <v>420</v>
      </c>
      <c r="AD19" s="14"/>
      <c r="AE19" s="16">
        <f t="shared" ref="AE19:AM19" si="18">+SUM(AE3:AE18)</f>
        <v>332540.81</v>
      </c>
      <c r="AF19" s="16">
        <f t="shared" si="18"/>
        <v>25322.22</v>
      </c>
      <c r="AG19" s="16">
        <f t="shared" si="18"/>
        <v>81593.820000000007</v>
      </c>
      <c r="AH19" s="16">
        <f t="shared" si="18"/>
        <v>6752.5920000000006</v>
      </c>
      <c r="AI19" s="16">
        <f t="shared" si="18"/>
        <v>13424.034528</v>
      </c>
      <c r="AJ19" s="16">
        <f t="shared" si="18"/>
        <v>8440.74</v>
      </c>
      <c r="AK19" s="16">
        <f t="shared" si="18"/>
        <v>65575.171199999997</v>
      </c>
      <c r="AL19" s="16">
        <f t="shared" si="18"/>
        <v>1406.79</v>
      </c>
      <c r="AM19" s="16">
        <f t="shared" si="18"/>
        <v>7835.1839999999993</v>
      </c>
      <c r="AN19" s="14"/>
    </row>
    <row r="20" spans="1:40" ht="15" thickTop="1" x14ac:dyDescent="0.3">
      <c r="AC20" s="34">
        <f>+SUM(T19:AC19)</f>
        <v>29021.34</v>
      </c>
      <c r="AM20" s="1">
        <f>+SUM(AE19:AM19)</f>
        <v>542891.36172800011</v>
      </c>
    </row>
    <row r="21" spans="1:40" x14ac:dyDescent="0.3">
      <c r="H21" s="23"/>
      <c r="N21" s="1"/>
      <c r="O21" s="23"/>
      <c r="P21" s="32"/>
      <c r="AC21" s="34">
        <f>+AC20-H19</f>
        <v>0</v>
      </c>
      <c r="AM21" s="1">
        <f>+AM20-N19</f>
        <v>0</v>
      </c>
    </row>
    <row r="22" spans="1:40" x14ac:dyDescent="0.3">
      <c r="H22" s="23"/>
      <c r="I22" s="32"/>
      <c r="M22">
        <v>16</v>
      </c>
      <c r="N22" s="46">
        <f>+N4+N6+N8+N12</f>
        <v>216159.26652800001</v>
      </c>
      <c r="O22" s="81"/>
    </row>
    <row r="23" spans="1:40" x14ac:dyDescent="0.3">
      <c r="M23">
        <v>0</v>
      </c>
      <c r="N23" s="23">
        <f>+N3+N5+N7+N9+N10+N11</f>
        <v>326732.09520000004</v>
      </c>
      <c r="O23" s="81"/>
    </row>
    <row r="24" spans="1:40" x14ac:dyDescent="0.3">
      <c r="N24" s="23"/>
    </row>
    <row r="25" spans="1:40" x14ac:dyDescent="0.3">
      <c r="N25" s="23">
        <f>+N19-N22-N23</f>
        <v>0</v>
      </c>
    </row>
    <row r="26" spans="1:40" x14ac:dyDescent="0.3">
      <c r="M26" s="32"/>
    </row>
    <row r="27" spans="1:40" x14ac:dyDescent="0.3">
      <c r="M27" s="32"/>
    </row>
  </sheetData>
  <autoFilter ref="A2:AM19" xr:uid="{8AB32C8C-2F1A-4C1B-BB94-CF5A4C8E86AF}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889B-F0BB-4508-B76A-97FA3F413022}">
  <sheetPr>
    <tabColor rgb="FF0070C0"/>
  </sheetPr>
  <dimension ref="A1:AP108"/>
  <sheetViews>
    <sheetView showGridLines="0" zoomScale="90" zoomScaleNormal="90" zoomScaleSheetLayoutView="50" workbookViewId="0">
      <pane xSplit="3" ySplit="1" topLeftCell="D13" activePane="bottomRight" state="frozen"/>
      <selection activeCell="F21" sqref="F21"/>
      <selection pane="topRight" activeCell="F21" sqref="F21"/>
      <selection pane="bottomLeft" activeCell="F21" sqref="F21"/>
      <selection pane="bottomRight" activeCell="F1" sqref="F1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4" width="16.44140625" style="1" customWidth="1"/>
    <col min="35" max="35" width="15.6640625" style="1" customWidth="1"/>
    <col min="36" max="36" width="38.109375" style="1" bestFit="1" customWidth="1"/>
    <col min="37" max="37" width="35.6640625" style="1" customWidth="1"/>
    <col min="38" max="38" width="15.6640625" style="1" customWidth="1"/>
    <col min="39" max="39" width="12.33203125" bestFit="1" customWidth="1"/>
    <col min="40" max="40" width="13.88671875" bestFit="1" customWidth="1"/>
    <col min="41" max="41" width="12.5546875" bestFit="1" customWidth="1"/>
  </cols>
  <sheetData>
    <row r="1" spans="1:41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670</v>
      </c>
      <c r="Z1" s="5" t="s">
        <v>974</v>
      </c>
      <c r="AA1" s="5" t="s">
        <v>545</v>
      </c>
      <c r="AB1" s="5" t="s">
        <v>5</v>
      </c>
      <c r="AC1" s="5" t="s">
        <v>55</v>
      </c>
      <c r="AD1" s="5" t="s">
        <v>1219</v>
      </c>
      <c r="AE1" s="5" t="s">
        <v>1220</v>
      </c>
      <c r="AF1" s="5" t="s">
        <v>48</v>
      </c>
      <c r="AG1" s="5" t="s">
        <v>585</v>
      </c>
      <c r="AH1" s="5" t="s">
        <v>763</v>
      </c>
      <c r="AI1"/>
      <c r="AJ1"/>
      <c r="AK1" s="7"/>
      <c r="AL1" s="5" t="s">
        <v>35</v>
      </c>
      <c r="AM1" s="5" t="s">
        <v>36</v>
      </c>
      <c r="AN1" s="5" t="s">
        <v>17</v>
      </c>
      <c r="AO1" s="5" t="s">
        <v>59</v>
      </c>
    </row>
    <row r="2" spans="1:41" x14ac:dyDescent="0.3">
      <c r="A2" s="38">
        <v>1</v>
      </c>
      <c r="B2" s="38" t="s">
        <v>1649</v>
      </c>
      <c r="C2" s="38" t="s">
        <v>1650</v>
      </c>
      <c r="D2" s="39">
        <v>45902</v>
      </c>
      <c r="E2" s="38" t="s">
        <v>418</v>
      </c>
      <c r="F2" s="38" t="s">
        <v>407</v>
      </c>
      <c r="G2" s="40">
        <v>1405</v>
      </c>
      <c r="H2" s="87">
        <f>15511.23-1405</f>
        <v>14106.23</v>
      </c>
      <c r="I2" s="40">
        <v>2257</v>
      </c>
      <c r="J2" s="40">
        <f>SUM(G2:I2)</f>
        <v>17768.23</v>
      </c>
      <c r="K2" s="40">
        <v>26855.16</v>
      </c>
      <c r="L2" s="40">
        <f>+J2-K2</f>
        <v>-9086.93</v>
      </c>
      <c r="M2" s="38" t="s">
        <v>35</v>
      </c>
      <c r="N2" s="54"/>
      <c r="O2" s="36"/>
      <c r="P2" s="40">
        <v>0</v>
      </c>
      <c r="Q2" s="40">
        <v>1405</v>
      </c>
      <c r="R2" s="41"/>
      <c r="S2" s="40">
        <v>6500</v>
      </c>
      <c r="T2" s="40">
        <v>802.16</v>
      </c>
      <c r="U2" s="40">
        <v>3126.59</v>
      </c>
      <c r="V2" s="40">
        <v>1177.48</v>
      </c>
      <c r="W2" s="40">
        <v>2500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36">
        <f t="shared" ref="AI2:AI30" si="0">+SUM(S2:AH2)-H2</f>
        <v>0</v>
      </c>
      <c r="AJ2"/>
      <c r="AK2" s="58" t="s">
        <v>1</v>
      </c>
      <c r="AL2" s="1">
        <f>+S91</f>
        <v>407143.89</v>
      </c>
      <c r="AM2" s="1">
        <f>+'SEP USD'!AF19</f>
        <v>6973.2659999999996</v>
      </c>
      <c r="AN2" s="1">
        <f>SUM(AL2:AM2)</f>
        <v>414117.15600000002</v>
      </c>
      <c r="AO2" s="56">
        <f>+AN2/AN21</f>
        <v>0.2329652990348314</v>
      </c>
    </row>
    <row r="3" spans="1:41" x14ac:dyDescent="0.3">
      <c r="A3" s="38">
        <v>2</v>
      </c>
      <c r="B3" s="38" t="s">
        <v>1651</v>
      </c>
      <c r="C3" s="38" t="s">
        <v>1652</v>
      </c>
      <c r="D3" s="39">
        <v>45908</v>
      </c>
      <c r="E3" s="38" t="s">
        <v>40</v>
      </c>
      <c r="F3" s="38" t="s">
        <v>41</v>
      </c>
      <c r="G3" s="40">
        <v>0</v>
      </c>
      <c r="H3" s="87">
        <v>43300</v>
      </c>
      <c r="I3" s="40">
        <v>6928</v>
      </c>
      <c r="J3" s="40">
        <f t="shared" ref="J3:J62" si="1">SUM(G3:I3)</f>
        <v>50228</v>
      </c>
      <c r="K3" s="40">
        <v>0</v>
      </c>
      <c r="L3" s="40">
        <f t="shared" ref="L3:L66" si="2">+J3-K3</f>
        <v>50228</v>
      </c>
      <c r="M3" s="38" t="s">
        <v>35</v>
      </c>
      <c r="N3" s="54"/>
      <c r="O3" s="36"/>
      <c r="P3" s="40">
        <v>0</v>
      </c>
      <c r="Q3" s="40">
        <v>0</v>
      </c>
      <c r="R3" s="40"/>
      <c r="S3" s="40">
        <v>4200</v>
      </c>
      <c r="T3" s="40">
        <v>0</v>
      </c>
      <c r="U3" s="40">
        <v>0</v>
      </c>
      <c r="V3" s="40">
        <v>0</v>
      </c>
      <c r="W3" s="40">
        <v>37500</v>
      </c>
      <c r="X3" s="40">
        <v>0</v>
      </c>
      <c r="Y3" s="40">
        <v>0</v>
      </c>
      <c r="Z3" s="40">
        <v>0</v>
      </c>
      <c r="AA3" s="40">
        <v>1600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/>
      <c r="AK3" s="58" t="s">
        <v>50</v>
      </c>
      <c r="AL3" s="1">
        <f>+T91</f>
        <v>18807.990000000002</v>
      </c>
      <c r="AM3" s="1"/>
      <c r="AN3" s="1">
        <f t="shared" ref="AN3:AN20" si="3">SUM(AL3:AM3)</f>
        <v>18807.990000000002</v>
      </c>
      <c r="AO3" s="56">
        <f>+AN3/AN21</f>
        <v>1.0580602496444554E-2</v>
      </c>
    </row>
    <row r="4" spans="1:41" x14ac:dyDescent="0.3">
      <c r="A4" s="38">
        <v>1</v>
      </c>
      <c r="B4" s="38" t="s">
        <v>1653</v>
      </c>
      <c r="C4" s="38" t="s">
        <v>1654</v>
      </c>
      <c r="D4" s="39">
        <v>45908</v>
      </c>
      <c r="E4" s="38" t="s">
        <v>40</v>
      </c>
      <c r="F4" s="38" t="s">
        <v>41</v>
      </c>
      <c r="G4" s="40">
        <v>0</v>
      </c>
      <c r="H4" s="87">
        <v>3540</v>
      </c>
      <c r="I4" s="40">
        <v>566.4</v>
      </c>
      <c r="J4" s="40">
        <f t="shared" si="1"/>
        <v>4106.3999999999996</v>
      </c>
      <c r="K4" s="40">
        <v>0</v>
      </c>
      <c r="L4" s="40">
        <f t="shared" si="2"/>
        <v>4106.3999999999996</v>
      </c>
      <c r="M4" s="38" t="s">
        <v>35</v>
      </c>
      <c r="N4" s="54"/>
      <c r="O4" s="36"/>
      <c r="P4" s="40">
        <v>0</v>
      </c>
      <c r="Q4" s="40">
        <v>0</v>
      </c>
      <c r="R4" s="40"/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3540</v>
      </c>
      <c r="AG4" s="40">
        <v>0</v>
      </c>
      <c r="AH4" s="40">
        <v>0</v>
      </c>
      <c r="AI4" s="36">
        <f t="shared" si="0"/>
        <v>0</v>
      </c>
      <c r="AJ4"/>
      <c r="AK4" s="58" t="s">
        <v>54</v>
      </c>
      <c r="AL4" s="1">
        <f>+U91</f>
        <v>464207.16</v>
      </c>
      <c r="AM4" s="1">
        <f>+'SEP USD'!AH19</f>
        <v>18350.7</v>
      </c>
      <c r="AN4" s="1">
        <f t="shared" si="3"/>
        <v>482557.86</v>
      </c>
      <c r="AO4" s="56">
        <f>+AN4/AN21</f>
        <v>0.27146722739617263</v>
      </c>
    </row>
    <row r="5" spans="1:41" x14ac:dyDescent="0.3">
      <c r="A5" s="38">
        <v>2</v>
      </c>
      <c r="B5" s="38" t="s">
        <v>1655</v>
      </c>
      <c r="C5" s="38" t="s">
        <v>1656</v>
      </c>
      <c r="D5" s="39">
        <v>45908</v>
      </c>
      <c r="E5" s="38" t="s">
        <v>22</v>
      </c>
      <c r="F5" s="38" t="s">
        <v>45</v>
      </c>
      <c r="G5" s="40">
        <v>336</v>
      </c>
      <c r="H5" s="87">
        <f>8136-336</f>
        <v>7800</v>
      </c>
      <c r="I5" s="40">
        <v>1248</v>
      </c>
      <c r="J5" s="40">
        <f t="shared" si="1"/>
        <v>9384</v>
      </c>
      <c r="K5" s="40">
        <v>9384</v>
      </c>
      <c r="L5" s="40">
        <f t="shared" si="2"/>
        <v>0</v>
      </c>
      <c r="M5" s="38" t="s">
        <v>35</v>
      </c>
      <c r="N5" s="54"/>
      <c r="O5" s="36"/>
      <c r="P5" s="40">
        <v>0</v>
      </c>
      <c r="Q5" s="40">
        <v>336</v>
      </c>
      <c r="R5" s="41"/>
      <c r="S5" s="40">
        <v>4200</v>
      </c>
      <c r="T5" s="40">
        <v>0</v>
      </c>
      <c r="U5" s="40">
        <v>0</v>
      </c>
      <c r="V5" s="40">
        <v>0</v>
      </c>
      <c r="W5" s="40">
        <v>3600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/>
      <c r="AK5" s="58" t="s">
        <v>43</v>
      </c>
      <c r="AL5" s="1">
        <f>+V91</f>
        <v>45932.11</v>
      </c>
      <c r="AM5" s="1"/>
      <c r="AN5" s="1">
        <f t="shared" si="3"/>
        <v>45932.11</v>
      </c>
      <c r="AO5" s="56">
        <f>+AN5/AN21</f>
        <v>2.583951808422728E-2</v>
      </c>
    </row>
    <row r="6" spans="1:41" x14ac:dyDescent="0.3">
      <c r="A6" s="38">
        <v>2</v>
      </c>
      <c r="B6" s="38" t="s">
        <v>1657</v>
      </c>
      <c r="C6" s="38" t="s">
        <v>1658</v>
      </c>
      <c r="D6" s="39">
        <v>45908</v>
      </c>
      <c r="E6" s="38" t="s">
        <v>22</v>
      </c>
      <c r="F6" s="38" t="s">
        <v>45</v>
      </c>
      <c r="G6" s="40">
        <v>336</v>
      </c>
      <c r="H6" s="87">
        <f>9336-336</f>
        <v>9000</v>
      </c>
      <c r="I6" s="40">
        <v>1440</v>
      </c>
      <c r="J6" s="40">
        <f t="shared" si="1"/>
        <v>10776</v>
      </c>
      <c r="K6" s="40">
        <v>10776</v>
      </c>
      <c r="L6" s="40">
        <f t="shared" si="2"/>
        <v>0</v>
      </c>
      <c r="M6" s="38" t="s">
        <v>35</v>
      </c>
      <c r="N6" s="54"/>
      <c r="O6" s="36"/>
      <c r="P6" s="40">
        <v>0</v>
      </c>
      <c r="Q6" s="40">
        <v>336</v>
      </c>
      <c r="R6" s="41"/>
      <c r="S6" s="40">
        <v>4200</v>
      </c>
      <c r="T6" s="40">
        <v>0</v>
      </c>
      <c r="U6" s="40">
        <v>0</v>
      </c>
      <c r="V6" s="40">
        <v>0</v>
      </c>
      <c r="W6" s="40">
        <v>4800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36">
        <f t="shared" si="0"/>
        <v>0</v>
      </c>
      <c r="AJ6"/>
      <c r="AK6" s="58" t="s">
        <v>0</v>
      </c>
      <c r="AL6" s="1">
        <f>+W91</f>
        <v>530792.33000000007</v>
      </c>
      <c r="AM6" s="1">
        <f>+'SEP USD'!AE19</f>
        <v>90561.355100000001</v>
      </c>
      <c r="AN6" s="1">
        <f t="shared" si="3"/>
        <v>621353.68510000012</v>
      </c>
      <c r="AO6" s="56">
        <f>+AN6/AN21</f>
        <v>0.34954805653044713</v>
      </c>
    </row>
    <row r="7" spans="1:41" x14ac:dyDescent="0.3">
      <c r="A7" s="38">
        <v>2</v>
      </c>
      <c r="B7" s="38" t="s">
        <v>1659</v>
      </c>
      <c r="C7" s="50" t="s">
        <v>1660</v>
      </c>
      <c r="D7" s="39">
        <v>45908</v>
      </c>
      <c r="E7" s="38" t="s">
        <v>22</v>
      </c>
      <c r="F7" s="38" t="s">
        <v>45</v>
      </c>
      <c r="G7" s="40">
        <v>781</v>
      </c>
      <c r="H7" s="87">
        <v>4500</v>
      </c>
      <c r="I7" s="40">
        <v>720</v>
      </c>
      <c r="J7" s="40">
        <f t="shared" si="1"/>
        <v>6001</v>
      </c>
      <c r="K7" s="40">
        <v>6001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v>781</v>
      </c>
      <c r="R7" s="41"/>
      <c r="S7" s="40">
        <v>4500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36">
        <f t="shared" si="0"/>
        <v>0</v>
      </c>
      <c r="AJ7"/>
      <c r="AK7" s="58" t="s">
        <v>478</v>
      </c>
      <c r="AL7" s="1">
        <f>+X91</f>
        <v>30000</v>
      </c>
      <c r="AM7" s="1"/>
      <c r="AN7" s="1">
        <f t="shared" si="3"/>
        <v>30000</v>
      </c>
      <c r="AO7" s="80">
        <f>+AN7/AN21</f>
        <v>1.6876767527701609E-2</v>
      </c>
    </row>
    <row r="8" spans="1:41" x14ac:dyDescent="0.3">
      <c r="A8" s="38">
        <v>2</v>
      </c>
      <c r="B8" s="38" t="s">
        <v>1661</v>
      </c>
      <c r="C8" s="38" t="s">
        <v>1662</v>
      </c>
      <c r="D8" s="39">
        <v>45908</v>
      </c>
      <c r="E8" s="38" t="s">
        <v>22</v>
      </c>
      <c r="F8" s="38" t="s">
        <v>45</v>
      </c>
      <c r="G8" s="40">
        <v>781</v>
      </c>
      <c r="H8" s="87">
        <v>4500</v>
      </c>
      <c r="I8" s="40">
        <v>720</v>
      </c>
      <c r="J8" s="40">
        <f t="shared" si="1"/>
        <v>6001</v>
      </c>
      <c r="K8" s="40">
        <v>6001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781</v>
      </c>
      <c r="R8" s="41"/>
      <c r="S8" s="40">
        <v>4500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/>
      <c r="AK8" s="58" t="s">
        <v>670</v>
      </c>
      <c r="AL8" s="1">
        <f>+Y91</f>
        <v>21300</v>
      </c>
      <c r="AM8" s="1"/>
      <c r="AN8" s="1">
        <f t="shared" si="3"/>
        <v>21300</v>
      </c>
      <c r="AO8" s="56">
        <f>+AN8/AN21</f>
        <v>1.1982504944668142E-2</v>
      </c>
    </row>
    <row r="9" spans="1:41" x14ac:dyDescent="0.3">
      <c r="A9" s="38">
        <v>2</v>
      </c>
      <c r="B9" s="38" t="s">
        <v>1663</v>
      </c>
      <c r="C9" s="38" t="s">
        <v>1664</v>
      </c>
      <c r="D9" s="39">
        <v>45908</v>
      </c>
      <c r="E9" s="38" t="s">
        <v>22</v>
      </c>
      <c r="F9" s="38" t="s">
        <v>45</v>
      </c>
      <c r="G9" s="40">
        <v>781</v>
      </c>
      <c r="H9" s="87">
        <v>4500</v>
      </c>
      <c r="I9" s="40">
        <v>720</v>
      </c>
      <c r="J9" s="40">
        <f t="shared" si="1"/>
        <v>6001</v>
      </c>
      <c r="K9" s="40">
        <v>6001</v>
      </c>
      <c r="L9" s="40">
        <f t="shared" si="2"/>
        <v>0</v>
      </c>
      <c r="M9" s="38" t="s">
        <v>35</v>
      </c>
      <c r="N9" s="54"/>
      <c r="O9" s="36"/>
      <c r="P9" s="40">
        <v>0</v>
      </c>
      <c r="Q9" s="40">
        <v>781</v>
      </c>
      <c r="R9" s="41"/>
      <c r="S9" s="40">
        <v>4500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/>
      <c r="AK9" s="58" t="s">
        <v>974</v>
      </c>
      <c r="AL9" s="1">
        <f>+Z91</f>
        <v>66539.41</v>
      </c>
      <c r="AM9" s="1">
        <f>+'SEP USD'!AK19</f>
        <v>0</v>
      </c>
      <c r="AN9" s="1">
        <f t="shared" si="3"/>
        <v>66539.41</v>
      </c>
      <c r="AO9" s="56">
        <f>+AN9/AN21</f>
        <v>3.7432338466680794E-2</v>
      </c>
    </row>
    <row r="10" spans="1:41" x14ac:dyDescent="0.3">
      <c r="A10" s="38">
        <v>2</v>
      </c>
      <c r="B10" s="38" t="s">
        <v>1665</v>
      </c>
      <c r="C10" s="38" t="s">
        <v>1666</v>
      </c>
      <c r="D10" s="39">
        <v>45908</v>
      </c>
      <c r="E10" s="38" t="s">
        <v>22</v>
      </c>
      <c r="F10" s="38" t="s">
        <v>45</v>
      </c>
      <c r="G10" s="40">
        <v>2045</v>
      </c>
      <c r="H10" s="87">
        <v>4500</v>
      </c>
      <c r="I10" s="40">
        <v>720</v>
      </c>
      <c r="J10" s="40">
        <f t="shared" si="1"/>
        <v>7265</v>
      </c>
      <c r="K10" s="40">
        <v>7265</v>
      </c>
      <c r="L10" s="40">
        <f t="shared" si="2"/>
        <v>0</v>
      </c>
      <c r="M10" s="38" t="s">
        <v>35</v>
      </c>
      <c r="N10" s="54"/>
      <c r="O10" s="36"/>
      <c r="P10" s="40">
        <v>0</v>
      </c>
      <c r="Q10" s="40">
        <v>2045</v>
      </c>
      <c r="R10" s="41"/>
      <c r="S10" s="40">
        <v>4500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/>
      <c r="AK10" s="58" t="s">
        <v>545</v>
      </c>
      <c r="AL10" s="1">
        <f>+AA91</f>
        <v>12700</v>
      </c>
      <c r="AM10" s="1"/>
      <c r="AN10" s="1">
        <f t="shared" si="3"/>
        <v>12700</v>
      </c>
      <c r="AO10" s="56">
        <f>+AN10/AN21</f>
        <v>7.144498253393681E-3</v>
      </c>
    </row>
    <row r="11" spans="1:41" x14ac:dyDescent="0.3">
      <c r="A11" s="38">
        <v>1</v>
      </c>
      <c r="B11" s="38" t="s">
        <v>1667</v>
      </c>
      <c r="C11" s="2" t="s">
        <v>1312</v>
      </c>
      <c r="D11" s="39">
        <v>45909</v>
      </c>
      <c r="E11" s="38" t="s">
        <v>40</v>
      </c>
      <c r="F11" s="38" t="s">
        <v>41</v>
      </c>
      <c r="G11" s="40">
        <v>0</v>
      </c>
      <c r="H11" s="87">
        <v>99753.1</v>
      </c>
      <c r="I11" s="40">
        <v>15960.5</v>
      </c>
      <c r="J11" s="40">
        <f t="shared" si="1"/>
        <v>115713.60000000001</v>
      </c>
      <c r="K11" s="40">
        <v>0</v>
      </c>
      <c r="L11" s="40">
        <f t="shared" si="2"/>
        <v>115713.60000000001</v>
      </c>
      <c r="M11" s="38" t="s">
        <v>35</v>
      </c>
      <c r="N11" s="54"/>
      <c r="O11" s="36"/>
      <c r="P11" s="40">
        <v>0</v>
      </c>
      <c r="Q11" s="40">
        <v>0</v>
      </c>
      <c r="R11" s="41"/>
      <c r="S11" s="40">
        <v>5618.85</v>
      </c>
      <c r="T11" s="40">
        <v>1574.71</v>
      </c>
      <c r="U11" s="40">
        <v>29072.04</v>
      </c>
      <c r="V11" s="40">
        <v>0</v>
      </c>
      <c r="W11" s="40">
        <f>58600+4025</f>
        <v>62625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862.5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36">
        <f t="shared" si="0"/>
        <v>0</v>
      </c>
      <c r="AJ11"/>
      <c r="AK11" s="58" t="s">
        <v>5</v>
      </c>
      <c r="AL11" s="1">
        <f>+AB91</f>
        <v>0</v>
      </c>
      <c r="AM11" s="1"/>
      <c r="AN11" s="1">
        <f t="shared" si="3"/>
        <v>0</v>
      </c>
      <c r="AO11" s="56">
        <f>+AN11/AN21</f>
        <v>0</v>
      </c>
    </row>
    <row r="12" spans="1:41" ht="14.4" customHeight="1" x14ac:dyDescent="0.3">
      <c r="A12" s="38">
        <v>2</v>
      </c>
      <c r="B12" s="38" t="s">
        <v>1668</v>
      </c>
      <c r="C12" s="2" t="s">
        <v>1669</v>
      </c>
      <c r="D12" s="39">
        <v>45909</v>
      </c>
      <c r="E12" s="38" t="s">
        <v>22</v>
      </c>
      <c r="F12" s="38" t="s">
        <v>45</v>
      </c>
      <c r="G12" s="40">
        <v>0</v>
      </c>
      <c r="H12" s="87">
        <v>10800</v>
      </c>
      <c r="I12" s="40">
        <v>1728</v>
      </c>
      <c r="J12" s="40">
        <f t="shared" si="1"/>
        <v>12528</v>
      </c>
      <c r="K12" s="40">
        <v>12528</v>
      </c>
      <c r="L12" s="40">
        <f t="shared" si="2"/>
        <v>0</v>
      </c>
      <c r="M12" s="38" t="s">
        <v>35</v>
      </c>
      <c r="N12" s="54"/>
      <c r="O12" s="36"/>
      <c r="P12" s="40">
        <v>0</v>
      </c>
      <c r="Q12" s="40">
        <v>0</v>
      </c>
      <c r="R12" s="41"/>
      <c r="S12" s="40">
        <v>4200</v>
      </c>
      <c r="T12" s="40">
        <v>0</v>
      </c>
      <c r="U12" s="40">
        <v>0</v>
      </c>
      <c r="V12" s="40">
        <v>0</v>
      </c>
      <c r="W12" s="40">
        <v>3600</v>
      </c>
      <c r="X12" s="40">
        <v>3000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/>
      <c r="AK12" s="58" t="s">
        <v>55</v>
      </c>
      <c r="AL12" s="1">
        <f>+AC91</f>
        <v>3197</v>
      </c>
      <c r="AM12" s="1"/>
      <c r="AN12" s="1">
        <f t="shared" si="3"/>
        <v>3197</v>
      </c>
      <c r="AO12" s="56">
        <f>+AN12/AN21</f>
        <v>1.7985008595354014E-3</v>
      </c>
    </row>
    <row r="13" spans="1:41" x14ac:dyDescent="0.3">
      <c r="A13" s="38">
        <v>2</v>
      </c>
      <c r="B13" s="38" t="s">
        <v>1670</v>
      </c>
      <c r="C13" s="2" t="s">
        <v>1582</v>
      </c>
      <c r="D13" s="39">
        <v>45909</v>
      </c>
      <c r="E13" s="38" t="s">
        <v>53</v>
      </c>
      <c r="F13" s="38" t="s">
        <v>199</v>
      </c>
      <c r="G13" s="40">
        <v>782</v>
      </c>
      <c r="H13" s="87">
        <v>7400</v>
      </c>
      <c r="I13" s="40">
        <v>1184</v>
      </c>
      <c r="J13" s="40">
        <f t="shared" si="1"/>
        <v>9366</v>
      </c>
      <c r="K13" s="40">
        <v>10148</v>
      </c>
      <c r="L13" s="40">
        <f t="shared" si="2"/>
        <v>-782</v>
      </c>
      <c r="M13" s="38" t="s">
        <v>35</v>
      </c>
      <c r="N13" s="54"/>
      <c r="O13" s="36"/>
      <c r="P13" s="40">
        <v>0</v>
      </c>
      <c r="Q13" s="40">
        <v>782</v>
      </c>
      <c r="R13" s="41"/>
      <c r="S13" s="40">
        <v>7400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/>
      <c r="AK13" s="58" t="s">
        <v>1219</v>
      </c>
      <c r="AL13" s="1">
        <f>+AD91</f>
        <v>1376.3</v>
      </c>
      <c r="AM13" s="1">
        <f>+'SEP USD'!AL19</f>
        <v>0</v>
      </c>
      <c r="AN13" s="1">
        <f t="shared" si="3"/>
        <v>1376.3</v>
      </c>
      <c r="AO13" s="80">
        <f>+AN13/AN21</f>
        <v>7.7424983827919082E-4</v>
      </c>
    </row>
    <row r="14" spans="1:41" x14ac:dyDescent="0.3">
      <c r="A14" s="38">
        <v>1</v>
      </c>
      <c r="B14" s="38" t="s">
        <v>1671</v>
      </c>
      <c r="C14" s="2" t="s">
        <v>1672</v>
      </c>
      <c r="D14" s="39">
        <v>45910</v>
      </c>
      <c r="E14" s="38" t="s">
        <v>53</v>
      </c>
      <c r="F14" s="38" t="s">
        <v>199</v>
      </c>
      <c r="G14" s="40">
        <v>1671</v>
      </c>
      <c r="H14" s="87">
        <f>24673.49-G14</f>
        <v>23002.49</v>
      </c>
      <c r="I14" s="40">
        <v>3680.4</v>
      </c>
      <c r="J14" s="40">
        <f t="shared" si="1"/>
        <v>28353.890000000003</v>
      </c>
      <c r="K14" s="40">
        <v>79623</v>
      </c>
      <c r="L14" s="40">
        <f t="shared" si="2"/>
        <v>-51269.11</v>
      </c>
      <c r="M14" s="38" t="s">
        <v>35</v>
      </c>
      <c r="N14" s="54"/>
      <c r="O14" s="36"/>
      <c r="P14" s="40">
        <v>0</v>
      </c>
      <c r="Q14" s="40">
        <v>1671</v>
      </c>
      <c r="R14" s="41"/>
      <c r="S14" s="40">
        <v>7200</v>
      </c>
      <c r="T14" s="40">
        <v>0</v>
      </c>
      <c r="U14" s="40">
        <v>12802.49</v>
      </c>
      <c r="V14" s="40">
        <v>0</v>
      </c>
      <c r="W14" s="40">
        <v>0</v>
      </c>
      <c r="X14" s="40">
        <v>3000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/>
      <c r="AK14" s="58" t="s">
        <v>1220</v>
      </c>
      <c r="AL14" s="1">
        <f>+AE91</f>
        <v>3211.37</v>
      </c>
      <c r="AM14" s="1">
        <f>+'SEP USD'!AJ19</f>
        <v>0</v>
      </c>
      <c r="AN14" s="1">
        <f t="shared" si="3"/>
        <v>3211.37</v>
      </c>
      <c r="AO14" s="56">
        <f>+AN14/AN21</f>
        <v>1.8065848311811705E-3</v>
      </c>
    </row>
    <row r="15" spans="1:41" x14ac:dyDescent="0.3">
      <c r="A15" s="38">
        <v>1</v>
      </c>
      <c r="B15" s="38" t="s">
        <v>1673</v>
      </c>
      <c r="C15" s="2" t="s">
        <v>1674</v>
      </c>
      <c r="D15" s="39">
        <v>45910</v>
      </c>
      <c r="E15" s="38" t="s">
        <v>53</v>
      </c>
      <c r="F15" s="38" t="s">
        <v>199</v>
      </c>
      <c r="G15" s="40">
        <v>0</v>
      </c>
      <c r="H15" s="87">
        <v>14122.65</v>
      </c>
      <c r="I15" s="40">
        <v>2259.62</v>
      </c>
      <c r="J15" s="40">
        <f t="shared" si="1"/>
        <v>16382.27</v>
      </c>
      <c r="K15" s="40">
        <v>54752</v>
      </c>
      <c r="L15" s="40">
        <f t="shared" si="2"/>
        <v>-38369.729999999996</v>
      </c>
      <c r="M15" s="38" t="s">
        <v>35</v>
      </c>
      <c r="N15" s="54"/>
      <c r="O15" s="36"/>
      <c r="P15" s="40">
        <v>0</v>
      </c>
      <c r="Q15" s="40">
        <v>0</v>
      </c>
      <c r="R15" s="41"/>
      <c r="S15" s="40">
        <v>7200</v>
      </c>
      <c r="T15" s="40">
        <v>0</v>
      </c>
      <c r="U15" s="40">
        <v>3922.65</v>
      </c>
      <c r="V15" s="40">
        <v>0</v>
      </c>
      <c r="W15" s="40">
        <v>0</v>
      </c>
      <c r="X15" s="40">
        <v>3000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/>
      <c r="AK15" s="58" t="s">
        <v>48</v>
      </c>
      <c r="AL15" s="1">
        <f>+AF91</f>
        <v>3540</v>
      </c>
      <c r="AM15" s="1"/>
      <c r="AN15" s="1">
        <f t="shared" si="3"/>
        <v>3540</v>
      </c>
      <c r="AO15" s="56">
        <f>+AN15/AN21</f>
        <v>1.9914585682687899E-3</v>
      </c>
    </row>
    <row r="16" spans="1:41" x14ac:dyDescent="0.3">
      <c r="A16" s="38">
        <v>1</v>
      </c>
      <c r="B16" s="38" t="s">
        <v>1675</v>
      </c>
      <c r="C16" s="2" t="s">
        <v>1676</v>
      </c>
      <c r="D16" s="39">
        <v>45910</v>
      </c>
      <c r="E16" s="38" t="s">
        <v>53</v>
      </c>
      <c r="F16" s="38" t="s">
        <v>199</v>
      </c>
      <c r="G16" s="40">
        <v>0</v>
      </c>
      <c r="H16" s="87">
        <v>63721.15</v>
      </c>
      <c r="I16" s="40">
        <v>10195.379999999999</v>
      </c>
      <c r="J16" s="40">
        <f t="shared" si="1"/>
        <v>73916.53</v>
      </c>
      <c r="K16" s="40">
        <v>73916.53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0</v>
      </c>
      <c r="R16" s="41"/>
      <c r="S16" s="40">
        <v>7200</v>
      </c>
      <c r="T16" s="40">
        <v>0</v>
      </c>
      <c r="U16" s="40">
        <v>56521.15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/>
      <c r="AK16" s="58" t="s">
        <v>585</v>
      </c>
      <c r="AL16" s="1">
        <f>+AG91</f>
        <v>0</v>
      </c>
      <c r="AM16" s="1"/>
      <c r="AN16" s="1">
        <f t="shared" si="3"/>
        <v>0</v>
      </c>
      <c r="AO16" s="56">
        <f>+AN16/AN21</f>
        <v>0</v>
      </c>
    </row>
    <row r="17" spans="1:41" x14ac:dyDescent="0.3">
      <c r="A17" s="38">
        <v>1</v>
      </c>
      <c r="B17" s="38" t="s">
        <v>1677</v>
      </c>
      <c r="C17" s="2" t="s">
        <v>1678</v>
      </c>
      <c r="D17" s="39">
        <v>45910</v>
      </c>
      <c r="E17" s="38" t="s">
        <v>53</v>
      </c>
      <c r="F17" s="38" t="s">
        <v>199</v>
      </c>
      <c r="G17" s="40">
        <v>0</v>
      </c>
      <c r="H17" s="87">
        <v>35263.040000000001</v>
      </c>
      <c r="I17" s="40">
        <v>5642.09</v>
      </c>
      <c r="J17" s="40">
        <f t="shared" si="1"/>
        <v>40905.130000000005</v>
      </c>
      <c r="K17" s="40">
        <v>66352</v>
      </c>
      <c r="L17" s="40">
        <f t="shared" si="2"/>
        <v>-25446.869999999995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7200</v>
      </c>
      <c r="T17" s="40">
        <v>0</v>
      </c>
      <c r="U17" s="40">
        <v>28063.040000000001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/>
      <c r="AK17" s="58" t="s">
        <v>763</v>
      </c>
      <c r="AL17" s="1">
        <f>+AH91</f>
        <v>0</v>
      </c>
      <c r="AM17" s="1"/>
      <c r="AN17" s="1">
        <f t="shared" si="3"/>
        <v>0</v>
      </c>
      <c r="AO17" s="56">
        <f>+AN17/AN21</f>
        <v>0</v>
      </c>
    </row>
    <row r="18" spans="1:41" x14ac:dyDescent="0.3">
      <c r="A18" s="38">
        <v>1</v>
      </c>
      <c r="B18" s="38" t="s">
        <v>1679</v>
      </c>
      <c r="C18" s="2" t="s">
        <v>1680</v>
      </c>
      <c r="D18" s="39">
        <v>45910</v>
      </c>
      <c r="E18" s="38" t="s">
        <v>53</v>
      </c>
      <c r="F18" s="38" t="s">
        <v>199</v>
      </c>
      <c r="G18" s="40">
        <v>0</v>
      </c>
      <c r="H18" s="87">
        <v>33972.28</v>
      </c>
      <c r="I18" s="40">
        <v>5435.56</v>
      </c>
      <c r="J18" s="40">
        <f t="shared" si="1"/>
        <v>39407.839999999997</v>
      </c>
      <c r="K18" s="40">
        <v>66352</v>
      </c>
      <c r="L18" s="40">
        <f t="shared" si="2"/>
        <v>-26944.160000000003</v>
      </c>
      <c r="M18" s="38" t="s">
        <v>35</v>
      </c>
      <c r="N18" s="54"/>
      <c r="O18" s="36"/>
      <c r="P18" s="40">
        <v>0</v>
      </c>
      <c r="Q18" s="40">
        <v>0</v>
      </c>
      <c r="R18" s="41"/>
      <c r="S18" s="40">
        <v>7200</v>
      </c>
      <c r="T18" s="40">
        <v>0</v>
      </c>
      <c r="U18" s="40">
        <v>26772.28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/>
      <c r="AK18" s="37" t="s">
        <v>514</v>
      </c>
      <c r="AL18" s="1">
        <v>0</v>
      </c>
      <c r="AM18" s="1">
        <f>+'SEP USD'!AG19</f>
        <v>7065.0195000000003</v>
      </c>
      <c r="AN18" s="1">
        <f t="shared" si="3"/>
        <v>7065.0195000000003</v>
      </c>
      <c r="AO18" s="56">
        <f>+AN18/AN21</f>
        <v>3.9744897226726217E-3</v>
      </c>
    </row>
    <row r="19" spans="1:41" x14ac:dyDescent="0.3">
      <c r="A19" s="38">
        <v>1</v>
      </c>
      <c r="B19" s="38" t="s">
        <v>1681</v>
      </c>
      <c r="C19" s="2" t="s">
        <v>1682</v>
      </c>
      <c r="D19" s="39">
        <v>45910</v>
      </c>
      <c r="E19" s="38" t="s">
        <v>53</v>
      </c>
      <c r="F19" s="38" t="s">
        <v>199</v>
      </c>
      <c r="G19" s="40">
        <v>0</v>
      </c>
      <c r="H19" s="87">
        <v>21513.64</v>
      </c>
      <c r="I19" s="40">
        <v>3442.18</v>
      </c>
      <c r="J19" s="40">
        <f t="shared" si="1"/>
        <v>24955.82</v>
      </c>
      <c r="K19" s="40">
        <v>66352</v>
      </c>
      <c r="L19" s="40">
        <f t="shared" si="2"/>
        <v>-41396.18</v>
      </c>
      <c r="M19" s="38" t="s">
        <v>35</v>
      </c>
      <c r="N19" s="54"/>
      <c r="O19" s="36"/>
      <c r="P19" s="40">
        <v>0</v>
      </c>
      <c r="Q19" s="40">
        <v>0</v>
      </c>
      <c r="R19" s="41"/>
      <c r="S19" s="40">
        <v>7200</v>
      </c>
      <c r="T19" s="40">
        <v>0</v>
      </c>
      <c r="U19" s="40">
        <v>14313.64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/>
      <c r="AK19" s="37" t="s">
        <v>1775</v>
      </c>
      <c r="AL19" s="1">
        <v>0</v>
      </c>
      <c r="AM19" s="1">
        <f>+'SEP USD'!AM19</f>
        <v>36862.400000000001</v>
      </c>
      <c r="AN19" s="1">
        <f t="shared" si="3"/>
        <v>36862.400000000001</v>
      </c>
      <c r="AO19" s="56">
        <f>+AN19/AN21</f>
        <v>2.0737271843771592E-2</v>
      </c>
    </row>
    <row r="20" spans="1:41" x14ac:dyDescent="0.3">
      <c r="A20" s="38">
        <v>2</v>
      </c>
      <c r="B20" s="38" t="s">
        <v>1683</v>
      </c>
      <c r="C20" s="50" t="s">
        <v>1684</v>
      </c>
      <c r="D20" s="39">
        <v>45910</v>
      </c>
      <c r="E20" s="38" t="s">
        <v>22</v>
      </c>
      <c r="F20" s="38" t="s">
        <v>45</v>
      </c>
      <c r="G20" s="40">
        <v>336</v>
      </c>
      <c r="H20" s="87">
        <v>4200</v>
      </c>
      <c r="I20" s="40">
        <v>672</v>
      </c>
      <c r="J20" s="40">
        <f t="shared" si="1"/>
        <v>5208</v>
      </c>
      <c r="K20" s="40">
        <v>5208</v>
      </c>
      <c r="L20" s="40">
        <f t="shared" si="2"/>
        <v>0</v>
      </c>
      <c r="M20" s="38" t="s">
        <v>35</v>
      </c>
      <c r="N20" s="54"/>
      <c r="O20" s="36"/>
      <c r="P20" s="40">
        <v>0</v>
      </c>
      <c r="Q20" s="40">
        <v>336</v>
      </c>
      <c r="R20" s="41"/>
      <c r="S20" s="40">
        <v>4200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/>
      <c r="AK20" s="58" t="s">
        <v>396</v>
      </c>
      <c r="AL20" s="1">
        <v>0</v>
      </c>
      <c r="AM20" s="1">
        <f>+'SEP USD'!AI19</f>
        <v>9031.2880000000005</v>
      </c>
      <c r="AN20" s="1">
        <f t="shared" si="3"/>
        <v>9031.2880000000005</v>
      </c>
      <c r="AO20" s="56">
        <f>+AN20/AN21</f>
        <v>5.0806316017240408E-3</v>
      </c>
    </row>
    <row r="21" spans="1:41" x14ac:dyDescent="0.3">
      <c r="A21" s="38">
        <v>2</v>
      </c>
      <c r="B21" s="38" t="s">
        <v>1685</v>
      </c>
      <c r="C21" s="50" t="s">
        <v>1686</v>
      </c>
      <c r="D21" s="39">
        <v>45910</v>
      </c>
      <c r="E21" s="38" t="s">
        <v>22</v>
      </c>
      <c r="F21" s="38" t="s">
        <v>45</v>
      </c>
      <c r="G21" s="40">
        <v>0</v>
      </c>
      <c r="H21" s="87">
        <v>4200</v>
      </c>
      <c r="I21" s="40">
        <v>672</v>
      </c>
      <c r="J21" s="40">
        <f t="shared" si="1"/>
        <v>4872</v>
      </c>
      <c r="K21" s="40">
        <v>4872</v>
      </c>
      <c r="L21" s="40">
        <f t="shared" si="2"/>
        <v>0</v>
      </c>
      <c r="M21" s="38" t="s">
        <v>35</v>
      </c>
      <c r="N21" s="54"/>
      <c r="O21" s="36"/>
      <c r="P21" s="40">
        <v>0</v>
      </c>
      <c r="Q21" s="40">
        <v>0</v>
      </c>
      <c r="R21" s="41"/>
      <c r="S21" s="40">
        <v>4200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/>
      <c r="AK21" s="37"/>
      <c r="AL21" s="45">
        <f>+SUM(AL2:AL20)</f>
        <v>1608747.56</v>
      </c>
      <c r="AM21" s="45">
        <f t="shared" ref="AM21:AN21" si="4">+SUM(AM2:AM20)</f>
        <v>168844.02859999999</v>
      </c>
      <c r="AN21" s="45">
        <f t="shared" si="4"/>
        <v>1777591.5886000001</v>
      </c>
      <c r="AO21" s="57">
        <f>+SUM(AO2:AO20)</f>
        <v>0.99999999999999989</v>
      </c>
    </row>
    <row r="22" spans="1:41" x14ac:dyDescent="0.3">
      <c r="A22" s="38">
        <v>2</v>
      </c>
      <c r="B22" s="38" t="s">
        <v>1687</v>
      </c>
      <c r="C22" s="50" t="s">
        <v>1688</v>
      </c>
      <c r="D22" s="39">
        <v>45910</v>
      </c>
      <c r="E22" s="38" t="s">
        <v>22</v>
      </c>
      <c r="F22" s="38" t="s">
        <v>45</v>
      </c>
      <c r="G22" s="40">
        <v>428</v>
      </c>
      <c r="H22" s="87">
        <v>3000</v>
      </c>
      <c r="I22" s="40">
        <v>480</v>
      </c>
      <c r="J22" s="40">
        <f>SUM(G22:I22)</f>
        <v>3908</v>
      </c>
      <c r="K22" s="40">
        <v>3908</v>
      </c>
      <c r="L22" s="40">
        <f t="shared" si="2"/>
        <v>0</v>
      </c>
      <c r="M22" s="38" t="s">
        <v>35</v>
      </c>
      <c r="N22" s="54"/>
      <c r="O22" s="36"/>
      <c r="P22" s="40">
        <v>0</v>
      </c>
      <c r="Q22" s="40">
        <v>428</v>
      </c>
      <c r="R22" s="41"/>
      <c r="S22" s="40">
        <v>3000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/>
      <c r="AL22" s="36"/>
      <c r="AM22" s="36"/>
      <c r="AN22" s="1"/>
    </row>
    <row r="23" spans="1:41" x14ac:dyDescent="0.3">
      <c r="A23" s="38">
        <v>2</v>
      </c>
      <c r="B23" s="38" t="s">
        <v>1689</v>
      </c>
      <c r="C23" s="38" t="s">
        <v>1690</v>
      </c>
      <c r="D23" s="39">
        <v>45910</v>
      </c>
      <c r="E23" s="38" t="s">
        <v>22</v>
      </c>
      <c r="F23" s="38" t="s">
        <v>45</v>
      </c>
      <c r="G23" s="40">
        <v>336</v>
      </c>
      <c r="H23" s="87">
        <v>4200</v>
      </c>
      <c r="I23" s="40">
        <v>672</v>
      </c>
      <c r="J23" s="40">
        <f t="shared" si="1"/>
        <v>5208</v>
      </c>
      <c r="K23" s="40">
        <v>5208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336</v>
      </c>
      <c r="R23" s="41"/>
      <c r="S23" s="40">
        <v>4200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/>
      <c r="AK23" s="37"/>
      <c r="AM23" s="1"/>
      <c r="AN23" s="1"/>
    </row>
    <row r="24" spans="1:41" x14ac:dyDescent="0.3">
      <c r="A24" s="38">
        <v>2</v>
      </c>
      <c r="B24" s="38" t="s">
        <v>1691</v>
      </c>
      <c r="C24" s="38" t="s">
        <v>1692</v>
      </c>
      <c r="D24" s="39">
        <v>45910</v>
      </c>
      <c r="E24" s="38" t="s">
        <v>22</v>
      </c>
      <c r="F24" s="38" t="s">
        <v>45</v>
      </c>
      <c r="G24" s="40">
        <v>0</v>
      </c>
      <c r="H24" s="87">
        <v>4200</v>
      </c>
      <c r="I24" s="40">
        <v>672</v>
      </c>
      <c r="J24" s="40">
        <f t="shared" si="1"/>
        <v>4872</v>
      </c>
      <c r="K24" s="40">
        <v>4872</v>
      </c>
      <c r="L24" s="40">
        <f t="shared" si="2"/>
        <v>0</v>
      </c>
      <c r="M24" s="38" t="s">
        <v>35</v>
      </c>
      <c r="N24" s="54"/>
      <c r="O24" s="36"/>
      <c r="P24" s="40">
        <v>0</v>
      </c>
      <c r="Q24" s="40">
        <v>0</v>
      </c>
      <c r="R24" s="41"/>
      <c r="S24" s="40">
        <v>4200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/>
      <c r="AK24" s="37"/>
      <c r="AM24" s="1"/>
      <c r="AN24" s="1"/>
    </row>
    <row r="25" spans="1:41" x14ac:dyDescent="0.3">
      <c r="A25" s="38">
        <v>1</v>
      </c>
      <c r="B25" s="38" t="s">
        <v>1693</v>
      </c>
      <c r="C25" s="38" t="s">
        <v>1694</v>
      </c>
      <c r="D25" s="39">
        <v>45910</v>
      </c>
      <c r="E25" s="38" t="s">
        <v>1244</v>
      </c>
      <c r="F25" s="38" t="s">
        <v>1246</v>
      </c>
      <c r="G25" s="40">
        <v>781</v>
      </c>
      <c r="H25" s="87">
        <f>15493.56-781</f>
        <v>14712.56</v>
      </c>
      <c r="I25" s="40">
        <v>2354.0100000000002</v>
      </c>
      <c r="J25" s="40">
        <f t="shared" si="1"/>
        <v>17847.57</v>
      </c>
      <c r="K25" s="40">
        <v>17847.57</v>
      </c>
      <c r="L25" s="40">
        <f t="shared" si="2"/>
        <v>0</v>
      </c>
      <c r="M25" s="38" t="s">
        <v>35</v>
      </c>
      <c r="N25" s="54"/>
      <c r="O25" s="36"/>
      <c r="P25" s="40">
        <v>0</v>
      </c>
      <c r="Q25" s="40">
        <v>781</v>
      </c>
      <c r="R25" s="41"/>
      <c r="S25" s="40">
        <v>6712.56</v>
      </c>
      <c r="T25" s="40">
        <v>0</v>
      </c>
      <c r="U25" s="40">
        <v>8000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/>
      <c r="AK25" s="37"/>
      <c r="AL25" s="53"/>
      <c r="AM25" s="1"/>
      <c r="AN25" s="1"/>
    </row>
    <row r="26" spans="1:41" x14ac:dyDescent="0.3">
      <c r="A26" s="38">
        <v>2</v>
      </c>
      <c r="B26" s="38" t="s">
        <v>1695</v>
      </c>
      <c r="C26" s="38" t="s">
        <v>1696</v>
      </c>
      <c r="D26" s="39">
        <v>45910</v>
      </c>
      <c r="E26" s="38" t="s">
        <v>61</v>
      </c>
      <c r="F26" s="38" t="s">
        <v>156</v>
      </c>
      <c r="G26" s="40">
        <v>0</v>
      </c>
      <c r="H26" s="87">
        <v>13777.33</v>
      </c>
      <c r="I26" s="40">
        <v>2204.37</v>
      </c>
      <c r="J26" s="40">
        <f t="shared" si="1"/>
        <v>15981.7</v>
      </c>
      <c r="K26" s="40">
        <v>15981.7</v>
      </c>
      <c r="L26" s="40">
        <f t="shared" si="2"/>
        <v>0</v>
      </c>
      <c r="M26" s="38" t="s">
        <v>35</v>
      </c>
      <c r="N26" s="54"/>
      <c r="O26" s="36"/>
      <c r="P26" s="40">
        <v>0</v>
      </c>
      <c r="Q26" s="40">
        <v>0</v>
      </c>
      <c r="R26" s="41"/>
      <c r="S26" s="40">
        <v>0</v>
      </c>
      <c r="T26" s="40">
        <v>0</v>
      </c>
      <c r="U26" s="40">
        <v>0</v>
      </c>
      <c r="V26" s="40">
        <v>0</v>
      </c>
      <c r="W26" s="40">
        <v>13777.33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/>
      <c r="AK26" s="37"/>
      <c r="AM26" s="1"/>
      <c r="AN26" s="1"/>
    </row>
    <row r="27" spans="1:41" x14ac:dyDescent="0.3">
      <c r="A27" s="38">
        <v>2</v>
      </c>
      <c r="B27" s="38" t="s">
        <v>1697</v>
      </c>
      <c r="C27" s="38" t="s">
        <v>1698</v>
      </c>
      <c r="D27" s="39">
        <v>45911</v>
      </c>
      <c r="E27" s="38" t="s">
        <v>40</v>
      </c>
      <c r="F27" s="38" t="s">
        <v>41</v>
      </c>
      <c r="G27" s="40">
        <v>0</v>
      </c>
      <c r="H27" s="87">
        <v>9655</v>
      </c>
      <c r="I27" s="40">
        <v>1544.8</v>
      </c>
      <c r="J27" s="40">
        <f t="shared" si="1"/>
        <v>11199.8</v>
      </c>
      <c r="K27" s="40">
        <v>0</v>
      </c>
      <c r="L27" s="40">
        <f t="shared" si="2"/>
        <v>11199.8</v>
      </c>
      <c r="M27" s="38" t="s">
        <v>35</v>
      </c>
      <c r="N27" s="54"/>
      <c r="O27" s="36"/>
      <c r="P27" s="40">
        <v>0</v>
      </c>
      <c r="Q27" s="40">
        <v>0</v>
      </c>
      <c r="R27" s="41"/>
      <c r="S27" s="40">
        <v>4200</v>
      </c>
      <c r="T27" s="40">
        <v>0</v>
      </c>
      <c r="U27" s="40">
        <v>2455</v>
      </c>
      <c r="V27" s="40">
        <v>0</v>
      </c>
      <c r="W27" s="40">
        <v>0</v>
      </c>
      <c r="X27" s="40">
        <v>3000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/>
      <c r="AK27" s="37"/>
      <c r="AM27" s="1"/>
      <c r="AN27" s="1"/>
    </row>
    <row r="28" spans="1:41" x14ac:dyDescent="0.3">
      <c r="A28" s="38">
        <v>1</v>
      </c>
      <c r="B28" s="38" t="s">
        <v>1699</v>
      </c>
      <c r="C28" s="38" t="s">
        <v>1700</v>
      </c>
      <c r="D28" s="39">
        <v>45911</v>
      </c>
      <c r="E28" s="38" t="s">
        <v>40</v>
      </c>
      <c r="F28" s="38" t="s">
        <v>41</v>
      </c>
      <c r="G28" s="40">
        <v>0</v>
      </c>
      <c r="H28" s="88">
        <v>73382.11</v>
      </c>
      <c r="I28" s="40">
        <v>11741.14</v>
      </c>
      <c r="J28" s="40">
        <f t="shared" si="1"/>
        <v>85123.25</v>
      </c>
      <c r="K28" s="40">
        <v>0</v>
      </c>
      <c r="L28" s="40">
        <f t="shared" si="2"/>
        <v>85123.25</v>
      </c>
      <c r="M28" s="38" t="s">
        <v>35</v>
      </c>
      <c r="N28" s="54"/>
      <c r="O28" s="36"/>
      <c r="P28" s="40">
        <v>0</v>
      </c>
      <c r="Q28" s="40">
        <v>0</v>
      </c>
      <c r="R28" s="41"/>
      <c r="S28" s="40">
        <v>5632.11</v>
      </c>
      <c r="T28" s="40">
        <v>0</v>
      </c>
      <c r="U28" s="40">
        <v>25750</v>
      </c>
      <c r="V28" s="40">
        <v>0</v>
      </c>
      <c r="W28" s="40">
        <v>42000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/>
      <c r="AK28" s="37"/>
      <c r="AM28" s="1"/>
      <c r="AN28" s="1"/>
    </row>
    <row r="29" spans="1:41" x14ac:dyDescent="0.3">
      <c r="A29" s="38">
        <v>2</v>
      </c>
      <c r="B29" s="38" t="s">
        <v>1701</v>
      </c>
      <c r="C29" s="38" t="s">
        <v>1702</v>
      </c>
      <c r="D29" s="39">
        <v>45911</v>
      </c>
      <c r="E29" s="38" t="s">
        <v>22</v>
      </c>
      <c r="F29" s="38" t="s">
        <v>45</v>
      </c>
      <c r="G29" s="40">
        <v>54460</v>
      </c>
      <c r="H29" s="87">
        <f>4500+15000</f>
        <v>19500</v>
      </c>
      <c r="I29" s="40">
        <v>3120</v>
      </c>
      <c r="J29" s="40">
        <f t="shared" si="1"/>
        <v>77080</v>
      </c>
      <c r="K29" s="40">
        <v>79859</v>
      </c>
      <c r="L29" s="40">
        <f t="shared" si="2"/>
        <v>-2779</v>
      </c>
      <c r="M29" s="38" t="s">
        <v>35</v>
      </c>
      <c r="N29" s="54"/>
      <c r="O29" s="36"/>
      <c r="P29" s="40">
        <v>0</v>
      </c>
      <c r="Q29" s="40">
        <v>54460</v>
      </c>
      <c r="R29" s="41"/>
      <c r="S29" s="40">
        <v>4500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15000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/>
      <c r="AK29" s="37"/>
      <c r="AM29" s="1"/>
      <c r="AN29" s="1"/>
    </row>
    <row r="30" spans="1:41" x14ac:dyDescent="0.3">
      <c r="A30" s="38">
        <v>2</v>
      </c>
      <c r="B30" s="38" t="s">
        <v>1703</v>
      </c>
      <c r="C30" s="38" t="s">
        <v>1704</v>
      </c>
      <c r="D30" s="39">
        <v>45911</v>
      </c>
      <c r="E30" s="38" t="s">
        <v>198</v>
      </c>
      <c r="F30" s="38" t="s">
        <v>200</v>
      </c>
      <c r="G30" s="40">
        <v>0</v>
      </c>
      <c r="H30" s="87">
        <v>22000</v>
      </c>
      <c r="I30" s="40">
        <v>3520</v>
      </c>
      <c r="J30" s="40">
        <f t="shared" si="1"/>
        <v>25520</v>
      </c>
      <c r="K30" s="40">
        <v>25520</v>
      </c>
      <c r="L30" s="40">
        <f t="shared" si="2"/>
        <v>0</v>
      </c>
      <c r="M30" s="38" t="s">
        <v>35</v>
      </c>
      <c r="N30" s="54"/>
      <c r="O30" s="36"/>
      <c r="P30" s="40">
        <v>0</v>
      </c>
      <c r="Q30" s="40">
        <v>0</v>
      </c>
      <c r="R30" s="41"/>
      <c r="S30" s="40">
        <v>0</v>
      </c>
      <c r="T30" s="40">
        <v>0</v>
      </c>
      <c r="U30" s="40">
        <v>0</v>
      </c>
      <c r="V30" s="40">
        <v>0</v>
      </c>
      <c r="W30" s="40">
        <v>22000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/>
      <c r="AK30" s="37"/>
      <c r="AM30" s="1"/>
      <c r="AN30" s="1"/>
    </row>
    <row r="31" spans="1:41" x14ac:dyDescent="0.3">
      <c r="A31" s="38">
        <v>1</v>
      </c>
      <c r="B31" s="38" t="s">
        <v>1705</v>
      </c>
      <c r="C31" s="38" t="s">
        <v>1706</v>
      </c>
      <c r="D31" s="39">
        <v>45912</v>
      </c>
      <c r="E31" s="38" t="s">
        <v>53</v>
      </c>
      <c r="F31" s="38" t="s">
        <v>199</v>
      </c>
      <c r="G31" s="40">
        <v>781</v>
      </c>
      <c r="H31" s="87">
        <f>12032.45-G31</f>
        <v>11251.45</v>
      </c>
      <c r="I31" s="40">
        <v>1800.23</v>
      </c>
      <c r="J31" s="40">
        <f t="shared" si="1"/>
        <v>13832.68</v>
      </c>
      <c r="K31" s="40">
        <v>38133</v>
      </c>
      <c r="L31" s="40">
        <f t="shared" si="2"/>
        <v>-24300.32</v>
      </c>
      <c r="M31" s="38" t="s">
        <v>35</v>
      </c>
      <c r="N31" s="54"/>
      <c r="O31" s="36"/>
      <c r="P31" s="40">
        <v>0</v>
      </c>
      <c r="Q31" s="40">
        <v>781</v>
      </c>
      <c r="R31" s="41"/>
      <c r="S31" s="40">
        <v>7200</v>
      </c>
      <c r="T31" s="40">
        <v>0</v>
      </c>
      <c r="U31" s="40">
        <v>4051.45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ref="AI31:AI62" si="5">+SUM(S31:AH31)-H31</f>
        <v>0</v>
      </c>
      <c r="AJ31"/>
      <c r="AK31" s="37"/>
      <c r="AM31" s="1"/>
      <c r="AN31" s="1"/>
    </row>
    <row r="32" spans="1:41" x14ac:dyDescent="0.3">
      <c r="A32" s="38">
        <v>1</v>
      </c>
      <c r="B32" s="38" t="s">
        <v>1707</v>
      </c>
      <c r="C32" s="38" t="s">
        <v>1708</v>
      </c>
      <c r="D32" s="39">
        <v>45912</v>
      </c>
      <c r="E32" s="38" t="s">
        <v>53</v>
      </c>
      <c r="F32" s="38" t="s">
        <v>199</v>
      </c>
      <c r="G32" s="40">
        <v>781</v>
      </c>
      <c r="H32" s="87">
        <f>14114.07-G32</f>
        <v>13333.07</v>
      </c>
      <c r="I32" s="40">
        <v>2133.29</v>
      </c>
      <c r="J32" s="40">
        <f t="shared" si="1"/>
        <v>16247.36</v>
      </c>
      <c r="K32" s="40">
        <v>38266.400000000001</v>
      </c>
      <c r="L32" s="40">
        <f t="shared" si="2"/>
        <v>-22019.040000000001</v>
      </c>
      <c r="M32" s="38" t="s">
        <v>35</v>
      </c>
      <c r="N32" s="54"/>
      <c r="O32" s="36"/>
      <c r="P32" s="40">
        <v>0</v>
      </c>
      <c r="Q32" s="40">
        <v>781</v>
      </c>
      <c r="R32" s="41"/>
      <c r="S32" s="40">
        <v>7200</v>
      </c>
      <c r="T32" s="40">
        <v>0</v>
      </c>
      <c r="U32" s="40">
        <v>2218.0700000000002</v>
      </c>
      <c r="V32" s="40">
        <v>0</v>
      </c>
      <c r="W32" s="40">
        <v>3915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5"/>
        <v>0</v>
      </c>
      <c r="AJ32"/>
      <c r="AK32" s="37"/>
      <c r="AM32" s="1"/>
      <c r="AN32" s="1"/>
    </row>
    <row r="33" spans="1:40" x14ac:dyDescent="0.3">
      <c r="A33" s="38">
        <v>2</v>
      </c>
      <c r="B33" s="38" t="s">
        <v>1709</v>
      </c>
      <c r="C33" s="38" t="s">
        <v>1710</v>
      </c>
      <c r="D33" s="39">
        <v>45912</v>
      </c>
      <c r="E33" s="38" t="s">
        <v>40</v>
      </c>
      <c r="F33" s="38" t="s">
        <v>41</v>
      </c>
      <c r="G33" s="40">
        <v>0</v>
      </c>
      <c r="H33" s="87">
        <v>24450</v>
      </c>
      <c r="I33" s="40">
        <v>3912</v>
      </c>
      <c r="J33" s="40">
        <f t="shared" si="1"/>
        <v>28362</v>
      </c>
      <c r="K33" s="40">
        <v>0</v>
      </c>
      <c r="L33" s="40">
        <f t="shared" si="2"/>
        <v>28362</v>
      </c>
      <c r="M33" s="38" t="s">
        <v>35</v>
      </c>
      <c r="N33" s="54"/>
      <c r="O33" s="36"/>
      <c r="P33" s="40">
        <v>0</v>
      </c>
      <c r="Q33" s="40">
        <v>0</v>
      </c>
      <c r="R33" s="41"/>
      <c r="S33" s="40">
        <v>4200</v>
      </c>
      <c r="T33" s="40">
        <v>0</v>
      </c>
      <c r="U33" s="40">
        <v>0</v>
      </c>
      <c r="V33" s="40">
        <v>0</v>
      </c>
      <c r="W33" s="40">
        <v>18750</v>
      </c>
      <c r="X33" s="40">
        <v>0</v>
      </c>
      <c r="Y33" s="40">
        <v>0</v>
      </c>
      <c r="Z33" s="40">
        <v>0</v>
      </c>
      <c r="AA33" s="40">
        <v>1500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5"/>
        <v>0</v>
      </c>
      <c r="AJ33"/>
      <c r="AK33" s="37"/>
      <c r="AM33" s="1"/>
      <c r="AN33" s="1"/>
    </row>
    <row r="34" spans="1:40" x14ac:dyDescent="0.3">
      <c r="A34" s="38">
        <v>1</v>
      </c>
      <c r="B34" s="38" t="s">
        <v>1711</v>
      </c>
      <c r="C34" s="38" t="s">
        <v>1712</v>
      </c>
      <c r="D34" s="39">
        <v>45915</v>
      </c>
      <c r="E34" s="38" t="s">
        <v>319</v>
      </c>
      <c r="F34" s="38" t="s">
        <v>1195</v>
      </c>
      <c r="G34" s="40">
        <v>3789</v>
      </c>
      <c r="H34" s="87">
        <f>16439-G34</f>
        <v>12650</v>
      </c>
      <c r="I34" s="40">
        <v>2024</v>
      </c>
      <c r="J34" s="40">
        <f t="shared" si="1"/>
        <v>18463</v>
      </c>
      <c r="K34" s="40">
        <v>18463</v>
      </c>
      <c r="L34" s="40">
        <f t="shared" si="2"/>
        <v>0</v>
      </c>
      <c r="M34" s="38" t="s">
        <v>35</v>
      </c>
      <c r="N34" s="54"/>
      <c r="O34" s="36"/>
      <c r="P34" s="40">
        <v>0</v>
      </c>
      <c r="Q34" s="40">
        <v>3789</v>
      </c>
      <c r="R34" s="41"/>
      <c r="S34" s="40">
        <v>4450</v>
      </c>
      <c r="T34" s="40">
        <v>0</v>
      </c>
      <c r="U34" s="40">
        <v>6000</v>
      </c>
      <c r="V34" s="40">
        <v>0</v>
      </c>
      <c r="W34" s="40">
        <v>2200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si="5"/>
        <v>0</v>
      </c>
      <c r="AJ34"/>
      <c r="AK34" s="37"/>
      <c r="AM34" s="1"/>
      <c r="AN34" s="1"/>
    </row>
    <row r="35" spans="1:40" x14ac:dyDescent="0.3">
      <c r="A35" s="38">
        <v>2</v>
      </c>
      <c r="B35" s="38" t="s">
        <v>1713</v>
      </c>
      <c r="C35" s="50" t="s">
        <v>1714</v>
      </c>
      <c r="D35" s="39">
        <v>45915</v>
      </c>
      <c r="E35" s="38" t="s">
        <v>40</v>
      </c>
      <c r="F35" s="38" t="s">
        <v>41</v>
      </c>
      <c r="G35" s="40">
        <v>0</v>
      </c>
      <c r="H35" s="87">
        <v>24150</v>
      </c>
      <c r="I35" s="40">
        <v>3864</v>
      </c>
      <c r="J35" s="40">
        <f t="shared" si="1"/>
        <v>28014</v>
      </c>
      <c r="K35" s="40">
        <v>0</v>
      </c>
      <c r="L35" s="40">
        <f t="shared" si="2"/>
        <v>28014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4200</v>
      </c>
      <c r="T35" s="40">
        <v>0</v>
      </c>
      <c r="U35" s="40">
        <v>0</v>
      </c>
      <c r="V35" s="40">
        <v>0</v>
      </c>
      <c r="W35" s="40">
        <v>18750</v>
      </c>
      <c r="X35" s="40">
        <v>0</v>
      </c>
      <c r="Y35" s="40">
        <v>0</v>
      </c>
      <c r="Z35" s="40">
        <v>0</v>
      </c>
      <c r="AA35" s="40">
        <v>1200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6">
        <f t="shared" si="5"/>
        <v>0</v>
      </c>
      <c r="AJ35"/>
      <c r="AK35" s="37"/>
      <c r="AM35" s="1"/>
      <c r="AN35" s="1"/>
    </row>
    <row r="36" spans="1:40" x14ac:dyDescent="0.3">
      <c r="A36" s="38">
        <v>2</v>
      </c>
      <c r="B36" s="38" t="s">
        <v>1715</v>
      </c>
      <c r="C36" s="50" t="s">
        <v>1716</v>
      </c>
      <c r="D36" s="39">
        <v>45915</v>
      </c>
      <c r="E36" s="38" t="s">
        <v>22</v>
      </c>
      <c r="F36" s="38" t="s">
        <v>45</v>
      </c>
      <c r="G36" s="40">
        <f>336+781</f>
        <v>1117</v>
      </c>
      <c r="H36" s="87">
        <f>13117-G36</f>
        <v>12000</v>
      </c>
      <c r="I36" s="40">
        <v>1920</v>
      </c>
      <c r="J36" s="40">
        <f t="shared" si="1"/>
        <v>15037</v>
      </c>
      <c r="K36" s="40">
        <v>15482</v>
      </c>
      <c r="L36" s="40">
        <f t="shared" si="2"/>
        <v>-445</v>
      </c>
      <c r="M36" s="38" t="s">
        <v>35</v>
      </c>
      <c r="N36" s="54"/>
      <c r="O36" s="36"/>
      <c r="P36" s="40">
        <v>0</v>
      </c>
      <c r="Q36" s="40">
        <f>336+781</f>
        <v>1117</v>
      </c>
      <c r="R36" s="41"/>
      <c r="S36" s="40">
        <f>4500+4500</f>
        <v>9000</v>
      </c>
      <c r="T36" s="40">
        <v>0</v>
      </c>
      <c r="U36" s="40">
        <v>0</v>
      </c>
      <c r="V36" s="40">
        <v>0</v>
      </c>
      <c r="W36" s="40">
        <v>0</v>
      </c>
      <c r="X36" s="40">
        <v>3000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5"/>
        <v>0</v>
      </c>
      <c r="AJ36"/>
      <c r="AK36" s="37"/>
      <c r="AM36" s="1"/>
      <c r="AN36" s="1"/>
    </row>
    <row r="37" spans="1:40" x14ac:dyDescent="0.3">
      <c r="A37" s="38">
        <v>1</v>
      </c>
      <c r="B37" s="38" t="s">
        <v>1717</v>
      </c>
      <c r="C37" s="50" t="s">
        <v>1718</v>
      </c>
      <c r="D37" s="39">
        <v>45915</v>
      </c>
      <c r="E37" s="38" t="s">
        <v>53</v>
      </c>
      <c r="F37" s="38" t="s">
        <v>199</v>
      </c>
      <c r="G37" s="40">
        <v>2697</v>
      </c>
      <c r="H37" s="87">
        <f>20868.67-G37</f>
        <v>18171.669999999998</v>
      </c>
      <c r="I37" s="40">
        <v>2907.47</v>
      </c>
      <c r="J37" s="40">
        <f t="shared" si="1"/>
        <v>23776.14</v>
      </c>
      <c r="K37" s="40">
        <v>57449</v>
      </c>
      <c r="L37" s="40">
        <f t="shared" si="2"/>
        <v>-33672.86</v>
      </c>
      <c r="M37" s="38" t="s">
        <v>35</v>
      </c>
      <c r="N37" s="54"/>
      <c r="O37" s="36"/>
      <c r="P37" s="40">
        <v>0</v>
      </c>
      <c r="Q37" s="40">
        <v>2697</v>
      </c>
      <c r="R37" s="41"/>
      <c r="S37" s="40">
        <v>7200</v>
      </c>
      <c r="T37" s="40">
        <v>0</v>
      </c>
      <c r="U37" s="40">
        <v>7971.67</v>
      </c>
      <c r="V37" s="40">
        <v>0</v>
      </c>
      <c r="W37" s="40">
        <v>0</v>
      </c>
      <c r="X37" s="40">
        <v>3000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5"/>
        <v>0</v>
      </c>
      <c r="AJ37"/>
      <c r="AK37" s="37"/>
      <c r="AM37" s="1"/>
      <c r="AN37" s="1"/>
    </row>
    <row r="38" spans="1:40" x14ac:dyDescent="0.3">
      <c r="A38" s="38">
        <v>1</v>
      </c>
      <c r="B38" s="38" t="s">
        <v>1719</v>
      </c>
      <c r="C38" s="38" t="s">
        <v>1720</v>
      </c>
      <c r="D38" s="39">
        <v>45917</v>
      </c>
      <c r="E38" s="38" t="s">
        <v>53</v>
      </c>
      <c r="F38" s="38" t="s">
        <v>199</v>
      </c>
      <c r="G38" s="40">
        <v>781</v>
      </c>
      <c r="H38" s="87">
        <f>7200+3366.18+3915</f>
        <v>14481.18</v>
      </c>
      <c r="I38" s="40">
        <v>2316.9899999999998</v>
      </c>
      <c r="J38" s="40">
        <f t="shared" si="1"/>
        <v>17579.169999999998</v>
      </c>
      <c r="K38" s="40">
        <v>25274.400000000001</v>
      </c>
      <c r="L38" s="40">
        <f t="shared" si="2"/>
        <v>-7695.2300000000032</v>
      </c>
      <c r="M38" s="38" t="s">
        <v>35</v>
      </c>
      <c r="N38" s="54"/>
      <c r="O38" s="36"/>
      <c r="P38" s="40">
        <v>0</v>
      </c>
      <c r="Q38" s="40">
        <v>781</v>
      </c>
      <c r="R38" s="41"/>
      <c r="S38" s="40">
        <v>7200</v>
      </c>
      <c r="T38" s="40">
        <v>0</v>
      </c>
      <c r="U38" s="40">
        <v>3366.18</v>
      </c>
      <c r="V38" s="40">
        <v>0</v>
      </c>
      <c r="W38" s="40">
        <v>3915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5"/>
        <v>0</v>
      </c>
      <c r="AJ38"/>
      <c r="AK38" s="37"/>
      <c r="AM38" s="1"/>
      <c r="AN38" s="1"/>
    </row>
    <row r="39" spans="1:40" x14ac:dyDescent="0.3">
      <c r="A39" s="38">
        <v>2</v>
      </c>
      <c r="B39" s="38" t="s">
        <v>1721</v>
      </c>
      <c r="C39" s="50" t="s">
        <v>1722</v>
      </c>
      <c r="D39" s="39">
        <v>45917</v>
      </c>
      <c r="E39" s="38" t="s">
        <v>22</v>
      </c>
      <c r="F39" s="38" t="s">
        <v>45</v>
      </c>
      <c r="G39" s="40">
        <v>336</v>
      </c>
      <c r="H39" s="87">
        <f>4536-G39</f>
        <v>4200</v>
      </c>
      <c r="I39" s="40">
        <v>672</v>
      </c>
      <c r="J39" s="40">
        <f t="shared" si="1"/>
        <v>5208</v>
      </c>
      <c r="K39" s="40">
        <v>5208</v>
      </c>
      <c r="L39" s="40">
        <f t="shared" si="2"/>
        <v>0</v>
      </c>
      <c r="M39" s="38" t="s">
        <v>35</v>
      </c>
      <c r="N39" s="54"/>
      <c r="O39" s="36"/>
      <c r="P39" s="40">
        <v>0</v>
      </c>
      <c r="Q39" s="40">
        <v>336</v>
      </c>
      <c r="R39" s="41"/>
      <c r="S39" s="40">
        <v>4200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5"/>
        <v>0</v>
      </c>
      <c r="AJ39"/>
      <c r="AK39" s="37"/>
      <c r="AM39" s="1"/>
      <c r="AN39" s="1"/>
    </row>
    <row r="40" spans="1:40" x14ac:dyDescent="0.3">
      <c r="A40" s="38">
        <v>1</v>
      </c>
      <c r="B40" s="38" t="s">
        <v>1723</v>
      </c>
      <c r="C40" s="38" t="s">
        <v>1724</v>
      </c>
      <c r="D40" s="39">
        <v>45918</v>
      </c>
      <c r="E40" s="38" t="s">
        <v>40</v>
      </c>
      <c r="F40" s="38" t="s">
        <v>41</v>
      </c>
      <c r="G40" s="40">
        <v>0</v>
      </c>
      <c r="H40" s="88">
        <v>77345.66</v>
      </c>
      <c r="I40" s="40">
        <v>12375.31</v>
      </c>
      <c r="J40" s="40">
        <f t="shared" si="1"/>
        <v>89720.97</v>
      </c>
      <c r="K40" s="40">
        <v>0</v>
      </c>
      <c r="L40" s="40">
        <f t="shared" si="2"/>
        <v>89720.97</v>
      </c>
      <c r="M40" s="38" t="s">
        <v>35</v>
      </c>
      <c r="N40" s="54"/>
      <c r="O40" s="36"/>
      <c r="P40" s="40">
        <v>0</v>
      </c>
      <c r="Q40" s="40">
        <v>0</v>
      </c>
      <c r="R40" s="41"/>
      <c r="S40" s="40">
        <v>5595.66</v>
      </c>
      <c r="T40" s="40">
        <v>0</v>
      </c>
      <c r="U40" s="40">
        <v>25750</v>
      </c>
      <c r="V40" s="40">
        <v>0</v>
      </c>
      <c r="W40" s="40">
        <v>46000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5"/>
        <v>0</v>
      </c>
      <c r="AJ40"/>
      <c r="AK40" s="37"/>
      <c r="AM40" s="1"/>
      <c r="AN40" s="1"/>
    </row>
    <row r="41" spans="1:40" x14ac:dyDescent="0.3">
      <c r="A41" s="38">
        <v>1</v>
      </c>
      <c r="B41" s="38" t="s">
        <v>1725</v>
      </c>
      <c r="C41" s="38" t="s">
        <v>1726</v>
      </c>
      <c r="D41" s="39">
        <v>45919</v>
      </c>
      <c r="E41" s="38" t="s">
        <v>53</v>
      </c>
      <c r="F41" s="38" t="s">
        <v>199</v>
      </c>
      <c r="G41" s="40">
        <v>781</v>
      </c>
      <c r="H41" s="88">
        <f>15732.85-781</f>
        <v>14951.85</v>
      </c>
      <c r="I41" s="40">
        <v>2392.3000000000002</v>
      </c>
      <c r="J41" s="40">
        <f t="shared" si="1"/>
        <v>18125.150000000001</v>
      </c>
      <c r="K41" s="40">
        <v>25274.400000000001</v>
      </c>
      <c r="L41" s="40">
        <f t="shared" si="2"/>
        <v>-7149.25</v>
      </c>
      <c r="M41" s="38" t="s">
        <v>35</v>
      </c>
      <c r="N41" s="54"/>
      <c r="O41" s="36"/>
      <c r="P41" s="40">
        <v>0</v>
      </c>
      <c r="Q41" s="40">
        <v>781</v>
      </c>
      <c r="R41" s="41"/>
      <c r="S41" s="40">
        <v>7200</v>
      </c>
      <c r="T41" s="40">
        <v>608.91999999999996</v>
      </c>
      <c r="U41" s="40">
        <v>3227.93</v>
      </c>
      <c r="V41" s="40">
        <v>0</v>
      </c>
      <c r="W41" s="40">
        <v>3915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5"/>
        <v>0</v>
      </c>
      <c r="AJ41"/>
      <c r="AK41" s="37"/>
      <c r="AM41" s="1"/>
      <c r="AN41" s="1"/>
    </row>
    <row r="42" spans="1:40" x14ac:dyDescent="0.3">
      <c r="A42" s="38">
        <v>2</v>
      </c>
      <c r="B42" s="38" t="s">
        <v>1727</v>
      </c>
      <c r="C42" s="38" t="s">
        <v>1728</v>
      </c>
      <c r="D42" s="39">
        <v>45919</v>
      </c>
      <c r="E42" s="38" t="s">
        <v>198</v>
      </c>
      <c r="F42" s="38" t="s">
        <v>200</v>
      </c>
      <c r="G42" s="40">
        <v>0</v>
      </c>
      <c r="H42" s="88">
        <v>22000</v>
      </c>
      <c r="I42" s="40">
        <v>3520</v>
      </c>
      <c r="J42" s="40">
        <f t="shared" si="1"/>
        <v>25520</v>
      </c>
      <c r="K42" s="40">
        <v>25520</v>
      </c>
      <c r="L42" s="40">
        <f t="shared" si="2"/>
        <v>0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0</v>
      </c>
      <c r="T42" s="40">
        <v>0</v>
      </c>
      <c r="U42" s="40">
        <v>0</v>
      </c>
      <c r="V42" s="40">
        <v>0</v>
      </c>
      <c r="W42" s="40">
        <v>22000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5"/>
        <v>0</v>
      </c>
      <c r="AJ42"/>
      <c r="AK42" s="37"/>
      <c r="AM42" s="1"/>
      <c r="AN42" s="1"/>
    </row>
    <row r="43" spans="1:40" x14ac:dyDescent="0.3">
      <c r="A43" s="38">
        <v>2</v>
      </c>
      <c r="B43" s="38" t="s">
        <v>1729</v>
      </c>
      <c r="C43" s="50" t="s">
        <v>1730</v>
      </c>
      <c r="D43" s="39">
        <v>45919</v>
      </c>
      <c r="E43" s="38" t="s">
        <v>198</v>
      </c>
      <c r="F43" s="38" t="s">
        <v>200</v>
      </c>
      <c r="G43" s="40">
        <v>0</v>
      </c>
      <c r="H43" s="87">
        <v>22000</v>
      </c>
      <c r="I43" s="40">
        <v>3520</v>
      </c>
      <c r="J43" s="40">
        <f t="shared" si="1"/>
        <v>25520</v>
      </c>
      <c r="K43" s="40">
        <v>25520</v>
      </c>
      <c r="L43" s="40">
        <f t="shared" si="2"/>
        <v>0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0</v>
      </c>
      <c r="T43" s="40">
        <v>0</v>
      </c>
      <c r="U43" s="40">
        <v>0</v>
      </c>
      <c r="V43" s="40">
        <v>0</v>
      </c>
      <c r="W43" s="40">
        <v>22000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36">
        <f t="shared" si="5"/>
        <v>0</v>
      </c>
      <c r="AJ43"/>
      <c r="AK43" s="37"/>
      <c r="AM43" s="1"/>
      <c r="AN43" s="1"/>
    </row>
    <row r="44" spans="1:40" x14ac:dyDescent="0.3">
      <c r="A44" s="38">
        <v>2</v>
      </c>
      <c r="B44" s="38" t="s">
        <v>1731</v>
      </c>
      <c r="C44" s="38" t="s">
        <v>1732</v>
      </c>
      <c r="D44" s="39">
        <v>45919</v>
      </c>
      <c r="E44" s="38" t="s">
        <v>22</v>
      </c>
      <c r="F44" s="38" t="s">
        <v>45</v>
      </c>
      <c r="G44" s="40">
        <v>0</v>
      </c>
      <c r="H44" s="87">
        <f>4200+3000+945+3600</f>
        <v>11745</v>
      </c>
      <c r="I44" s="40">
        <v>1879.2</v>
      </c>
      <c r="J44" s="40">
        <f t="shared" si="1"/>
        <v>13624.2</v>
      </c>
      <c r="K44" s="40">
        <v>15016.2</v>
      </c>
      <c r="L44" s="40">
        <f t="shared" si="2"/>
        <v>-1392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4200</v>
      </c>
      <c r="T44" s="40">
        <v>0</v>
      </c>
      <c r="U44" s="40">
        <v>945</v>
      </c>
      <c r="V44" s="40">
        <v>0</v>
      </c>
      <c r="W44" s="40">
        <v>3600</v>
      </c>
      <c r="X44" s="40">
        <v>3000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5"/>
        <v>0</v>
      </c>
      <c r="AJ44"/>
      <c r="AK44" s="37"/>
      <c r="AM44" s="1"/>
      <c r="AN44" s="1"/>
    </row>
    <row r="45" spans="1:40" x14ac:dyDescent="0.3">
      <c r="A45" s="38">
        <v>2</v>
      </c>
      <c r="B45" s="38" t="s">
        <v>1733</v>
      </c>
      <c r="C45" s="38" t="s">
        <v>1734</v>
      </c>
      <c r="D45" s="39">
        <v>45919</v>
      </c>
      <c r="E45" s="38" t="s">
        <v>22</v>
      </c>
      <c r="F45" s="38" t="s">
        <v>45</v>
      </c>
      <c r="G45" s="40">
        <v>336</v>
      </c>
      <c r="H45" s="87">
        <f>4536-G45</f>
        <v>4200</v>
      </c>
      <c r="I45" s="40">
        <v>672</v>
      </c>
      <c r="J45" s="40">
        <f t="shared" si="1"/>
        <v>5208</v>
      </c>
      <c r="K45" s="40">
        <v>5208</v>
      </c>
      <c r="L45" s="40">
        <f t="shared" si="2"/>
        <v>0</v>
      </c>
      <c r="M45" s="38" t="s">
        <v>35</v>
      </c>
      <c r="N45" s="54"/>
      <c r="O45" s="36"/>
      <c r="P45" s="40">
        <v>0</v>
      </c>
      <c r="Q45" s="40">
        <v>336</v>
      </c>
      <c r="R45" s="41"/>
      <c r="S45" s="40">
        <v>4200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36">
        <f t="shared" si="5"/>
        <v>0</v>
      </c>
      <c r="AJ45"/>
      <c r="AK45" s="37"/>
      <c r="AM45" s="1"/>
      <c r="AN45" s="1"/>
    </row>
    <row r="46" spans="1:40" x14ac:dyDescent="0.3">
      <c r="A46" s="38">
        <v>1</v>
      </c>
      <c r="B46" s="38" t="s">
        <v>1735</v>
      </c>
      <c r="C46" s="50" t="s">
        <v>1736</v>
      </c>
      <c r="D46" s="39">
        <v>45919</v>
      </c>
      <c r="E46" s="38" t="s">
        <v>53</v>
      </c>
      <c r="F46" s="38" t="s">
        <v>199</v>
      </c>
      <c r="G46" s="40">
        <v>1671</v>
      </c>
      <c r="H46" s="87">
        <f>19161.11-G46</f>
        <v>17490.11</v>
      </c>
      <c r="I46" s="40">
        <v>2798.42</v>
      </c>
      <c r="J46" s="40">
        <f t="shared" si="1"/>
        <v>21959.53</v>
      </c>
      <c r="K46" s="40">
        <v>101152</v>
      </c>
      <c r="L46" s="40">
        <f t="shared" si="2"/>
        <v>-79192.47</v>
      </c>
      <c r="M46" s="38" t="s">
        <v>35</v>
      </c>
      <c r="N46" s="54"/>
      <c r="O46" s="36"/>
      <c r="P46" s="40">
        <v>0</v>
      </c>
      <c r="Q46" s="40">
        <v>1671</v>
      </c>
      <c r="R46" s="41"/>
      <c r="S46" s="40">
        <v>7200</v>
      </c>
      <c r="T46" s="40">
        <v>0</v>
      </c>
      <c r="U46" s="40">
        <v>10290.11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5"/>
        <v>0</v>
      </c>
      <c r="AJ46"/>
      <c r="AK46" s="37"/>
      <c r="AM46" s="1"/>
      <c r="AN46" s="1"/>
    </row>
    <row r="47" spans="1:40" x14ac:dyDescent="0.3">
      <c r="A47" s="38">
        <v>1</v>
      </c>
      <c r="B47" s="38" t="s">
        <v>1737</v>
      </c>
      <c r="C47" s="50" t="s">
        <v>1738</v>
      </c>
      <c r="D47" s="39">
        <v>45919</v>
      </c>
      <c r="E47" s="38" t="s">
        <v>53</v>
      </c>
      <c r="F47" s="38" t="s">
        <v>199</v>
      </c>
      <c r="G47" s="40">
        <v>0</v>
      </c>
      <c r="H47" s="87">
        <v>17287.900000000001</v>
      </c>
      <c r="I47" s="40">
        <v>2766.06</v>
      </c>
      <c r="J47" s="40">
        <f t="shared" si="1"/>
        <v>20053.960000000003</v>
      </c>
      <c r="K47" s="40">
        <v>95352</v>
      </c>
      <c r="L47" s="40">
        <f t="shared" si="2"/>
        <v>-75298.039999999994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7200</v>
      </c>
      <c r="T47" s="40">
        <v>0</v>
      </c>
      <c r="U47" s="40">
        <v>10087.9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5"/>
        <v>0</v>
      </c>
      <c r="AJ47"/>
      <c r="AK47" s="37"/>
      <c r="AM47" s="1"/>
      <c r="AN47" s="1"/>
    </row>
    <row r="48" spans="1:40" x14ac:dyDescent="0.3">
      <c r="A48" s="38">
        <v>2</v>
      </c>
      <c r="B48" s="38" t="s">
        <v>1739</v>
      </c>
      <c r="C48" s="38" t="s">
        <v>1740</v>
      </c>
      <c r="D48" s="39">
        <v>45919</v>
      </c>
      <c r="E48" s="38" t="s">
        <v>61</v>
      </c>
      <c r="F48" s="38" t="s">
        <v>156</v>
      </c>
      <c r="G48" s="40">
        <v>0</v>
      </c>
      <c r="H48" s="87">
        <v>21000</v>
      </c>
      <c r="I48" s="40">
        <v>3360</v>
      </c>
      <c r="J48" s="40">
        <f t="shared" si="1"/>
        <v>24360</v>
      </c>
      <c r="K48" s="40">
        <v>24360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0</v>
      </c>
      <c r="R48" s="41"/>
      <c r="S48" s="40">
        <v>0</v>
      </c>
      <c r="T48" s="40">
        <v>0</v>
      </c>
      <c r="U48" s="40">
        <v>0</v>
      </c>
      <c r="V48" s="40">
        <v>0</v>
      </c>
      <c r="W48" s="40">
        <v>21000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5"/>
        <v>0</v>
      </c>
      <c r="AJ48"/>
      <c r="AK48" s="37"/>
      <c r="AM48" s="1"/>
      <c r="AN48" s="1"/>
    </row>
    <row r="49" spans="1:40" x14ac:dyDescent="0.3">
      <c r="A49" s="38">
        <v>1</v>
      </c>
      <c r="B49" s="2" t="s">
        <v>1741</v>
      </c>
      <c r="C49" s="50" t="s">
        <v>1742</v>
      </c>
      <c r="D49" s="39">
        <v>45922</v>
      </c>
      <c r="E49" s="38" t="s">
        <v>418</v>
      </c>
      <c r="F49" s="38" t="s">
        <v>407</v>
      </c>
      <c r="G49" s="40">
        <v>2413</v>
      </c>
      <c r="H49" s="87">
        <f>16612.89-G49</f>
        <v>14199.89</v>
      </c>
      <c r="I49" s="40">
        <v>2271.9899999999998</v>
      </c>
      <c r="J49" s="40">
        <f t="shared" si="1"/>
        <v>18884.879999999997</v>
      </c>
      <c r="K49" s="40">
        <v>28504.68</v>
      </c>
      <c r="L49" s="40">
        <f t="shared" si="2"/>
        <v>-9619.8000000000029</v>
      </c>
      <c r="M49" s="38" t="s">
        <v>35</v>
      </c>
      <c r="N49" s="54"/>
      <c r="O49" s="36"/>
      <c r="P49" s="40">
        <v>0</v>
      </c>
      <c r="Q49" s="40">
        <v>2413</v>
      </c>
      <c r="R49" s="41"/>
      <c r="S49" s="40">
        <v>6500</v>
      </c>
      <c r="T49" s="40">
        <v>1150</v>
      </c>
      <c r="U49" s="40">
        <v>2872.41</v>
      </c>
      <c r="V49" s="40">
        <v>1177.48</v>
      </c>
      <c r="W49" s="40">
        <v>2500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5"/>
        <v>0</v>
      </c>
      <c r="AJ49"/>
      <c r="AK49" s="37"/>
      <c r="AM49" s="1"/>
      <c r="AN49" s="1"/>
    </row>
    <row r="50" spans="1:40" x14ac:dyDescent="0.3">
      <c r="A50" s="38">
        <v>2</v>
      </c>
      <c r="B50" s="2" t="s">
        <v>1743</v>
      </c>
      <c r="C50" s="38" t="s">
        <v>1744</v>
      </c>
      <c r="D50" s="39">
        <v>45922</v>
      </c>
      <c r="E50" s="38" t="s">
        <v>20</v>
      </c>
      <c r="F50" s="38" t="s">
        <v>1745</v>
      </c>
      <c r="G50" s="40">
        <v>308730</v>
      </c>
      <c r="H50" s="87">
        <f>319530-G50</f>
        <v>10800</v>
      </c>
      <c r="I50" s="40">
        <v>1728</v>
      </c>
      <c r="J50" s="40">
        <f t="shared" si="1"/>
        <v>321258</v>
      </c>
      <c r="K50" s="40">
        <v>322704</v>
      </c>
      <c r="L50" s="40">
        <f t="shared" si="2"/>
        <v>-1446</v>
      </c>
      <c r="M50" s="38" t="s">
        <v>35</v>
      </c>
      <c r="N50" s="54"/>
      <c r="O50" s="36"/>
      <c r="P50" s="40">
        <v>0</v>
      </c>
      <c r="Q50" s="40">
        <v>308730</v>
      </c>
      <c r="R50" s="41"/>
      <c r="S50" s="40">
        <v>4500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6300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6">
        <f t="shared" si="5"/>
        <v>0</v>
      </c>
      <c r="AJ50"/>
      <c r="AK50" s="37"/>
      <c r="AM50" s="1"/>
      <c r="AN50" s="1"/>
    </row>
    <row r="51" spans="1:40" x14ac:dyDescent="0.3">
      <c r="A51" s="38">
        <v>2</v>
      </c>
      <c r="B51" s="2" t="s">
        <v>1747</v>
      </c>
      <c r="C51" s="38" t="s">
        <v>1746</v>
      </c>
      <c r="D51" s="39">
        <v>45922</v>
      </c>
      <c r="E51" s="38" t="s">
        <v>40</v>
      </c>
      <c r="F51" s="38" t="s">
        <v>41</v>
      </c>
      <c r="G51" s="40">
        <v>0</v>
      </c>
      <c r="H51" s="87">
        <v>23250</v>
      </c>
      <c r="I51" s="40">
        <v>3720</v>
      </c>
      <c r="J51" s="40">
        <f t="shared" si="1"/>
        <v>26970</v>
      </c>
      <c r="K51" s="40">
        <v>0</v>
      </c>
      <c r="L51" s="40">
        <f t="shared" si="2"/>
        <v>26970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4500</v>
      </c>
      <c r="T51" s="40">
        <v>0</v>
      </c>
      <c r="U51" s="40">
        <v>0</v>
      </c>
      <c r="V51" s="40">
        <v>0</v>
      </c>
      <c r="W51" s="40">
        <v>18750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5"/>
        <v>0</v>
      </c>
      <c r="AJ51"/>
      <c r="AK51" s="37"/>
      <c r="AM51" s="1"/>
      <c r="AN51" s="1"/>
    </row>
    <row r="52" spans="1:40" x14ac:dyDescent="0.3">
      <c r="A52" s="38">
        <v>2</v>
      </c>
      <c r="B52" s="2" t="s">
        <v>1748</v>
      </c>
      <c r="C52" s="50" t="s">
        <v>1749</v>
      </c>
      <c r="D52" s="39">
        <v>45922</v>
      </c>
      <c r="E52" s="38" t="s">
        <v>40</v>
      </c>
      <c r="F52" s="38" t="s">
        <v>41</v>
      </c>
      <c r="G52" s="40">
        <v>0</v>
      </c>
      <c r="H52" s="87">
        <v>23250</v>
      </c>
      <c r="I52" s="40">
        <v>3720</v>
      </c>
      <c r="J52" s="40">
        <f t="shared" si="1"/>
        <v>26970</v>
      </c>
      <c r="K52" s="40">
        <v>0</v>
      </c>
      <c r="L52" s="40">
        <f t="shared" si="2"/>
        <v>26970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4500</v>
      </c>
      <c r="T52" s="40">
        <v>0</v>
      </c>
      <c r="U52" s="40">
        <v>0</v>
      </c>
      <c r="V52" s="40">
        <v>0</v>
      </c>
      <c r="W52" s="40">
        <v>18750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5"/>
        <v>0</v>
      </c>
      <c r="AJ52"/>
      <c r="AK52" s="37"/>
      <c r="AM52" s="1"/>
      <c r="AN52" s="1"/>
    </row>
    <row r="53" spans="1:40" x14ac:dyDescent="0.3">
      <c r="A53" s="38">
        <v>2</v>
      </c>
      <c r="B53" s="2" t="s">
        <v>1750</v>
      </c>
      <c r="C53" s="50" t="s">
        <v>1751</v>
      </c>
      <c r="D53" s="39">
        <v>45922</v>
      </c>
      <c r="E53" s="38" t="s">
        <v>22</v>
      </c>
      <c r="F53" s="38" t="s">
        <v>45</v>
      </c>
      <c r="G53" s="40">
        <v>336</v>
      </c>
      <c r="H53" s="87">
        <v>4200</v>
      </c>
      <c r="I53" s="40">
        <v>672</v>
      </c>
      <c r="J53" s="40">
        <f t="shared" si="1"/>
        <v>5208</v>
      </c>
      <c r="K53" s="40">
        <v>5208</v>
      </c>
      <c r="L53" s="40">
        <f t="shared" si="2"/>
        <v>0</v>
      </c>
      <c r="M53" s="38" t="s">
        <v>35</v>
      </c>
      <c r="N53" s="54"/>
      <c r="O53" s="36"/>
      <c r="P53" s="40">
        <v>0</v>
      </c>
      <c r="Q53" s="40">
        <v>336</v>
      </c>
      <c r="R53" s="41"/>
      <c r="S53" s="40">
        <v>4200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36">
        <f t="shared" si="5"/>
        <v>0</v>
      </c>
      <c r="AJ53"/>
      <c r="AK53" s="37"/>
      <c r="AM53" s="1"/>
      <c r="AN53" s="1"/>
    </row>
    <row r="54" spans="1:40" x14ac:dyDescent="0.3">
      <c r="A54" s="38">
        <v>2</v>
      </c>
      <c r="B54" s="2" t="s">
        <v>1752</v>
      </c>
      <c r="C54" s="38" t="s">
        <v>1753</v>
      </c>
      <c r="D54" s="39">
        <v>45922</v>
      </c>
      <c r="E54" s="38" t="s">
        <v>22</v>
      </c>
      <c r="F54" s="38" t="s">
        <v>45</v>
      </c>
      <c r="G54" s="40">
        <v>336</v>
      </c>
      <c r="H54" s="87">
        <v>4200</v>
      </c>
      <c r="I54" s="40">
        <v>672</v>
      </c>
      <c r="J54" s="40">
        <f t="shared" si="1"/>
        <v>5208</v>
      </c>
      <c r="K54" s="40">
        <v>5208</v>
      </c>
      <c r="L54" s="40">
        <f t="shared" si="2"/>
        <v>0</v>
      </c>
      <c r="M54" s="38" t="s">
        <v>35</v>
      </c>
      <c r="N54" s="54"/>
      <c r="O54" s="36"/>
      <c r="P54" s="40">
        <v>0</v>
      </c>
      <c r="Q54" s="40">
        <v>336</v>
      </c>
      <c r="R54" s="41"/>
      <c r="S54" s="40">
        <v>4200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6">
        <f t="shared" si="5"/>
        <v>0</v>
      </c>
      <c r="AJ54"/>
      <c r="AK54" s="37"/>
      <c r="AM54" s="1"/>
      <c r="AN54" s="1"/>
    </row>
    <row r="55" spans="1:40" x14ac:dyDescent="0.3">
      <c r="A55" s="38">
        <v>1</v>
      </c>
      <c r="B55" s="2" t="s">
        <v>1754</v>
      </c>
      <c r="C55" s="38" t="s">
        <v>1755</v>
      </c>
      <c r="D55" s="39">
        <v>45923</v>
      </c>
      <c r="E55" s="38" t="s">
        <v>53</v>
      </c>
      <c r="F55" s="38" t="s">
        <v>199</v>
      </c>
      <c r="G55" s="40">
        <v>0</v>
      </c>
      <c r="H55" s="87">
        <v>22671.86</v>
      </c>
      <c r="I55" s="40">
        <v>3627.5</v>
      </c>
      <c r="J55" s="40">
        <f t="shared" si="1"/>
        <v>26299.360000000001</v>
      </c>
      <c r="K55" s="40">
        <v>66352</v>
      </c>
      <c r="L55" s="40">
        <f t="shared" si="2"/>
        <v>-40052.639999999999</v>
      </c>
      <c r="M55" s="38" t="s">
        <v>35</v>
      </c>
      <c r="N55" s="54"/>
      <c r="O55" s="36"/>
      <c r="P55" s="40">
        <v>0</v>
      </c>
      <c r="Q55" s="40">
        <v>0</v>
      </c>
      <c r="R55" s="41"/>
      <c r="S55" s="40">
        <v>7200</v>
      </c>
      <c r="T55" s="40">
        <v>0</v>
      </c>
      <c r="U55" s="40">
        <v>10671.86</v>
      </c>
      <c r="V55" s="40">
        <v>0</v>
      </c>
      <c r="W55" s="40">
        <v>0</v>
      </c>
      <c r="X55" s="40">
        <v>3000</v>
      </c>
      <c r="Y55" s="40">
        <v>0</v>
      </c>
      <c r="Z55" s="40">
        <v>0</v>
      </c>
      <c r="AA55" s="40">
        <v>1800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5"/>
        <v>0</v>
      </c>
      <c r="AJ55"/>
      <c r="AK55" s="37"/>
      <c r="AM55" s="1"/>
      <c r="AN55" s="1"/>
    </row>
    <row r="56" spans="1:40" x14ac:dyDescent="0.3">
      <c r="A56" s="38">
        <v>1</v>
      </c>
      <c r="B56" s="2" t="s">
        <v>1756</v>
      </c>
      <c r="C56" s="38" t="s">
        <v>1757</v>
      </c>
      <c r="D56" s="39">
        <v>45923</v>
      </c>
      <c r="E56" s="38" t="s">
        <v>53</v>
      </c>
      <c r="F56" s="38" t="s">
        <v>199</v>
      </c>
      <c r="G56" s="40">
        <v>0</v>
      </c>
      <c r="H56" s="87">
        <v>45418.78</v>
      </c>
      <c r="I56" s="40">
        <v>7267</v>
      </c>
      <c r="J56" s="40">
        <f t="shared" si="1"/>
        <v>52685.78</v>
      </c>
      <c r="K56" s="40">
        <v>66352</v>
      </c>
      <c r="L56" s="40">
        <f t="shared" si="2"/>
        <v>-13666.220000000001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7200</v>
      </c>
      <c r="T56" s="40">
        <v>0</v>
      </c>
      <c r="U56" s="40">
        <v>33418.78</v>
      </c>
      <c r="V56" s="40">
        <v>0</v>
      </c>
      <c r="W56" s="40">
        <v>0</v>
      </c>
      <c r="X56" s="40">
        <v>3000</v>
      </c>
      <c r="Y56" s="40">
        <v>0</v>
      </c>
      <c r="Z56" s="40">
        <v>0</v>
      </c>
      <c r="AA56" s="40">
        <v>1800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5"/>
        <v>0</v>
      </c>
      <c r="AJ56"/>
      <c r="AK56" s="37"/>
      <c r="AM56" s="1"/>
      <c r="AN56" s="1"/>
    </row>
    <row r="57" spans="1:40" x14ac:dyDescent="0.3">
      <c r="A57" s="38">
        <v>1</v>
      </c>
      <c r="B57" s="2" t="s">
        <v>1758</v>
      </c>
      <c r="C57" s="38" t="s">
        <v>1759</v>
      </c>
      <c r="D57" s="39">
        <v>45923</v>
      </c>
      <c r="E57" s="38" t="s">
        <v>53</v>
      </c>
      <c r="F57" s="38" t="s">
        <v>199</v>
      </c>
      <c r="G57" s="40">
        <v>781</v>
      </c>
      <c r="H57" s="87">
        <f>18759.6-G57</f>
        <v>17978.599999999999</v>
      </c>
      <c r="I57" s="40">
        <v>2876.58</v>
      </c>
      <c r="J57" s="40">
        <f t="shared" si="1"/>
        <v>21636.18</v>
      </c>
      <c r="K57" s="40">
        <v>101152</v>
      </c>
      <c r="L57" s="40">
        <f t="shared" si="2"/>
        <v>-79515.820000000007</v>
      </c>
      <c r="M57" s="38" t="s">
        <v>35</v>
      </c>
      <c r="N57" s="54"/>
      <c r="O57" s="36"/>
      <c r="P57" s="40">
        <v>0</v>
      </c>
      <c r="Q57" s="40">
        <v>781</v>
      </c>
      <c r="R57" s="41"/>
      <c r="S57" s="40">
        <v>7200</v>
      </c>
      <c r="T57" s="40">
        <v>0</v>
      </c>
      <c r="U57" s="40">
        <v>5978.6</v>
      </c>
      <c r="V57" s="40">
        <v>0</v>
      </c>
      <c r="W57" s="40">
        <v>0</v>
      </c>
      <c r="X57" s="40">
        <v>3000</v>
      </c>
      <c r="Y57" s="40">
        <v>0</v>
      </c>
      <c r="Z57" s="40">
        <v>0</v>
      </c>
      <c r="AA57" s="40">
        <v>1800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36">
        <f t="shared" si="5"/>
        <v>0</v>
      </c>
      <c r="AJ57"/>
      <c r="AK57" s="37"/>
      <c r="AM57" s="1"/>
      <c r="AN57" s="1"/>
    </row>
    <row r="58" spans="1:40" x14ac:dyDescent="0.3">
      <c r="A58" s="38">
        <v>2</v>
      </c>
      <c r="B58" s="2" t="s">
        <v>1814</v>
      </c>
      <c r="C58" s="38" t="s">
        <v>1760</v>
      </c>
      <c r="D58" s="39">
        <v>45924</v>
      </c>
      <c r="E58" s="38" t="s">
        <v>40</v>
      </c>
      <c r="F58" s="38" t="s">
        <v>41</v>
      </c>
      <c r="G58" s="40">
        <v>0</v>
      </c>
      <c r="H58" s="87">
        <v>8300</v>
      </c>
      <c r="I58" s="40">
        <v>1328</v>
      </c>
      <c r="J58" s="40">
        <f t="shared" si="1"/>
        <v>9628</v>
      </c>
      <c r="K58" s="40">
        <v>0</v>
      </c>
      <c r="L58" s="40">
        <f t="shared" si="2"/>
        <v>9628</v>
      </c>
      <c r="M58" s="38" t="s">
        <v>35</v>
      </c>
      <c r="N58" s="54"/>
      <c r="O58" s="36"/>
      <c r="P58" s="40">
        <v>0</v>
      </c>
      <c r="Q58" s="40">
        <v>0</v>
      </c>
      <c r="R58" s="41"/>
      <c r="S58" s="40">
        <v>4500</v>
      </c>
      <c r="T58" s="40">
        <v>0</v>
      </c>
      <c r="U58" s="40">
        <v>0</v>
      </c>
      <c r="V58" s="40">
        <v>0</v>
      </c>
      <c r="W58" s="40">
        <v>3800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5"/>
        <v>0</v>
      </c>
      <c r="AJ58"/>
      <c r="AK58" s="37"/>
      <c r="AM58" s="1"/>
      <c r="AN58" s="1"/>
    </row>
    <row r="59" spans="1:40" x14ac:dyDescent="0.3">
      <c r="A59" s="38">
        <v>2</v>
      </c>
      <c r="B59" s="2" t="s">
        <v>1761</v>
      </c>
      <c r="C59" s="38" t="s">
        <v>1762</v>
      </c>
      <c r="D59" s="39">
        <v>45925</v>
      </c>
      <c r="E59" s="38" t="s">
        <v>40</v>
      </c>
      <c r="F59" s="38" t="s">
        <v>41</v>
      </c>
      <c r="G59" s="40">
        <v>0</v>
      </c>
      <c r="H59" s="84">
        <f>4500+10385</f>
        <v>14885</v>
      </c>
      <c r="I59" s="40">
        <v>2381.6</v>
      </c>
      <c r="J59" s="40">
        <f t="shared" si="1"/>
        <v>17266.599999999999</v>
      </c>
      <c r="K59" s="40">
        <v>0</v>
      </c>
      <c r="L59" s="40">
        <f t="shared" si="2"/>
        <v>17266.599999999999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4500</v>
      </c>
      <c r="T59" s="40">
        <v>0</v>
      </c>
      <c r="U59" s="40">
        <v>0</v>
      </c>
      <c r="V59" s="40">
        <v>0</v>
      </c>
      <c r="W59" s="40">
        <v>10385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5"/>
        <v>0</v>
      </c>
      <c r="AJ59"/>
      <c r="AK59" s="37"/>
      <c r="AM59" s="1"/>
      <c r="AN59" s="1"/>
    </row>
    <row r="60" spans="1:40" x14ac:dyDescent="0.3">
      <c r="A60" s="38">
        <v>1</v>
      </c>
      <c r="B60" s="2" t="s">
        <v>1763</v>
      </c>
      <c r="C60" s="38" t="s">
        <v>1764</v>
      </c>
      <c r="D60" s="39">
        <v>45925</v>
      </c>
      <c r="E60" s="38" t="s">
        <v>40</v>
      </c>
      <c r="F60" s="38" t="s">
        <v>41</v>
      </c>
      <c r="G60" s="40">
        <v>0</v>
      </c>
      <c r="H60" s="84">
        <v>101696.7</v>
      </c>
      <c r="I60" s="40">
        <v>16271.48</v>
      </c>
      <c r="J60" s="40">
        <f t="shared" si="1"/>
        <v>117968.18</v>
      </c>
      <c r="K60" s="40">
        <v>0</v>
      </c>
      <c r="L60" s="40">
        <f t="shared" si="2"/>
        <v>117968.18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5612.16</v>
      </c>
      <c r="T60" s="40">
        <v>0</v>
      </c>
      <c r="U60" s="40">
        <v>29072.04</v>
      </c>
      <c r="V60" s="40">
        <v>0</v>
      </c>
      <c r="W60" s="40">
        <v>66000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1012.5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5"/>
        <v>0</v>
      </c>
      <c r="AJ60"/>
      <c r="AK60" s="37"/>
      <c r="AM60" s="1"/>
      <c r="AN60" s="1"/>
    </row>
    <row r="61" spans="1:40" x14ac:dyDescent="0.3">
      <c r="A61" s="38">
        <v>1</v>
      </c>
      <c r="B61" s="2" t="s">
        <v>1765</v>
      </c>
      <c r="C61" s="38" t="s">
        <v>1766</v>
      </c>
      <c r="D61" s="39">
        <v>45925</v>
      </c>
      <c r="E61" s="38" t="s">
        <v>1244</v>
      </c>
      <c r="F61" s="38" t="s">
        <v>1246</v>
      </c>
      <c r="G61" s="40">
        <f>781+9531</f>
        <v>10312</v>
      </c>
      <c r="H61" s="84">
        <f>37389.5-G61</f>
        <v>27077.5</v>
      </c>
      <c r="I61" s="40">
        <v>4332.3999999999996</v>
      </c>
      <c r="J61" s="40">
        <f t="shared" si="1"/>
        <v>41721.9</v>
      </c>
      <c r="K61" s="40">
        <v>41721.9</v>
      </c>
      <c r="L61" s="40">
        <f t="shared" si="2"/>
        <v>0</v>
      </c>
      <c r="M61" s="38" t="s">
        <v>35</v>
      </c>
      <c r="N61" s="54"/>
      <c r="O61" s="36"/>
      <c r="P61" s="40">
        <v>0</v>
      </c>
      <c r="Q61" s="40">
        <f>781+9531</f>
        <v>10312</v>
      </c>
      <c r="R61" s="41"/>
      <c r="S61" s="40">
        <v>13564</v>
      </c>
      <c r="T61" s="40">
        <v>0</v>
      </c>
      <c r="U61" s="40">
        <v>13513.5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si="5"/>
        <v>0</v>
      </c>
      <c r="AJ61"/>
      <c r="AK61" s="37"/>
      <c r="AM61" s="1"/>
      <c r="AN61" s="1"/>
    </row>
    <row r="62" spans="1:40" x14ac:dyDescent="0.3">
      <c r="A62" s="38">
        <v>1</v>
      </c>
      <c r="B62" s="38" t="s">
        <v>1767</v>
      </c>
      <c r="C62" s="38" t="s">
        <v>1768</v>
      </c>
      <c r="D62" s="39">
        <v>45925</v>
      </c>
      <c r="E62" s="38" t="s">
        <v>223</v>
      </c>
      <c r="F62" s="38" t="s">
        <v>1178</v>
      </c>
      <c r="G62" s="40">
        <v>7982</v>
      </c>
      <c r="H62" s="84">
        <f>28429.42-G62</f>
        <v>20447.419999999998</v>
      </c>
      <c r="I62" s="40">
        <v>3271.58</v>
      </c>
      <c r="J62" s="40">
        <f t="shared" si="1"/>
        <v>31701</v>
      </c>
      <c r="K62" s="40">
        <v>31701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7982</v>
      </c>
      <c r="R62" s="41"/>
      <c r="S62" s="40">
        <v>6500</v>
      </c>
      <c r="T62" s="40">
        <v>1500</v>
      </c>
      <c r="U62" s="40">
        <v>9142.58</v>
      </c>
      <c r="V62" s="40">
        <v>1104.8399999999999</v>
      </c>
      <c r="W62" s="40">
        <v>2200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36">
        <f t="shared" si="5"/>
        <v>0</v>
      </c>
      <c r="AJ62"/>
      <c r="AK62" s="37"/>
      <c r="AM62" s="1"/>
      <c r="AN62" s="1"/>
    </row>
    <row r="63" spans="1:40" x14ac:dyDescent="0.3">
      <c r="A63" s="38">
        <v>1</v>
      </c>
      <c r="B63" s="38" t="s">
        <v>1769</v>
      </c>
      <c r="C63" s="38" t="s">
        <v>1770</v>
      </c>
      <c r="D63" s="39">
        <v>45925</v>
      </c>
      <c r="E63" s="38" t="s">
        <v>53</v>
      </c>
      <c r="F63" s="38" t="s">
        <v>199</v>
      </c>
      <c r="G63" s="40">
        <v>781</v>
      </c>
      <c r="H63" s="84">
        <f>23986.68-G63</f>
        <v>23205.68</v>
      </c>
      <c r="I63" s="40">
        <v>3712.91</v>
      </c>
      <c r="J63" s="40">
        <f t="shared" ref="J63:J90" si="6">SUM(G63:I63)</f>
        <v>27699.59</v>
      </c>
      <c r="K63" s="40">
        <v>67133</v>
      </c>
      <c r="L63" s="40">
        <f t="shared" si="2"/>
        <v>-39433.410000000003</v>
      </c>
      <c r="M63" s="38" t="s">
        <v>35</v>
      </c>
      <c r="N63" s="54"/>
      <c r="O63" s="36"/>
      <c r="P63" s="40">
        <v>0</v>
      </c>
      <c r="Q63" s="40">
        <v>781</v>
      </c>
      <c r="R63" s="41"/>
      <c r="S63" s="40">
        <v>7200</v>
      </c>
      <c r="T63" s="40">
        <v>0</v>
      </c>
      <c r="U63" s="40">
        <v>16005.68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ref="AI63:AI90" si="7">+SUM(S63:AH63)-H63</f>
        <v>0</v>
      </c>
      <c r="AJ63"/>
      <c r="AK63" s="37"/>
      <c r="AM63" s="1"/>
      <c r="AN63" s="1"/>
    </row>
    <row r="64" spans="1:40" x14ac:dyDescent="0.3">
      <c r="A64" s="38">
        <v>1</v>
      </c>
      <c r="B64" s="38" t="s">
        <v>1776</v>
      </c>
      <c r="C64" s="38" t="s">
        <v>1777</v>
      </c>
      <c r="D64" s="39">
        <v>45926</v>
      </c>
      <c r="E64" s="38" t="s">
        <v>53</v>
      </c>
      <c r="F64" s="38" t="s">
        <v>199</v>
      </c>
      <c r="G64" s="40">
        <v>15419</v>
      </c>
      <c r="H64" s="90">
        <f>7200+8051.52+1593.9</f>
        <v>16845.420000000002</v>
      </c>
      <c r="I64" s="40">
        <v>2695.26</v>
      </c>
      <c r="J64" s="40">
        <f t="shared" si="6"/>
        <v>34959.68</v>
      </c>
      <c r="K64" s="40">
        <v>70171</v>
      </c>
      <c r="L64" s="40">
        <f t="shared" si="2"/>
        <v>-35211.32</v>
      </c>
      <c r="M64" s="38" t="s">
        <v>35</v>
      </c>
      <c r="N64" s="54"/>
      <c r="O64" s="36"/>
      <c r="P64" s="40">
        <v>0</v>
      </c>
      <c r="Q64" s="40">
        <v>15419</v>
      </c>
      <c r="R64" s="41"/>
      <c r="S64" s="40">
        <v>7200</v>
      </c>
      <c r="T64" s="40">
        <v>1593.9</v>
      </c>
      <c r="U64" s="40">
        <v>8051.52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7"/>
        <v>0</v>
      </c>
      <c r="AJ64"/>
      <c r="AK64" s="37"/>
      <c r="AM64" s="1"/>
      <c r="AN64" s="1"/>
    </row>
    <row r="65" spans="1:40" x14ac:dyDescent="0.3">
      <c r="A65" s="38">
        <v>1</v>
      </c>
      <c r="B65" s="38" t="s">
        <v>1778</v>
      </c>
      <c r="C65" s="38" t="s">
        <v>1779</v>
      </c>
      <c r="D65" s="39">
        <v>45929</v>
      </c>
      <c r="E65" s="38" t="s">
        <v>53</v>
      </c>
      <c r="F65" s="38" t="s">
        <v>199</v>
      </c>
      <c r="G65" s="40">
        <v>781</v>
      </c>
      <c r="H65" s="90">
        <f>7200+2641.8+3915+608.92</f>
        <v>14365.72</v>
      </c>
      <c r="I65" s="40">
        <v>2298.52</v>
      </c>
      <c r="J65" s="40">
        <f t="shared" si="6"/>
        <v>17445.239999999998</v>
      </c>
      <c r="K65" s="40">
        <v>22374.400000000001</v>
      </c>
      <c r="L65" s="40">
        <f t="shared" si="2"/>
        <v>-4929.1600000000035</v>
      </c>
      <c r="M65" s="38" t="s">
        <v>35</v>
      </c>
      <c r="N65" s="54"/>
      <c r="O65" s="36"/>
      <c r="P65" s="40">
        <v>0</v>
      </c>
      <c r="Q65" s="40">
        <v>781</v>
      </c>
      <c r="R65" s="41"/>
      <c r="S65" s="40">
        <v>7200</v>
      </c>
      <c r="T65" s="40">
        <v>608.91999999999996</v>
      </c>
      <c r="U65" s="40">
        <v>2641.8</v>
      </c>
      <c r="V65" s="40">
        <v>0</v>
      </c>
      <c r="W65" s="40">
        <v>3915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7"/>
        <v>0</v>
      </c>
      <c r="AJ65"/>
      <c r="AK65" s="37"/>
      <c r="AM65" s="1"/>
      <c r="AN65" s="1"/>
    </row>
    <row r="66" spans="1:40" x14ac:dyDescent="0.3">
      <c r="A66" s="38">
        <v>1</v>
      </c>
      <c r="B66" s="38" t="s">
        <v>1780</v>
      </c>
      <c r="C66" s="38" t="s">
        <v>1781</v>
      </c>
      <c r="D66" s="39">
        <v>45929</v>
      </c>
      <c r="E66" s="38" t="s">
        <v>53</v>
      </c>
      <c r="F66" s="38" t="s">
        <v>199</v>
      </c>
      <c r="G66" s="40">
        <v>781</v>
      </c>
      <c r="H66" s="84">
        <f>7200+2218.07+3915+608.92</f>
        <v>13941.99</v>
      </c>
      <c r="I66" s="40">
        <v>2230.7199999999998</v>
      </c>
      <c r="J66" s="40">
        <f t="shared" si="6"/>
        <v>16953.71</v>
      </c>
      <c r="K66" s="40">
        <v>21214.400000000001</v>
      </c>
      <c r="L66" s="40">
        <f t="shared" si="2"/>
        <v>-4260.6900000000023</v>
      </c>
      <c r="M66" s="38" t="s">
        <v>35</v>
      </c>
      <c r="N66" s="54"/>
      <c r="O66" s="36"/>
      <c r="P66" s="40">
        <v>0</v>
      </c>
      <c r="Q66" s="40">
        <v>781</v>
      </c>
      <c r="R66" s="41"/>
      <c r="S66" s="40">
        <v>7200</v>
      </c>
      <c r="T66" s="40">
        <v>608.91999999999996</v>
      </c>
      <c r="U66" s="40">
        <v>2218.0700000000002</v>
      </c>
      <c r="V66" s="40">
        <v>0</v>
      </c>
      <c r="W66" s="40">
        <v>3915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si="7"/>
        <v>0</v>
      </c>
      <c r="AJ66"/>
      <c r="AK66" s="37"/>
      <c r="AM66" s="1"/>
      <c r="AN66" s="1"/>
    </row>
    <row r="67" spans="1:40" x14ac:dyDescent="0.3">
      <c r="A67" s="38">
        <v>1</v>
      </c>
      <c r="B67" s="38" t="s">
        <v>1782</v>
      </c>
      <c r="C67" s="38" t="s">
        <v>1783</v>
      </c>
      <c r="D67" s="39">
        <v>45929</v>
      </c>
      <c r="E67" s="38" t="s">
        <v>53</v>
      </c>
      <c r="F67" s="38" t="s">
        <v>199</v>
      </c>
      <c r="G67" s="40">
        <v>781</v>
      </c>
      <c r="H67" s="84">
        <f>7200+2530.65+3915+608.92</f>
        <v>14254.57</v>
      </c>
      <c r="I67" s="40">
        <v>2280.73</v>
      </c>
      <c r="J67" s="40">
        <f t="shared" si="6"/>
        <v>17316.3</v>
      </c>
      <c r="K67" s="40">
        <v>22374.400000000001</v>
      </c>
      <c r="L67" s="40">
        <f t="shared" ref="L67:L90" si="8">+J67-K67</f>
        <v>-5058.1000000000022</v>
      </c>
      <c r="M67" s="38" t="s">
        <v>35</v>
      </c>
      <c r="N67" s="54"/>
      <c r="O67" s="36"/>
      <c r="P67" s="40">
        <v>0</v>
      </c>
      <c r="Q67" s="40">
        <v>781</v>
      </c>
      <c r="R67" s="41"/>
      <c r="S67" s="40">
        <v>7200</v>
      </c>
      <c r="T67" s="40">
        <v>608.91999999999996</v>
      </c>
      <c r="U67" s="40">
        <v>2530.65</v>
      </c>
      <c r="V67" s="40">
        <v>0</v>
      </c>
      <c r="W67" s="40">
        <v>3915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7"/>
        <v>0</v>
      </c>
      <c r="AJ67"/>
      <c r="AK67" s="37"/>
      <c r="AM67" s="1"/>
      <c r="AN67" s="1"/>
    </row>
    <row r="68" spans="1:40" x14ac:dyDescent="0.3">
      <c r="A68" s="38">
        <v>2</v>
      </c>
      <c r="B68" s="38" t="s">
        <v>1784</v>
      </c>
      <c r="C68" s="38" t="s">
        <v>1785</v>
      </c>
      <c r="D68" s="39">
        <v>45929</v>
      </c>
      <c r="E68" s="38" t="s">
        <v>22</v>
      </c>
      <c r="F68" s="38" t="s">
        <v>45</v>
      </c>
      <c r="G68" s="40">
        <v>781</v>
      </c>
      <c r="H68" s="84">
        <v>4500</v>
      </c>
      <c r="I68" s="40">
        <v>720</v>
      </c>
      <c r="J68" s="40">
        <f t="shared" si="6"/>
        <v>6001</v>
      </c>
      <c r="K68" s="40">
        <v>6001</v>
      </c>
      <c r="L68" s="40">
        <f t="shared" si="8"/>
        <v>0</v>
      </c>
      <c r="M68" s="38" t="s">
        <v>35</v>
      </c>
      <c r="N68" s="54"/>
      <c r="O68" s="36"/>
      <c r="P68" s="40">
        <v>0</v>
      </c>
      <c r="Q68" s="40">
        <v>781</v>
      </c>
      <c r="R68" s="41"/>
      <c r="S68" s="40">
        <v>4500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7"/>
        <v>0</v>
      </c>
      <c r="AJ68"/>
      <c r="AK68" s="37"/>
      <c r="AM68" s="1"/>
      <c r="AN68" s="1"/>
    </row>
    <row r="69" spans="1:40" x14ac:dyDescent="0.3">
      <c r="A69" s="38">
        <v>2</v>
      </c>
      <c r="B69" s="38" t="s">
        <v>1786</v>
      </c>
      <c r="C69" s="38" t="s">
        <v>1787</v>
      </c>
      <c r="D69" s="39">
        <v>45929</v>
      </c>
      <c r="E69" s="38" t="s">
        <v>22</v>
      </c>
      <c r="F69" s="38" t="s">
        <v>45</v>
      </c>
      <c r="G69" s="40">
        <v>781</v>
      </c>
      <c r="H69" s="84">
        <v>4500</v>
      </c>
      <c r="I69" s="40">
        <v>720</v>
      </c>
      <c r="J69" s="40">
        <f t="shared" si="6"/>
        <v>6001</v>
      </c>
      <c r="K69" s="40">
        <v>6001</v>
      </c>
      <c r="L69" s="40">
        <f t="shared" si="8"/>
        <v>0</v>
      </c>
      <c r="M69" s="38" t="s">
        <v>35</v>
      </c>
      <c r="N69" s="54"/>
      <c r="O69" s="36"/>
      <c r="P69" s="40">
        <v>0</v>
      </c>
      <c r="Q69" s="40">
        <v>781</v>
      </c>
      <c r="R69" s="41"/>
      <c r="S69" s="40">
        <v>4500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7"/>
        <v>0</v>
      </c>
      <c r="AJ69"/>
      <c r="AK69" s="37"/>
      <c r="AM69" s="1"/>
      <c r="AN69" s="1"/>
    </row>
    <row r="70" spans="1:40" x14ac:dyDescent="0.3">
      <c r="A70" s="38">
        <v>2</v>
      </c>
      <c r="B70" s="38" t="s">
        <v>1788</v>
      </c>
      <c r="C70" s="38" t="s">
        <v>1789</v>
      </c>
      <c r="D70" s="39">
        <v>45929</v>
      </c>
      <c r="E70" s="38" t="s">
        <v>22</v>
      </c>
      <c r="F70" s="38" t="s">
        <v>45</v>
      </c>
      <c r="G70" s="40">
        <v>781</v>
      </c>
      <c r="H70" s="84">
        <v>4500</v>
      </c>
      <c r="I70" s="40">
        <v>720</v>
      </c>
      <c r="J70" s="40">
        <f t="shared" si="6"/>
        <v>6001</v>
      </c>
      <c r="K70" s="40">
        <v>6001</v>
      </c>
      <c r="L70" s="40">
        <f t="shared" si="8"/>
        <v>0</v>
      </c>
      <c r="M70" s="38" t="s">
        <v>35</v>
      </c>
      <c r="N70" s="54"/>
      <c r="O70" s="36"/>
      <c r="P70" s="40">
        <v>0</v>
      </c>
      <c r="Q70" s="40">
        <v>781</v>
      </c>
      <c r="R70" s="41"/>
      <c r="S70" s="40">
        <v>4500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36">
        <f t="shared" si="7"/>
        <v>0</v>
      </c>
      <c r="AJ70"/>
      <c r="AK70" s="37"/>
      <c r="AM70" s="1"/>
      <c r="AN70" s="1"/>
    </row>
    <row r="71" spans="1:40" ht="15.6" customHeight="1" x14ac:dyDescent="0.3">
      <c r="A71" s="38">
        <v>2</v>
      </c>
      <c r="B71" s="38" t="s">
        <v>1790</v>
      </c>
      <c r="C71" s="38" t="s">
        <v>1791</v>
      </c>
      <c r="D71" s="39">
        <v>45930</v>
      </c>
      <c r="E71" s="38" t="s">
        <v>198</v>
      </c>
      <c r="F71" s="38" t="s">
        <v>200</v>
      </c>
      <c r="G71" s="40">
        <v>0</v>
      </c>
      <c r="H71" s="90">
        <v>22000</v>
      </c>
      <c r="I71" s="40">
        <v>3520</v>
      </c>
      <c r="J71" s="40">
        <f t="shared" si="6"/>
        <v>25520</v>
      </c>
      <c r="K71" s="40">
        <v>25520</v>
      </c>
      <c r="L71" s="40">
        <f t="shared" si="8"/>
        <v>0</v>
      </c>
      <c r="M71" s="38" t="s">
        <v>35</v>
      </c>
      <c r="N71" s="54"/>
      <c r="O71" s="36"/>
      <c r="P71" s="40">
        <v>0</v>
      </c>
      <c r="Q71" s="40">
        <v>0</v>
      </c>
      <c r="R71" s="41"/>
      <c r="S71" s="40">
        <v>0</v>
      </c>
      <c r="T71" s="40">
        <v>0</v>
      </c>
      <c r="U71" s="40">
        <v>0</v>
      </c>
      <c r="V71" s="40">
        <v>0</v>
      </c>
      <c r="W71" s="40">
        <v>22000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7"/>
        <v>0</v>
      </c>
      <c r="AJ71"/>
      <c r="AK71" s="37"/>
      <c r="AM71" s="1"/>
      <c r="AN71" s="1"/>
    </row>
    <row r="72" spans="1:40" ht="15.6" customHeight="1" x14ac:dyDescent="0.3">
      <c r="A72" s="38">
        <v>1</v>
      </c>
      <c r="B72" s="38" t="s">
        <v>1792</v>
      </c>
      <c r="C72" s="38" t="s">
        <v>1793</v>
      </c>
      <c r="D72" s="39">
        <v>45930</v>
      </c>
      <c r="E72" s="38" t="s">
        <v>22</v>
      </c>
      <c r="F72" s="38" t="s">
        <v>45</v>
      </c>
      <c r="G72" s="40">
        <v>336</v>
      </c>
      <c r="H72" s="84">
        <f>6000+1387</f>
        <v>7387</v>
      </c>
      <c r="I72" s="40">
        <v>1181.92</v>
      </c>
      <c r="J72" s="40">
        <f t="shared" si="6"/>
        <v>8904.92</v>
      </c>
      <c r="K72" s="40">
        <v>13096</v>
      </c>
      <c r="L72" s="40">
        <f t="shared" si="8"/>
        <v>-4191.08</v>
      </c>
      <c r="M72" s="38" t="s">
        <v>35</v>
      </c>
      <c r="N72" s="54"/>
      <c r="O72" s="36"/>
      <c r="P72" s="40">
        <v>0</v>
      </c>
      <c r="Q72" s="40">
        <v>336</v>
      </c>
      <c r="R72" s="41"/>
      <c r="S72" s="40">
        <v>6000</v>
      </c>
      <c r="T72" s="40">
        <v>0</v>
      </c>
      <c r="U72" s="40">
        <v>1387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36">
        <f t="shared" si="7"/>
        <v>0</v>
      </c>
      <c r="AJ72"/>
      <c r="AK72" s="37"/>
      <c r="AM72" s="1"/>
      <c r="AN72" s="1"/>
    </row>
    <row r="73" spans="1:40" ht="15.6" customHeight="1" x14ac:dyDescent="0.3">
      <c r="A73" s="38">
        <v>1</v>
      </c>
      <c r="B73" s="38" t="s">
        <v>1796</v>
      </c>
      <c r="C73" s="38" t="s">
        <v>1797</v>
      </c>
      <c r="D73" s="39">
        <v>45930</v>
      </c>
      <c r="E73" s="38" t="s">
        <v>42</v>
      </c>
      <c r="F73" s="38" t="s">
        <v>1587</v>
      </c>
      <c r="G73" s="40">
        <v>22179</v>
      </c>
      <c r="H73" s="84">
        <f>37187.42-G73</f>
        <v>15008.419999999998</v>
      </c>
      <c r="I73" s="40">
        <v>2401.35</v>
      </c>
      <c r="J73" s="40">
        <f t="shared" si="6"/>
        <v>39588.769999999997</v>
      </c>
      <c r="K73" s="40">
        <v>39681.410000000003</v>
      </c>
      <c r="L73" s="40">
        <f t="shared" si="8"/>
        <v>-92.640000000006694</v>
      </c>
      <c r="M73" s="38" t="s">
        <v>35</v>
      </c>
      <c r="N73" s="54"/>
      <c r="O73" s="36"/>
      <c r="P73" s="40">
        <v>0</v>
      </c>
      <c r="Q73" s="40">
        <v>22179</v>
      </c>
      <c r="R73" s="41"/>
      <c r="S73" s="40">
        <v>6758.53</v>
      </c>
      <c r="T73" s="40">
        <v>0</v>
      </c>
      <c r="U73" s="40">
        <v>5746.85</v>
      </c>
      <c r="V73" s="40">
        <v>1003.04</v>
      </c>
      <c r="W73" s="40">
        <v>1500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7"/>
        <v>0</v>
      </c>
      <c r="AJ73"/>
      <c r="AK73" s="37"/>
      <c r="AM73" s="1"/>
      <c r="AN73" s="1"/>
    </row>
    <row r="74" spans="1:40" ht="15.6" customHeight="1" x14ac:dyDescent="0.3">
      <c r="A74" s="38">
        <v>1</v>
      </c>
      <c r="B74" s="38" t="s">
        <v>1798</v>
      </c>
      <c r="C74" s="38" t="s">
        <v>1799</v>
      </c>
      <c r="D74" s="39">
        <v>45930</v>
      </c>
      <c r="E74" s="38" t="s">
        <v>22</v>
      </c>
      <c r="F74" s="38" t="s">
        <v>45</v>
      </c>
      <c r="G74" s="40">
        <v>336</v>
      </c>
      <c r="H74" s="84">
        <f>11496-G74</f>
        <v>11160</v>
      </c>
      <c r="I74" s="40">
        <v>1785.6</v>
      </c>
      <c r="J74" s="40">
        <f t="shared" si="6"/>
        <v>13281.6</v>
      </c>
      <c r="K74" s="40">
        <v>15416</v>
      </c>
      <c r="L74" s="40">
        <f t="shared" si="8"/>
        <v>-2134.3999999999996</v>
      </c>
      <c r="M74" s="38" t="s">
        <v>35</v>
      </c>
      <c r="N74" s="54"/>
      <c r="O74" s="36"/>
      <c r="P74" s="40">
        <v>0</v>
      </c>
      <c r="Q74" s="40">
        <v>336</v>
      </c>
      <c r="R74" s="41"/>
      <c r="S74" s="40">
        <v>6000</v>
      </c>
      <c r="T74" s="40">
        <v>0</v>
      </c>
      <c r="U74" s="40">
        <v>2160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3000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7"/>
        <v>0</v>
      </c>
      <c r="AJ74"/>
      <c r="AK74" s="37"/>
      <c r="AM74" s="1"/>
      <c r="AN74" s="1"/>
    </row>
    <row r="75" spans="1:40" ht="15.6" customHeight="1" x14ac:dyDescent="0.3">
      <c r="A75" s="38">
        <v>1</v>
      </c>
      <c r="B75" s="38" t="s">
        <v>1800</v>
      </c>
      <c r="C75" s="38" t="s">
        <v>1027</v>
      </c>
      <c r="D75" s="39">
        <v>45930</v>
      </c>
      <c r="E75" s="38" t="s">
        <v>53</v>
      </c>
      <c r="F75" s="38" t="s">
        <v>199</v>
      </c>
      <c r="G75" s="40">
        <v>441</v>
      </c>
      <c r="H75" s="84">
        <v>0.01</v>
      </c>
      <c r="I75" s="40">
        <v>0</v>
      </c>
      <c r="J75" s="40">
        <f t="shared" si="6"/>
        <v>441.01</v>
      </c>
      <c r="K75" s="40">
        <v>441</v>
      </c>
      <c r="L75" s="40">
        <f t="shared" si="8"/>
        <v>9.9999999999909051E-3</v>
      </c>
      <c r="M75" s="38" t="s">
        <v>35</v>
      </c>
      <c r="N75" s="54"/>
      <c r="O75" s="36"/>
      <c r="P75" s="40">
        <v>0</v>
      </c>
      <c r="Q75" s="40">
        <v>441</v>
      </c>
      <c r="R75" s="41"/>
      <c r="S75" s="40">
        <v>0.01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7"/>
        <v>0</v>
      </c>
      <c r="AJ75"/>
      <c r="AK75" s="37"/>
      <c r="AM75" s="1"/>
      <c r="AN75" s="1"/>
    </row>
    <row r="76" spans="1:40" ht="15.6" customHeight="1" x14ac:dyDescent="0.3">
      <c r="A76" s="38">
        <v>1</v>
      </c>
      <c r="B76" s="38" t="s">
        <v>1801</v>
      </c>
      <c r="C76" s="38" t="s">
        <v>806</v>
      </c>
      <c r="D76" s="39">
        <v>45930</v>
      </c>
      <c r="E76" s="38" t="s">
        <v>53</v>
      </c>
      <c r="F76" s="38" t="s">
        <v>199</v>
      </c>
      <c r="G76" s="40">
        <v>453</v>
      </c>
      <c r="H76" s="84">
        <v>0.01</v>
      </c>
      <c r="I76" s="40">
        <v>0</v>
      </c>
      <c r="J76" s="40">
        <f t="shared" si="6"/>
        <v>453.01</v>
      </c>
      <c r="K76" s="40">
        <v>442</v>
      </c>
      <c r="L76" s="40">
        <f t="shared" si="8"/>
        <v>11.009999999999991</v>
      </c>
      <c r="M76" s="38" t="s">
        <v>35</v>
      </c>
      <c r="N76" s="54"/>
      <c r="O76" s="36"/>
      <c r="P76" s="40">
        <v>0</v>
      </c>
      <c r="Q76" s="40">
        <v>453</v>
      </c>
      <c r="R76" s="41"/>
      <c r="S76" s="40">
        <v>0.01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36">
        <f t="shared" si="7"/>
        <v>0</v>
      </c>
      <c r="AJ76"/>
      <c r="AK76" s="37"/>
      <c r="AM76" s="1"/>
      <c r="AN76" s="1"/>
    </row>
    <row r="77" spans="1:40" ht="15.6" customHeight="1" x14ac:dyDescent="0.3">
      <c r="A77" s="38">
        <v>1</v>
      </c>
      <c r="B77" s="38" t="s">
        <v>1802</v>
      </c>
      <c r="C77" s="38" t="s">
        <v>1414</v>
      </c>
      <c r="D77" s="39">
        <v>45930</v>
      </c>
      <c r="E77" s="38" t="s">
        <v>157</v>
      </c>
      <c r="F77" s="38" t="s">
        <v>1378</v>
      </c>
      <c r="G77" s="40">
        <v>92396</v>
      </c>
      <c r="H77" s="84">
        <v>3549</v>
      </c>
      <c r="I77" s="40">
        <v>0</v>
      </c>
      <c r="J77" s="40">
        <f t="shared" si="6"/>
        <v>95945</v>
      </c>
      <c r="K77" s="40">
        <v>95945</v>
      </c>
      <c r="L77" s="40">
        <f t="shared" si="8"/>
        <v>0</v>
      </c>
      <c r="M77" s="38" t="s">
        <v>35</v>
      </c>
      <c r="N77" s="54"/>
      <c r="O77" s="36"/>
      <c r="P77" s="40">
        <v>0</v>
      </c>
      <c r="Q77" s="40">
        <v>92396</v>
      </c>
      <c r="R77" s="41"/>
      <c r="S77" s="40">
        <v>0</v>
      </c>
      <c r="T77" s="40">
        <v>3549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36">
        <f t="shared" si="7"/>
        <v>0</v>
      </c>
      <c r="AJ77"/>
      <c r="AK77" s="37"/>
      <c r="AM77" s="1"/>
      <c r="AN77" s="1"/>
    </row>
    <row r="78" spans="1:40" ht="15.6" customHeight="1" x14ac:dyDescent="0.3">
      <c r="A78" s="38">
        <v>1</v>
      </c>
      <c r="B78" s="38" t="s">
        <v>1804</v>
      </c>
      <c r="C78" s="38" t="s">
        <v>1455</v>
      </c>
      <c r="D78" s="39">
        <v>45930</v>
      </c>
      <c r="E78" s="38" t="s">
        <v>157</v>
      </c>
      <c r="F78" s="38" t="s">
        <v>1378</v>
      </c>
      <c r="G78" s="40">
        <v>0</v>
      </c>
      <c r="H78" s="84">
        <v>33128.94</v>
      </c>
      <c r="I78" s="40">
        <v>5300.63</v>
      </c>
      <c r="J78" s="40">
        <f t="shared" si="6"/>
        <v>38429.57</v>
      </c>
      <c r="K78" s="40">
        <v>0</v>
      </c>
      <c r="L78" s="40">
        <f t="shared" si="8"/>
        <v>38429.57</v>
      </c>
      <c r="M78" s="38" t="s">
        <v>35</v>
      </c>
      <c r="N78" s="54"/>
      <c r="O78" s="36"/>
      <c r="P78" s="40">
        <v>0</v>
      </c>
      <c r="Q78" s="40">
        <v>0</v>
      </c>
      <c r="R78" s="41"/>
      <c r="S78" s="40">
        <v>0</v>
      </c>
      <c r="T78" s="40">
        <v>0</v>
      </c>
      <c r="U78" s="40">
        <v>11729.85</v>
      </c>
      <c r="V78" s="40">
        <v>10599.09</v>
      </c>
      <c r="W78" s="40">
        <f>5400+5400</f>
        <v>10800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7"/>
        <v>0</v>
      </c>
      <c r="AJ78"/>
      <c r="AK78" s="37"/>
      <c r="AM78" s="1"/>
      <c r="AN78" s="1"/>
    </row>
    <row r="79" spans="1:40" ht="15.6" customHeight="1" x14ac:dyDescent="0.3">
      <c r="A79" s="38">
        <v>2</v>
      </c>
      <c r="B79" s="38" t="s">
        <v>1805</v>
      </c>
      <c r="C79" s="38" t="s">
        <v>1806</v>
      </c>
      <c r="D79" s="39">
        <v>45930</v>
      </c>
      <c r="E79" s="38" t="s">
        <v>22</v>
      </c>
      <c r="F79" s="38" t="s">
        <v>45</v>
      </c>
      <c r="G79" s="40">
        <v>336</v>
      </c>
      <c r="H79" s="84">
        <v>4200</v>
      </c>
      <c r="I79" s="40">
        <v>672</v>
      </c>
      <c r="J79" s="40">
        <f t="shared" si="6"/>
        <v>5208</v>
      </c>
      <c r="K79" s="40">
        <v>5208</v>
      </c>
      <c r="L79" s="40">
        <f t="shared" si="8"/>
        <v>0</v>
      </c>
      <c r="M79" s="38" t="s">
        <v>35</v>
      </c>
      <c r="N79" s="54"/>
      <c r="O79" s="36"/>
      <c r="P79" s="40">
        <v>0</v>
      </c>
      <c r="Q79" s="40">
        <v>336</v>
      </c>
      <c r="R79" s="41"/>
      <c r="S79" s="40">
        <v>4200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7"/>
        <v>0</v>
      </c>
      <c r="AJ79"/>
      <c r="AK79" s="37"/>
      <c r="AM79" s="1"/>
      <c r="AN79" s="1"/>
    </row>
    <row r="80" spans="1:40" ht="15.6" customHeight="1" x14ac:dyDescent="0.3">
      <c r="A80" s="38">
        <v>1</v>
      </c>
      <c r="B80" s="38" t="s">
        <v>1807</v>
      </c>
      <c r="C80" s="38" t="s">
        <v>1808</v>
      </c>
      <c r="D80" s="39">
        <v>45930</v>
      </c>
      <c r="E80" s="38" t="s">
        <v>53</v>
      </c>
      <c r="F80" s="38" t="s">
        <v>199</v>
      </c>
      <c r="G80" s="40">
        <v>781</v>
      </c>
      <c r="H80" s="84">
        <f>15248.33-G80</f>
        <v>14467.33</v>
      </c>
      <c r="I80" s="40">
        <v>2314.77</v>
      </c>
      <c r="J80" s="40">
        <f t="shared" si="6"/>
        <v>17563.099999999999</v>
      </c>
      <c r="K80" s="40">
        <v>22374.400000000001</v>
      </c>
      <c r="L80" s="40">
        <f t="shared" si="8"/>
        <v>-4811.3000000000029</v>
      </c>
      <c r="M80" s="38" t="s">
        <v>35</v>
      </c>
      <c r="N80" s="54"/>
      <c r="O80" s="36"/>
      <c r="P80" s="40">
        <v>0</v>
      </c>
      <c r="Q80" s="40">
        <v>781</v>
      </c>
      <c r="R80" s="41"/>
      <c r="S80" s="40">
        <v>7200</v>
      </c>
      <c r="T80" s="40">
        <v>0</v>
      </c>
      <c r="U80" s="40">
        <v>3352.33</v>
      </c>
      <c r="V80" s="40">
        <v>0</v>
      </c>
      <c r="W80" s="40">
        <v>3915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36">
        <f t="shared" si="7"/>
        <v>0</v>
      </c>
      <c r="AJ80"/>
      <c r="AK80" s="37"/>
      <c r="AM80" s="1"/>
      <c r="AN80" s="1"/>
    </row>
    <row r="81" spans="1:40" ht="15.6" customHeight="1" x14ac:dyDescent="0.3">
      <c r="A81" s="38">
        <v>1</v>
      </c>
      <c r="B81" s="38" t="s">
        <v>1809</v>
      </c>
      <c r="C81" s="38" t="s">
        <v>1810</v>
      </c>
      <c r="D81" s="39">
        <v>45930</v>
      </c>
      <c r="E81" s="38" t="s">
        <v>22</v>
      </c>
      <c r="F81" s="38" t="s">
        <v>45</v>
      </c>
      <c r="G81" s="40">
        <v>0</v>
      </c>
      <c r="H81" s="84">
        <v>108199.8</v>
      </c>
      <c r="I81" s="40">
        <v>0</v>
      </c>
      <c r="J81" s="40">
        <f t="shared" si="6"/>
        <v>108199.8</v>
      </c>
      <c r="K81" s="40">
        <v>108199.8</v>
      </c>
      <c r="L81" s="40">
        <f t="shared" si="8"/>
        <v>0</v>
      </c>
      <c r="M81" s="38" t="s">
        <v>35</v>
      </c>
      <c r="N81" s="54"/>
      <c r="O81" s="36"/>
      <c r="P81" s="40">
        <v>0</v>
      </c>
      <c r="Q81" s="40">
        <v>0</v>
      </c>
      <c r="R81" s="41"/>
      <c r="S81" s="40">
        <v>0</v>
      </c>
      <c r="T81" s="40">
        <v>6202.54</v>
      </c>
      <c r="U81" s="40">
        <v>0</v>
      </c>
      <c r="V81" s="40">
        <v>30870.18</v>
      </c>
      <c r="W81" s="40">
        <v>0</v>
      </c>
      <c r="X81" s="40">
        <v>0</v>
      </c>
      <c r="Y81" s="40">
        <v>0</v>
      </c>
      <c r="Z81" s="40">
        <f>11423.2+55116.21</f>
        <v>66539.41</v>
      </c>
      <c r="AA81" s="40">
        <v>0</v>
      </c>
      <c r="AB81" s="40">
        <v>0</v>
      </c>
      <c r="AC81" s="40">
        <v>0</v>
      </c>
      <c r="AD81" s="40">
        <v>1376.3</v>
      </c>
      <c r="AE81" s="40">
        <v>3211.37</v>
      </c>
      <c r="AF81" s="40">
        <v>0</v>
      </c>
      <c r="AG81" s="40">
        <v>0</v>
      </c>
      <c r="AH81" s="40">
        <v>0</v>
      </c>
      <c r="AI81" s="36">
        <f t="shared" si="7"/>
        <v>0</v>
      </c>
      <c r="AJ81"/>
      <c r="AK81" s="37"/>
      <c r="AM81" s="1"/>
      <c r="AN81" s="1"/>
    </row>
    <row r="82" spans="1:40" ht="15.6" customHeight="1" x14ac:dyDescent="0.3">
      <c r="A82" s="38">
        <v>1</v>
      </c>
      <c r="B82" s="38" t="s">
        <v>1811</v>
      </c>
      <c r="C82" s="38" t="s">
        <v>1810</v>
      </c>
      <c r="D82" s="39">
        <v>45930</v>
      </c>
      <c r="E82" s="38" t="s">
        <v>22</v>
      </c>
      <c r="F82" s="38" t="s">
        <v>45</v>
      </c>
      <c r="G82" s="40">
        <f>428+635614+781</f>
        <v>636823</v>
      </c>
      <c r="H82" s="84">
        <f>668168-G82</f>
        <v>31345</v>
      </c>
      <c r="I82" s="40">
        <v>5015.2</v>
      </c>
      <c r="J82" s="40">
        <f t="shared" si="6"/>
        <v>673183.2</v>
      </c>
      <c r="K82" s="40">
        <v>673183.2</v>
      </c>
      <c r="L82" s="40">
        <f t="shared" si="8"/>
        <v>0</v>
      </c>
      <c r="M82" s="38" t="s">
        <v>35</v>
      </c>
      <c r="N82" s="54"/>
      <c r="O82" s="36"/>
      <c r="P82" s="40">
        <v>0</v>
      </c>
      <c r="Q82" s="40">
        <f>428+635614+781</f>
        <v>636823</v>
      </c>
      <c r="R82" s="41"/>
      <c r="S82" s="40">
        <v>14000</v>
      </c>
      <c r="T82" s="40">
        <v>0</v>
      </c>
      <c r="U82" s="40">
        <v>16023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1322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7"/>
        <v>0</v>
      </c>
      <c r="AJ82"/>
      <c r="AK82" s="37"/>
      <c r="AM82" s="1"/>
      <c r="AN82" s="1"/>
    </row>
    <row r="83" spans="1:40" ht="15.6" customHeight="1" x14ac:dyDescent="0.3">
      <c r="A83" s="38">
        <v>1</v>
      </c>
      <c r="B83" s="38" t="s">
        <v>1812</v>
      </c>
      <c r="C83" s="38" t="s">
        <v>1226</v>
      </c>
      <c r="D83" s="39">
        <v>45930</v>
      </c>
      <c r="E83" s="38" t="s">
        <v>1227</v>
      </c>
      <c r="F83" s="38" t="s">
        <v>1228</v>
      </c>
      <c r="G83" s="40">
        <v>0</v>
      </c>
      <c r="H83" s="84">
        <v>2983.45</v>
      </c>
      <c r="I83" s="40">
        <v>477.35</v>
      </c>
      <c r="J83" s="40">
        <f t="shared" si="6"/>
        <v>3460.7999999999997</v>
      </c>
      <c r="K83" s="40">
        <v>3460.8</v>
      </c>
      <c r="L83" s="40">
        <f t="shared" si="8"/>
        <v>0</v>
      </c>
      <c r="M83" s="38" t="s">
        <v>35</v>
      </c>
      <c r="N83" s="54"/>
      <c r="O83" s="36"/>
      <c r="P83" s="40">
        <v>0</v>
      </c>
      <c r="Q83" s="40">
        <v>0</v>
      </c>
      <c r="R83" s="41"/>
      <c r="S83" s="40">
        <v>0</v>
      </c>
      <c r="T83" s="40">
        <v>0</v>
      </c>
      <c r="U83" s="40">
        <v>2983.45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7"/>
        <v>0</v>
      </c>
      <c r="AJ83"/>
      <c r="AK83" s="37"/>
      <c r="AM83" s="1"/>
      <c r="AN83" s="1"/>
    </row>
    <row r="84" spans="1:40" ht="15.6" customHeight="1" x14ac:dyDescent="0.3">
      <c r="A84" s="38"/>
      <c r="B84" s="38"/>
      <c r="C84" s="38"/>
      <c r="D84" s="39"/>
      <c r="E84" s="38"/>
      <c r="F84" s="38"/>
      <c r="G84" s="40"/>
      <c r="H84" s="84"/>
      <c r="I84" s="40"/>
      <c r="J84" s="40">
        <f t="shared" si="6"/>
        <v>0</v>
      </c>
      <c r="K84" s="40"/>
      <c r="L84" s="40">
        <f t="shared" si="8"/>
        <v>0</v>
      </c>
      <c r="M84" s="38" t="s">
        <v>35</v>
      </c>
      <c r="N84" s="54"/>
      <c r="O84" s="36"/>
      <c r="P84" s="40">
        <v>0</v>
      </c>
      <c r="Q84" s="40">
        <v>0</v>
      </c>
      <c r="R84" s="41"/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36">
        <f t="shared" si="7"/>
        <v>0</v>
      </c>
      <c r="AJ84"/>
      <c r="AK84" s="37"/>
      <c r="AM84" s="1"/>
      <c r="AN84" s="1"/>
    </row>
    <row r="85" spans="1:40" ht="15.6" customHeight="1" x14ac:dyDescent="0.3">
      <c r="A85" s="38"/>
      <c r="B85" s="38"/>
      <c r="C85" s="38"/>
      <c r="D85" s="39"/>
      <c r="E85" s="38"/>
      <c r="F85" s="38"/>
      <c r="G85" s="40"/>
      <c r="H85" s="84"/>
      <c r="I85" s="40"/>
      <c r="J85" s="40">
        <f t="shared" si="6"/>
        <v>0</v>
      </c>
      <c r="K85" s="40"/>
      <c r="L85" s="40">
        <f t="shared" si="8"/>
        <v>0</v>
      </c>
      <c r="M85" s="38" t="s">
        <v>35</v>
      </c>
      <c r="N85" s="54"/>
      <c r="O85" s="36"/>
      <c r="P85" s="40">
        <v>0</v>
      </c>
      <c r="Q85" s="40">
        <v>0</v>
      </c>
      <c r="R85" s="41"/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7"/>
        <v>0</v>
      </c>
      <c r="AJ85"/>
      <c r="AK85" s="37"/>
      <c r="AM85" s="1"/>
      <c r="AN85" s="1"/>
    </row>
    <row r="86" spans="1:40" ht="15.6" customHeight="1" x14ac:dyDescent="0.3">
      <c r="A86" s="38"/>
      <c r="B86" s="38"/>
      <c r="C86" s="38"/>
      <c r="D86" s="39"/>
      <c r="E86" s="38"/>
      <c r="F86" s="38"/>
      <c r="G86" s="40"/>
      <c r="H86" s="84"/>
      <c r="I86" s="40"/>
      <c r="J86" s="40">
        <f t="shared" si="6"/>
        <v>0</v>
      </c>
      <c r="K86" s="40"/>
      <c r="L86" s="40">
        <f t="shared" si="8"/>
        <v>0</v>
      </c>
      <c r="M86" s="38" t="s">
        <v>35</v>
      </c>
      <c r="N86" s="54"/>
      <c r="O86" s="36"/>
      <c r="P86" s="40">
        <v>0</v>
      </c>
      <c r="Q86" s="40">
        <v>0</v>
      </c>
      <c r="R86" s="41"/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7"/>
        <v>0</v>
      </c>
      <c r="AJ86"/>
      <c r="AK86" s="37"/>
      <c r="AM86" s="1"/>
      <c r="AN86" s="1"/>
    </row>
    <row r="87" spans="1:40" ht="15.6" customHeight="1" x14ac:dyDescent="0.3">
      <c r="A87" s="38"/>
      <c r="B87" s="38"/>
      <c r="C87" s="38"/>
      <c r="D87" s="39"/>
      <c r="E87" s="38"/>
      <c r="F87" s="38"/>
      <c r="G87" s="40"/>
      <c r="H87" s="84"/>
      <c r="I87" s="40"/>
      <c r="J87" s="40">
        <f t="shared" si="6"/>
        <v>0</v>
      </c>
      <c r="K87" s="40"/>
      <c r="L87" s="40">
        <f t="shared" si="8"/>
        <v>0</v>
      </c>
      <c r="M87" s="38" t="s">
        <v>35</v>
      </c>
      <c r="N87" s="54"/>
      <c r="O87" s="36"/>
      <c r="P87" s="40">
        <v>0</v>
      </c>
      <c r="Q87" s="40">
        <v>0</v>
      </c>
      <c r="R87" s="41"/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7"/>
        <v>0</v>
      </c>
      <c r="AJ87"/>
      <c r="AK87" s="37"/>
      <c r="AM87" s="1"/>
      <c r="AN87" s="1"/>
    </row>
    <row r="88" spans="1:40" ht="15.6" customHeight="1" x14ac:dyDescent="0.3">
      <c r="A88" s="38"/>
      <c r="B88" s="38"/>
      <c r="C88" s="38"/>
      <c r="D88" s="39"/>
      <c r="E88" s="38"/>
      <c r="F88" s="38"/>
      <c r="G88" s="40"/>
      <c r="H88" s="84"/>
      <c r="I88" s="40"/>
      <c r="J88" s="40">
        <f t="shared" si="6"/>
        <v>0</v>
      </c>
      <c r="K88" s="40"/>
      <c r="L88" s="40">
        <f t="shared" si="8"/>
        <v>0</v>
      </c>
      <c r="M88" s="38" t="s">
        <v>35</v>
      </c>
      <c r="N88" s="54"/>
      <c r="O88" s="36"/>
      <c r="P88" s="40">
        <v>0</v>
      </c>
      <c r="Q88" s="40">
        <v>0</v>
      </c>
      <c r="R88" s="41"/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7"/>
        <v>0</v>
      </c>
      <c r="AJ88"/>
      <c r="AK88" s="37"/>
      <c r="AM88" s="1"/>
      <c r="AN88" s="1"/>
    </row>
    <row r="89" spans="1:40" ht="15.6" customHeight="1" x14ac:dyDescent="0.3">
      <c r="A89" s="38"/>
      <c r="B89" s="38"/>
      <c r="C89" s="38"/>
      <c r="D89" s="39"/>
      <c r="E89" s="38"/>
      <c r="F89" s="38"/>
      <c r="G89" s="40"/>
      <c r="H89" s="90"/>
      <c r="I89" s="40"/>
      <c r="J89" s="40">
        <f t="shared" si="6"/>
        <v>0</v>
      </c>
      <c r="K89" s="40"/>
      <c r="L89" s="40">
        <f t="shared" si="8"/>
        <v>0</v>
      </c>
      <c r="M89" s="38" t="s">
        <v>35</v>
      </c>
      <c r="N89" s="54"/>
      <c r="O89" s="36"/>
      <c r="P89" s="40">
        <v>0</v>
      </c>
      <c r="Q89" s="40">
        <v>0</v>
      </c>
      <c r="R89" s="41"/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7"/>
        <v>0</v>
      </c>
      <c r="AJ89"/>
      <c r="AK89" s="37"/>
      <c r="AM89" s="1"/>
      <c r="AN89" s="1"/>
    </row>
    <row r="90" spans="1:40" ht="15.6" customHeight="1" x14ac:dyDescent="0.3">
      <c r="A90" s="38"/>
      <c r="B90" s="38"/>
      <c r="C90" s="38"/>
      <c r="D90" s="39"/>
      <c r="E90" s="38"/>
      <c r="F90" s="38"/>
      <c r="G90" s="40"/>
      <c r="H90" s="84"/>
      <c r="I90" s="40"/>
      <c r="J90" s="40">
        <f t="shared" si="6"/>
        <v>0</v>
      </c>
      <c r="K90" s="40"/>
      <c r="L90" s="40">
        <f t="shared" si="8"/>
        <v>0</v>
      </c>
      <c r="M90" s="38" t="s">
        <v>35</v>
      </c>
      <c r="N90" s="54"/>
      <c r="O90" s="36"/>
      <c r="P90" s="40">
        <v>0</v>
      </c>
      <c r="Q90" s="40">
        <v>0</v>
      </c>
      <c r="R90" s="41"/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7"/>
        <v>0</v>
      </c>
      <c r="AJ90"/>
      <c r="AK90" s="37"/>
      <c r="AM90" s="1"/>
      <c r="AN90" s="1"/>
    </row>
    <row r="91" spans="1:40" ht="15" thickBot="1" x14ac:dyDescent="0.35">
      <c r="G91" s="16">
        <f t="shared" ref="G91:L91" si="9">+SUM(G2:G90)</f>
        <v>1184186</v>
      </c>
      <c r="H91" s="16">
        <f t="shared" si="9"/>
        <v>1608747.5599999998</v>
      </c>
      <c r="I91" s="16">
        <f t="shared" si="9"/>
        <v>239519.81000000003</v>
      </c>
      <c r="J91" s="16">
        <f t="shared" si="9"/>
        <v>3032453.3699999992</v>
      </c>
      <c r="K91" s="16">
        <f t="shared" si="9"/>
        <v>3074402.7499999991</v>
      </c>
      <c r="L91" s="16">
        <f t="shared" si="9"/>
        <v>-41949.380000000056</v>
      </c>
      <c r="P91" s="16">
        <f>+SUM(P2:P90)</f>
        <v>0</v>
      </c>
      <c r="Q91" s="16">
        <f>+SUM(Q2:Q90)</f>
        <v>1184186</v>
      </c>
      <c r="S91" s="16">
        <f t="shared" ref="S91:AI91" si="10">+SUM(S2:S90)</f>
        <v>407143.89</v>
      </c>
      <c r="T91" s="16">
        <f t="shared" si="10"/>
        <v>18807.990000000002</v>
      </c>
      <c r="U91" s="16">
        <f t="shared" si="10"/>
        <v>464207.16</v>
      </c>
      <c r="V91" s="16">
        <f t="shared" si="10"/>
        <v>45932.11</v>
      </c>
      <c r="W91" s="16">
        <f t="shared" si="10"/>
        <v>530792.33000000007</v>
      </c>
      <c r="X91" s="16">
        <f t="shared" si="10"/>
        <v>30000</v>
      </c>
      <c r="Y91" s="16">
        <f t="shared" si="10"/>
        <v>21300</v>
      </c>
      <c r="Z91" s="16">
        <f t="shared" si="10"/>
        <v>66539.41</v>
      </c>
      <c r="AA91" s="16">
        <f t="shared" si="10"/>
        <v>12700</v>
      </c>
      <c r="AB91" s="16">
        <f t="shared" si="10"/>
        <v>0</v>
      </c>
      <c r="AC91" s="16">
        <f t="shared" si="10"/>
        <v>3197</v>
      </c>
      <c r="AD91" s="16">
        <f t="shared" si="10"/>
        <v>1376.3</v>
      </c>
      <c r="AE91" s="16">
        <f t="shared" si="10"/>
        <v>3211.37</v>
      </c>
      <c r="AF91" s="16">
        <f t="shared" si="10"/>
        <v>3540</v>
      </c>
      <c r="AG91" s="16">
        <f t="shared" si="10"/>
        <v>0</v>
      </c>
      <c r="AH91" s="16">
        <f t="shared" si="10"/>
        <v>0</v>
      </c>
      <c r="AI91" s="47">
        <f t="shared" si="10"/>
        <v>0</v>
      </c>
      <c r="AJ91"/>
      <c r="AK91" s="37"/>
      <c r="AM91" s="1"/>
      <c r="AN91" s="1"/>
    </row>
    <row r="92" spans="1:40" ht="15" thickTop="1" x14ac:dyDescent="0.3">
      <c r="AK92" s="37"/>
      <c r="AM92" s="1"/>
      <c r="AN92" s="1"/>
    </row>
    <row r="93" spans="1:40" x14ac:dyDescent="0.3">
      <c r="Q93" s="1">
        <f>+G91-P91-Q91</f>
        <v>0</v>
      </c>
      <c r="AK93" s="37"/>
      <c r="AM93" s="1"/>
      <c r="AN93" s="1"/>
    </row>
    <row r="94" spans="1:40" x14ac:dyDescent="0.3">
      <c r="M94" s="46"/>
      <c r="U94" s="1" t="s">
        <v>1813</v>
      </c>
    </row>
    <row r="95" spans="1:40" x14ac:dyDescent="0.3">
      <c r="D95"/>
      <c r="E95" s="49"/>
      <c r="F95" s="14"/>
      <c r="H95" s="21" t="s">
        <v>25</v>
      </c>
      <c r="I95" s="21" t="s">
        <v>26</v>
      </c>
      <c r="J95" s="21" t="s">
        <v>27</v>
      </c>
      <c r="K95" s="21" t="s">
        <v>28</v>
      </c>
    </row>
    <row r="96" spans="1:40" x14ac:dyDescent="0.3">
      <c r="B96" s="14" t="s">
        <v>30</v>
      </c>
      <c r="D96" s="15">
        <v>0</v>
      </c>
      <c r="G96" s="14" t="s">
        <v>23</v>
      </c>
      <c r="H96" s="1">
        <f>+H91-I96</f>
        <v>1496998.7399999998</v>
      </c>
      <c r="I96" s="1">
        <f>+H75+H76+H77+H81</f>
        <v>111748.82</v>
      </c>
      <c r="J96" s="1">
        <f>+H96*0.16</f>
        <v>239519.79839999997</v>
      </c>
      <c r="K96" s="1">
        <f>+SUM(H96:J96)</f>
        <v>1848267.3583999998</v>
      </c>
      <c r="M96" s="46"/>
    </row>
    <row r="97" spans="1:42" x14ac:dyDescent="0.3">
      <c r="A97" s="22" t="s">
        <v>32</v>
      </c>
      <c r="B97" s="14" t="s">
        <v>31</v>
      </c>
      <c r="D97" s="15">
        <v>0</v>
      </c>
      <c r="G97" s="14" t="s">
        <v>24</v>
      </c>
      <c r="H97" s="1">
        <f>+'SEP USD'!N22</f>
        <v>83752.594800000006</v>
      </c>
      <c r="I97" s="1">
        <f>+'SEP USD'!N23</f>
        <v>85091.433799999999</v>
      </c>
      <c r="J97" s="1">
        <f>+H97*0.16</f>
        <v>13400.415168000001</v>
      </c>
      <c r="K97" s="1">
        <f>+SUM(H97:J97)</f>
        <v>182244.44376800003</v>
      </c>
    </row>
    <row r="98" spans="1:42" ht="15" thickBot="1" x14ac:dyDescent="0.35">
      <c r="A98" s="22" t="s">
        <v>33</v>
      </c>
      <c r="B98" s="14" t="s">
        <v>34</v>
      </c>
      <c r="D98" s="20">
        <f>+D96-D97</f>
        <v>0</v>
      </c>
      <c r="E98" s="35"/>
      <c r="H98" s="20">
        <f>+SUM(H96:H97)</f>
        <v>1580751.3347999998</v>
      </c>
      <c r="I98" s="20">
        <f t="shared" ref="I98:J98" si="11">+SUM(I96:I97)</f>
        <v>196840.25380000001</v>
      </c>
      <c r="J98" s="20">
        <f t="shared" si="11"/>
        <v>252920.21356799998</v>
      </c>
      <c r="K98" s="20">
        <f>+SUM(K96:K97)</f>
        <v>2030511.8021679998</v>
      </c>
    </row>
    <row r="99" spans="1:42" ht="15" thickTop="1" x14ac:dyDescent="0.3">
      <c r="D99"/>
    </row>
    <row r="100" spans="1:42" x14ac:dyDescent="0.3">
      <c r="D100" s="33"/>
      <c r="G100" s="14" t="s">
        <v>29</v>
      </c>
      <c r="H100" s="15">
        <f>+H98+I98</f>
        <v>1777591.5885999999</v>
      </c>
    </row>
    <row r="101" spans="1:42" x14ac:dyDescent="0.3">
      <c r="D101" s="33"/>
      <c r="G101" s="14"/>
      <c r="H101" s="15"/>
      <c r="AP101" s="1"/>
    </row>
    <row r="102" spans="1:42" x14ac:dyDescent="0.3">
      <c r="D102" s="33"/>
      <c r="G102" s="14"/>
      <c r="H102" s="15"/>
      <c r="AP102" s="1"/>
    </row>
    <row r="103" spans="1:42" x14ac:dyDescent="0.3">
      <c r="D103" s="33"/>
      <c r="G103" s="14"/>
      <c r="H103" s="15"/>
      <c r="AP103" s="1"/>
    </row>
    <row r="104" spans="1:42" x14ac:dyDescent="0.3">
      <c r="D104" s="33"/>
      <c r="G104" s="14"/>
      <c r="H104" s="15"/>
      <c r="AP104" s="1"/>
    </row>
    <row r="105" spans="1:42" s="1" customFormat="1" x14ac:dyDescent="0.3">
      <c r="A105"/>
      <c r="B105"/>
      <c r="C105"/>
      <c r="D105" s="33"/>
      <c r="E105"/>
      <c r="F105"/>
      <c r="G105" s="14"/>
      <c r="H105" s="15"/>
      <c r="M105"/>
      <c r="N105"/>
      <c r="O105"/>
      <c r="R105"/>
      <c r="AM105"/>
      <c r="AN105"/>
      <c r="AO105"/>
      <c r="AP105"/>
    </row>
    <row r="106" spans="1:42" s="1" customFormat="1" x14ac:dyDescent="0.3">
      <c r="A106"/>
      <c r="B106"/>
      <c r="C106"/>
      <c r="D106" s="33"/>
      <c r="E106"/>
      <c r="F106"/>
      <c r="G106" s="14"/>
      <c r="H106" s="15"/>
      <c r="M106"/>
      <c r="N106"/>
      <c r="O106"/>
      <c r="R106"/>
      <c r="AM106"/>
      <c r="AN106"/>
      <c r="AO106"/>
      <c r="AP106"/>
    </row>
    <row r="107" spans="1:42" s="1" customFormat="1" x14ac:dyDescent="0.3">
      <c r="A107"/>
      <c r="B107"/>
      <c r="C107"/>
      <c r="D107" s="33"/>
      <c r="E107"/>
      <c r="F107"/>
      <c r="G107" s="14"/>
      <c r="H107" s="15"/>
      <c r="M107"/>
      <c r="N107"/>
      <c r="O107"/>
      <c r="R107"/>
      <c r="AM107"/>
      <c r="AN107"/>
      <c r="AO107"/>
      <c r="AP107"/>
    </row>
    <row r="108" spans="1:42" s="1" customFormat="1" x14ac:dyDescent="0.3">
      <c r="A108"/>
      <c r="B108"/>
      <c r="C108"/>
      <c r="D108" s="33"/>
      <c r="E108"/>
      <c r="F108"/>
      <c r="G108" s="14"/>
      <c r="H108" s="15"/>
      <c r="M108"/>
      <c r="N108"/>
      <c r="O108"/>
      <c r="R108"/>
      <c r="AM108"/>
      <c r="AN108"/>
      <c r="AO108"/>
      <c r="AP108"/>
    </row>
  </sheetData>
  <autoFilter ref="A1:AM91" xr:uid="{6D9A6E66-117A-42D1-8872-A55637CA45F1}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E022-F81D-44D1-80E5-E45FF73DF684}">
  <sheetPr>
    <tabColor rgb="FF0070C0"/>
  </sheetPr>
  <dimension ref="A1:AN27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5" sqref="F5"/>
    </sheetView>
  </sheetViews>
  <sheetFormatPr baseColWidth="10" defaultColWidth="15.6640625" defaultRowHeight="14.4" x14ac:dyDescent="0.3"/>
  <cols>
    <col min="1" max="1" width="9.5546875" customWidth="1"/>
    <col min="2" max="2" width="14.109375" bestFit="1" customWidth="1"/>
    <col min="3" max="3" width="21.44140625" bestFit="1" customWidth="1"/>
    <col min="4" max="4" width="11.6640625" style="25" customWidth="1"/>
    <col min="5" max="5" width="13" customWidth="1"/>
    <col min="6" max="6" width="46.44140625" customWidth="1"/>
    <col min="7" max="7" width="20.109375" customWidth="1"/>
    <col min="8" max="12" width="15.6640625" customWidth="1"/>
    <col min="15" max="18" width="15.6640625" customWidth="1"/>
    <col min="19" max="19" width="4.5546875" customWidth="1"/>
    <col min="20" max="20" width="1.6640625" customWidth="1"/>
    <col min="21" max="21" width="25.6640625" customWidth="1"/>
    <col min="22" max="28" width="20.33203125" customWidth="1"/>
    <col min="29" max="29" width="15.6640625" customWidth="1"/>
    <col min="30" max="30" width="1.6640625" customWidth="1"/>
    <col min="39" max="39" width="15.6640625" customWidth="1"/>
  </cols>
  <sheetData>
    <row r="1" spans="1:40" x14ac:dyDescent="0.3">
      <c r="G1" s="29" t="s">
        <v>38</v>
      </c>
      <c r="H1" s="30"/>
      <c r="I1" s="30"/>
      <c r="J1" s="30"/>
      <c r="K1" s="30"/>
      <c r="L1" s="31"/>
      <c r="N1" s="29" t="s">
        <v>39</v>
      </c>
      <c r="O1" s="30"/>
      <c r="P1" s="30"/>
      <c r="Q1" s="30"/>
      <c r="R1" s="31"/>
    </row>
    <row r="2" spans="1:40" ht="28.8" x14ac:dyDescent="0.3">
      <c r="A2" s="10" t="s">
        <v>6</v>
      </c>
      <c r="B2" s="10" t="s">
        <v>7</v>
      </c>
      <c r="C2" s="10" t="s">
        <v>794</v>
      </c>
      <c r="D2" s="26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0" t="s">
        <v>18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9"/>
      <c r="T2" s="9"/>
      <c r="U2" s="5" t="s">
        <v>60</v>
      </c>
      <c r="V2" s="5" t="s">
        <v>1</v>
      </c>
      <c r="W2" s="5" t="s">
        <v>514</v>
      </c>
      <c r="X2" s="5" t="s">
        <v>54</v>
      </c>
      <c r="Y2" s="5" t="s">
        <v>52</v>
      </c>
      <c r="Z2" s="5" t="s">
        <v>3</v>
      </c>
      <c r="AA2" s="5" t="s">
        <v>974</v>
      </c>
      <c r="AB2" s="5" t="s">
        <v>47</v>
      </c>
      <c r="AC2" s="5" t="s">
        <v>1230</v>
      </c>
      <c r="AD2" s="8"/>
      <c r="AE2" s="5" t="s">
        <v>60</v>
      </c>
      <c r="AF2" s="5" t="s">
        <v>1</v>
      </c>
      <c r="AG2" s="5" t="s">
        <v>514</v>
      </c>
      <c r="AH2" s="5" t="s">
        <v>54</v>
      </c>
      <c r="AI2" s="5" t="s">
        <v>52</v>
      </c>
      <c r="AJ2" s="5" t="s">
        <v>3</v>
      </c>
      <c r="AK2" s="5" t="s">
        <v>974</v>
      </c>
      <c r="AL2" s="5" t="s">
        <v>47</v>
      </c>
      <c r="AM2" s="5" t="s">
        <v>1775</v>
      </c>
    </row>
    <row r="3" spans="1:40" x14ac:dyDescent="0.3">
      <c r="A3" s="82">
        <v>1</v>
      </c>
      <c r="B3" s="19" t="s">
        <v>1771</v>
      </c>
      <c r="C3" s="2" t="s">
        <v>1772</v>
      </c>
      <c r="D3" s="27">
        <v>45925</v>
      </c>
      <c r="E3" s="19" t="s">
        <v>1187</v>
      </c>
      <c r="F3" s="2" t="s">
        <v>1464</v>
      </c>
      <c r="G3" s="13">
        <v>0</v>
      </c>
      <c r="H3" s="13">
        <f>210+210</f>
        <v>420</v>
      </c>
      <c r="I3" s="13">
        <v>0</v>
      </c>
      <c r="J3" s="13">
        <f>SUM(G3:I3)</f>
        <v>420</v>
      </c>
      <c r="K3" s="13">
        <v>0</v>
      </c>
      <c r="L3" s="13">
        <f>J3-K3</f>
        <v>420</v>
      </c>
      <c r="M3" s="18">
        <v>18.4312</v>
      </c>
      <c r="N3" s="3">
        <f t="shared" ref="N3:N18" si="0">H3*M3</f>
        <v>7741.1040000000003</v>
      </c>
      <c r="O3" s="3">
        <f>I3*M3</f>
        <v>0</v>
      </c>
      <c r="P3" s="3">
        <f>J3*M3</f>
        <v>7741.1040000000003</v>
      </c>
      <c r="Q3" s="3">
        <f>M3*K3</f>
        <v>0</v>
      </c>
      <c r="R3" s="3">
        <f>L3*M3</f>
        <v>7741.1040000000003</v>
      </c>
      <c r="S3" s="48"/>
      <c r="T3" s="44"/>
      <c r="U3" s="3">
        <v>0</v>
      </c>
      <c r="V3" s="3">
        <v>0</v>
      </c>
      <c r="W3" s="3">
        <v>0</v>
      </c>
      <c r="X3" s="3">
        <v>0</v>
      </c>
      <c r="Y3" s="3">
        <v>420</v>
      </c>
      <c r="Z3" s="3">
        <v>0</v>
      </c>
      <c r="AA3" s="3">
        <v>0</v>
      </c>
      <c r="AB3" s="3">
        <v>0</v>
      </c>
      <c r="AC3" s="3">
        <v>0</v>
      </c>
      <c r="AE3" s="3">
        <f>U3*M3</f>
        <v>0</v>
      </c>
      <c r="AF3" s="3">
        <f>+V3*M3</f>
        <v>0</v>
      </c>
      <c r="AG3" s="60">
        <f>+M3*W3</f>
        <v>0</v>
      </c>
      <c r="AH3" s="3">
        <f>+X3*M3</f>
        <v>0</v>
      </c>
      <c r="AI3" s="3">
        <f>+Y3*M3</f>
        <v>7741.1040000000003</v>
      </c>
      <c r="AJ3" s="3">
        <f>+Z3*M3</f>
        <v>0</v>
      </c>
      <c r="AK3" s="3">
        <f>+AA3*M3</f>
        <v>0</v>
      </c>
      <c r="AL3" s="3">
        <f>+AB3*M3</f>
        <v>0</v>
      </c>
      <c r="AM3" s="3">
        <f>+AC3*M3</f>
        <v>0</v>
      </c>
      <c r="AN3" s="46"/>
    </row>
    <row r="4" spans="1:40" x14ac:dyDescent="0.3">
      <c r="A4" s="82">
        <v>1</v>
      </c>
      <c r="B4" s="19" t="s">
        <v>1773</v>
      </c>
      <c r="C4" s="2" t="s">
        <v>1774</v>
      </c>
      <c r="D4" s="27">
        <v>45925</v>
      </c>
      <c r="E4" s="19" t="s">
        <v>1187</v>
      </c>
      <c r="F4" s="2" t="s">
        <v>1464</v>
      </c>
      <c r="G4" s="13">
        <v>0</v>
      </c>
      <c r="H4" s="13">
        <v>2534</v>
      </c>
      <c r="I4" s="13">
        <v>0</v>
      </c>
      <c r="J4" s="13">
        <f t="shared" ref="J4:J18" si="1">SUM(G4:I4)</f>
        <v>2534</v>
      </c>
      <c r="K4" s="13">
        <v>0</v>
      </c>
      <c r="L4" s="13">
        <f>J4-K4</f>
        <v>2534</v>
      </c>
      <c r="M4" s="18">
        <v>18.4312</v>
      </c>
      <c r="N4" s="3">
        <f t="shared" si="0"/>
        <v>46704.660799999998</v>
      </c>
      <c r="O4" s="3">
        <f>I4*M4</f>
        <v>0</v>
      </c>
      <c r="P4" s="3">
        <f>J4*M4</f>
        <v>46704.660799999998</v>
      </c>
      <c r="Q4" s="3">
        <f>M4*K4</f>
        <v>0</v>
      </c>
      <c r="R4" s="3">
        <f>L4*M4</f>
        <v>46704.660799999998</v>
      </c>
      <c r="S4" s="48"/>
      <c r="T4" s="44"/>
      <c r="U4" s="3">
        <v>464</v>
      </c>
      <c r="V4" s="3">
        <v>0</v>
      </c>
      <c r="W4" s="3">
        <v>0</v>
      </c>
      <c r="X4" s="3">
        <v>0</v>
      </c>
      <c r="Y4" s="3">
        <v>70</v>
      </c>
      <c r="Z4" s="3">
        <v>0</v>
      </c>
      <c r="AA4" s="3">
        <v>0</v>
      </c>
      <c r="AB4" s="3">
        <v>0</v>
      </c>
      <c r="AC4" s="3">
        <v>2000</v>
      </c>
      <c r="AE4" s="3">
        <f>U4*M4</f>
        <v>8552.0768000000007</v>
      </c>
      <c r="AF4" s="3">
        <f t="shared" ref="AF4:AF18" si="2">+V4*M4</f>
        <v>0</v>
      </c>
      <c r="AG4" s="60">
        <f t="shared" ref="AG4:AG18" si="3">+M4*W4</f>
        <v>0</v>
      </c>
      <c r="AH4" s="3">
        <f>+X4*M4</f>
        <v>0</v>
      </c>
      <c r="AI4" s="3">
        <f t="shared" ref="AI4:AI18" si="4">+Y4*M4</f>
        <v>1290.184</v>
      </c>
      <c r="AJ4" s="3">
        <f t="shared" ref="AJ4:AJ18" si="5">+Z4*M4</f>
        <v>0</v>
      </c>
      <c r="AK4" s="3">
        <f t="shared" ref="AK4:AK18" si="6">+AA4*M4</f>
        <v>0</v>
      </c>
      <c r="AL4" s="3">
        <f t="shared" ref="AL4:AL18" si="7">+AB4*M4</f>
        <v>0</v>
      </c>
      <c r="AM4" s="3">
        <f>+AC4*M4</f>
        <v>36862.400000000001</v>
      </c>
      <c r="AN4" s="46"/>
    </row>
    <row r="5" spans="1:40" x14ac:dyDescent="0.3">
      <c r="A5" s="82">
        <v>1</v>
      </c>
      <c r="B5" s="19" t="s">
        <v>1794</v>
      </c>
      <c r="C5" s="2" t="s">
        <v>1795</v>
      </c>
      <c r="D5" s="27">
        <v>45930</v>
      </c>
      <c r="E5" s="19" t="s">
        <v>157</v>
      </c>
      <c r="F5" s="2" t="s">
        <v>1378</v>
      </c>
      <c r="G5" s="13">
        <v>0</v>
      </c>
      <c r="H5" s="13">
        <f>175+1110+385</f>
        <v>1670</v>
      </c>
      <c r="I5" s="13">
        <v>0</v>
      </c>
      <c r="J5" s="13">
        <f t="shared" si="1"/>
        <v>1670</v>
      </c>
      <c r="K5" s="13">
        <v>1670</v>
      </c>
      <c r="L5" s="13">
        <f t="shared" ref="L5:L18" si="8">J5-K5</f>
        <v>0</v>
      </c>
      <c r="M5" s="18">
        <v>18.3507</v>
      </c>
      <c r="N5" s="3">
        <f t="shared" si="0"/>
        <v>30645.668999999998</v>
      </c>
      <c r="O5" s="3">
        <f>I5*M5</f>
        <v>0</v>
      </c>
      <c r="P5" s="3">
        <f>J5*M5</f>
        <v>30645.668999999998</v>
      </c>
      <c r="Q5" s="3">
        <f>M5*K5</f>
        <v>30645.668999999998</v>
      </c>
      <c r="R5" s="3">
        <f>L5*M5</f>
        <v>0</v>
      </c>
      <c r="S5" s="48"/>
      <c r="T5" s="44"/>
      <c r="U5" s="3">
        <f>175+1110</f>
        <v>1285</v>
      </c>
      <c r="V5" s="3">
        <v>0</v>
      </c>
      <c r="W5" s="3">
        <v>385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E5" s="3">
        <f>U5*M5</f>
        <v>23580.6495</v>
      </c>
      <c r="AF5" s="3">
        <f t="shared" si="2"/>
        <v>0</v>
      </c>
      <c r="AG5" s="3">
        <f t="shared" si="3"/>
        <v>7065.0195000000003</v>
      </c>
      <c r="AH5" s="3">
        <f>+X5*M5</f>
        <v>0</v>
      </c>
      <c r="AI5" s="3">
        <f t="shared" si="4"/>
        <v>0</v>
      </c>
      <c r="AJ5" s="3">
        <f t="shared" si="5"/>
        <v>0</v>
      </c>
      <c r="AK5" s="3">
        <f t="shared" si="6"/>
        <v>0</v>
      </c>
      <c r="AL5" s="3">
        <f t="shared" si="7"/>
        <v>0</v>
      </c>
      <c r="AM5" s="3">
        <f>+AC5*M5</f>
        <v>0</v>
      </c>
      <c r="AN5" s="46"/>
    </row>
    <row r="6" spans="1:40" x14ac:dyDescent="0.3">
      <c r="A6" s="82">
        <v>1</v>
      </c>
      <c r="B6" s="19" t="s">
        <v>1803</v>
      </c>
      <c r="C6" s="2" t="s">
        <v>1455</v>
      </c>
      <c r="D6" s="27">
        <v>45930</v>
      </c>
      <c r="E6" s="19" t="s">
        <v>157</v>
      </c>
      <c r="F6" s="2" t="s">
        <v>1378</v>
      </c>
      <c r="G6" s="13">
        <v>0</v>
      </c>
      <c r="H6" s="13">
        <v>4564</v>
      </c>
      <c r="I6" s="13">
        <v>730.24</v>
      </c>
      <c r="J6" s="13">
        <f t="shared" si="1"/>
        <v>5294.24</v>
      </c>
      <c r="K6" s="13">
        <v>5294.24</v>
      </c>
      <c r="L6" s="13">
        <f t="shared" si="8"/>
        <v>0</v>
      </c>
      <c r="M6" s="18">
        <v>18.3507</v>
      </c>
      <c r="N6" s="3">
        <f t="shared" si="0"/>
        <v>83752.594800000006</v>
      </c>
      <c r="O6" s="3">
        <f t="shared" ref="O6:O18" si="9">I6*M6</f>
        <v>13400.415168</v>
      </c>
      <c r="P6" s="3">
        <f t="shared" ref="P6:P18" si="10">J6*M6</f>
        <v>97153.009967999998</v>
      </c>
      <c r="Q6" s="3">
        <f t="shared" ref="Q6:Q18" si="11">M6*K6</f>
        <v>97153.009967999998</v>
      </c>
      <c r="R6" s="3">
        <f t="shared" ref="R6:R18" si="12">L6*M6</f>
        <v>0</v>
      </c>
      <c r="S6" s="48"/>
      <c r="T6" s="44"/>
      <c r="U6" s="3">
        <v>3184</v>
      </c>
      <c r="V6" s="3">
        <v>380</v>
      </c>
      <c r="W6" s="3">
        <v>0</v>
      </c>
      <c r="X6" s="3">
        <v>1000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E6" s="3">
        <f>U6*M6</f>
        <v>58428.628799999999</v>
      </c>
      <c r="AF6" s="3">
        <f t="shared" si="2"/>
        <v>6973.2659999999996</v>
      </c>
      <c r="AG6" s="3">
        <f t="shared" si="3"/>
        <v>0</v>
      </c>
      <c r="AH6" s="3">
        <f>+X6*M6</f>
        <v>18350.7</v>
      </c>
      <c r="AI6" s="3">
        <f t="shared" si="4"/>
        <v>0</v>
      </c>
      <c r="AJ6" s="3">
        <f t="shared" si="5"/>
        <v>0</v>
      </c>
      <c r="AK6" s="3">
        <f t="shared" si="6"/>
        <v>0</v>
      </c>
      <c r="AL6" s="3">
        <f t="shared" si="7"/>
        <v>0</v>
      </c>
      <c r="AM6" s="3">
        <f>+AC6*M6</f>
        <v>0</v>
      </c>
      <c r="AN6" s="46"/>
    </row>
    <row r="7" spans="1:40" x14ac:dyDescent="0.3">
      <c r="A7" s="82"/>
      <c r="B7" s="19"/>
      <c r="C7" s="2"/>
      <c r="D7" s="27"/>
      <c r="E7" s="19"/>
      <c r="F7" s="2"/>
      <c r="G7" s="13"/>
      <c r="H7" s="13"/>
      <c r="I7" s="13"/>
      <c r="J7" s="13">
        <f t="shared" si="1"/>
        <v>0</v>
      </c>
      <c r="K7" s="13"/>
      <c r="L7" s="13">
        <f t="shared" si="8"/>
        <v>0</v>
      </c>
      <c r="M7" s="18"/>
      <c r="N7" s="3">
        <f t="shared" si="0"/>
        <v>0</v>
      </c>
      <c r="O7" s="3">
        <f t="shared" si="9"/>
        <v>0</v>
      </c>
      <c r="P7" s="3">
        <f t="shared" si="10"/>
        <v>0</v>
      </c>
      <c r="Q7" s="3">
        <f t="shared" si="11"/>
        <v>0</v>
      </c>
      <c r="R7" s="3">
        <f t="shared" si="12"/>
        <v>0</v>
      </c>
      <c r="S7" s="48"/>
      <c r="T7" s="44"/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E7" s="3">
        <f>U7*M7</f>
        <v>0</v>
      </c>
      <c r="AF7" s="3">
        <f t="shared" si="2"/>
        <v>0</v>
      </c>
      <c r="AG7" s="3">
        <f t="shared" si="3"/>
        <v>0</v>
      </c>
      <c r="AH7" s="3">
        <f>+X7*M7</f>
        <v>0</v>
      </c>
      <c r="AI7" s="3">
        <f t="shared" si="4"/>
        <v>0</v>
      </c>
      <c r="AJ7" s="3">
        <f t="shared" si="5"/>
        <v>0</v>
      </c>
      <c r="AK7" s="3">
        <f t="shared" si="6"/>
        <v>0</v>
      </c>
      <c r="AL7" s="3">
        <f t="shared" si="7"/>
        <v>0</v>
      </c>
      <c r="AM7" s="3">
        <f>+AC7*M7</f>
        <v>0</v>
      </c>
      <c r="AN7" s="46"/>
    </row>
    <row r="8" spans="1:40" x14ac:dyDescent="0.3">
      <c r="A8" s="82"/>
      <c r="B8" s="19"/>
      <c r="C8" s="2"/>
      <c r="D8" s="27"/>
      <c r="E8" s="19"/>
      <c r="F8" s="2"/>
      <c r="G8" s="13"/>
      <c r="H8" s="13"/>
      <c r="I8" s="13"/>
      <c r="J8" s="13">
        <f t="shared" si="1"/>
        <v>0</v>
      </c>
      <c r="K8" s="13"/>
      <c r="L8" s="13">
        <f t="shared" si="8"/>
        <v>0</v>
      </c>
      <c r="M8" s="18"/>
      <c r="N8" s="3">
        <f t="shared" si="0"/>
        <v>0</v>
      </c>
      <c r="O8" s="3">
        <f t="shared" si="9"/>
        <v>0</v>
      </c>
      <c r="P8" s="3">
        <f t="shared" si="10"/>
        <v>0</v>
      </c>
      <c r="Q8" s="3">
        <f t="shared" si="11"/>
        <v>0</v>
      </c>
      <c r="R8" s="3">
        <f t="shared" si="12"/>
        <v>0</v>
      </c>
      <c r="S8" s="48"/>
      <c r="T8" s="44"/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E8" s="3">
        <f t="shared" ref="AE8:AE18" si="13">U8*M8</f>
        <v>0</v>
      </c>
      <c r="AF8" s="3">
        <f t="shared" si="2"/>
        <v>0</v>
      </c>
      <c r="AG8" s="3">
        <f t="shared" si="3"/>
        <v>0</v>
      </c>
      <c r="AH8" s="3">
        <f t="shared" ref="AH8:AH18" si="14">+X8*M8</f>
        <v>0</v>
      </c>
      <c r="AI8" s="3">
        <f t="shared" si="4"/>
        <v>0</v>
      </c>
      <c r="AJ8" s="3">
        <f t="shared" si="5"/>
        <v>0</v>
      </c>
      <c r="AK8" s="3">
        <f t="shared" si="6"/>
        <v>0</v>
      </c>
      <c r="AL8" s="3">
        <f t="shared" si="7"/>
        <v>0</v>
      </c>
      <c r="AM8" s="3">
        <f t="shared" ref="AM8:AM18" si="15">+AC8*M8</f>
        <v>0</v>
      </c>
      <c r="AN8" s="46"/>
    </row>
    <row r="9" spans="1:40" x14ac:dyDescent="0.3">
      <c r="A9" s="82"/>
      <c r="B9" s="19"/>
      <c r="C9" s="2"/>
      <c r="D9" s="27"/>
      <c r="E9" s="19"/>
      <c r="F9" s="38"/>
      <c r="G9" s="13"/>
      <c r="H9" s="13"/>
      <c r="I9" s="13"/>
      <c r="J9" s="13">
        <f t="shared" si="1"/>
        <v>0</v>
      </c>
      <c r="K9" s="13"/>
      <c r="L9" s="13">
        <f t="shared" si="8"/>
        <v>0</v>
      </c>
      <c r="M9" s="18"/>
      <c r="N9" s="3">
        <f t="shared" si="0"/>
        <v>0</v>
      </c>
      <c r="O9" s="3">
        <f t="shared" si="9"/>
        <v>0</v>
      </c>
      <c r="P9" s="3">
        <f t="shared" si="10"/>
        <v>0</v>
      </c>
      <c r="Q9" s="3">
        <f t="shared" si="11"/>
        <v>0</v>
      </c>
      <c r="R9" s="3">
        <f t="shared" si="12"/>
        <v>0</v>
      </c>
      <c r="S9" s="48"/>
      <c r="T9" s="44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E9" s="3">
        <f t="shared" si="13"/>
        <v>0</v>
      </c>
      <c r="AF9" s="3">
        <f t="shared" si="2"/>
        <v>0</v>
      </c>
      <c r="AG9" s="3">
        <f t="shared" si="3"/>
        <v>0</v>
      </c>
      <c r="AH9" s="3">
        <f t="shared" si="14"/>
        <v>0</v>
      </c>
      <c r="AI9" s="3">
        <f t="shared" si="4"/>
        <v>0</v>
      </c>
      <c r="AJ9" s="3">
        <f t="shared" si="5"/>
        <v>0</v>
      </c>
      <c r="AK9" s="3">
        <f t="shared" si="6"/>
        <v>0</v>
      </c>
      <c r="AL9" s="3">
        <f t="shared" si="7"/>
        <v>0</v>
      </c>
      <c r="AM9" s="3">
        <f t="shared" si="15"/>
        <v>0</v>
      </c>
      <c r="AN9" s="46"/>
    </row>
    <row r="10" spans="1:40" x14ac:dyDescent="0.3">
      <c r="A10" s="82"/>
      <c r="B10" s="19"/>
      <c r="C10" s="2"/>
      <c r="D10" s="27"/>
      <c r="E10" s="19"/>
      <c r="F10" s="2"/>
      <c r="G10" s="13"/>
      <c r="H10" s="13"/>
      <c r="I10" s="13"/>
      <c r="J10" s="13">
        <f t="shared" si="1"/>
        <v>0</v>
      </c>
      <c r="K10" s="13"/>
      <c r="L10" s="13">
        <f t="shared" si="8"/>
        <v>0</v>
      </c>
      <c r="M10" s="18"/>
      <c r="N10" s="3">
        <f t="shared" si="0"/>
        <v>0</v>
      </c>
      <c r="O10" s="3">
        <f t="shared" si="9"/>
        <v>0</v>
      </c>
      <c r="P10" s="3">
        <f t="shared" si="10"/>
        <v>0</v>
      </c>
      <c r="Q10" s="3">
        <f t="shared" si="11"/>
        <v>0</v>
      </c>
      <c r="R10" s="3">
        <f t="shared" si="12"/>
        <v>0</v>
      </c>
      <c r="S10" s="48"/>
      <c r="T10" s="44"/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E10" s="3">
        <f t="shared" si="13"/>
        <v>0</v>
      </c>
      <c r="AF10" s="3">
        <f t="shared" si="2"/>
        <v>0</v>
      </c>
      <c r="AG10" s="3">
        <f t="shared" si="3"/>
        <v>0</v>
      </c>
      <c r="AH10" s="3">
        <f t="shared" si="14"/>
        <v>0</v>
      </c>
      <c r="AI10" s="3">
        <f t="shared" si="4"/>
        <v>0</v>
      </c>
      <c r="AJ10" s="3">
        <f t="shared" si="5"/>
        <v>0</v>
      </c>
      <c r="AK10" s="3">
        <f t="shared" si="6"/>
        <v>0</v>
      </c>
      <c r="AL10" s="3">
        <f t="shared" si="7"/>
        <v>0</v>
      </c>
      <c r="AM10" s="3">
        <f t="shared" si="15"/>
        <v>0</v>
      </c>
      <c r="AN10" s="46"/>
    </row>
    <row r="11" spans="1:40" x14ac:dyDescent="0.3">
      <c r="A11" s="82"/>
      <c r="B11" s="19"/>
      <c r="C11" s="2"/>
      <c r="D11" s="27"/>
      <c r="E11" s="19"/>
      <c r="F11" s="2"/>
      <c r="G11" s="13"/>
      <c r="H11" s="13"/>
      <c r="I11" s="13"/>
      <c r="J11" s="13">
        <f t="shared" si="1"/>
        <v>0</v>
      </c>
      <c r="K11" s="13"/>
      <c r="L11" s="13">
        <f t="shared" si="8"/>
        <v>0</v>
      </c>
      <c r="M11" s="18"/>
      <c r="N11" s="3">
        <f t="shared" si="0"/>
        <v>0</v>
      </c>
      <c r="O11" s="3">
        <f t="shared" si="9"/>
        <v>0</v>
      </c>
      <c r="P11" s="3">
        <f t="shared" si="10"/>
        <v>0</v>
      </c>
      <c r="Q11" s="3">
        <f t="shared" si="11"/>
        <v>0</v>
      </c>
      <c r="R11" s="3">
        <f t="shared" si="12"/>
        <v>0</v>
      </c>
      <c r="S11" s="48"/>
      <c r="T11" s="44"/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E11" s="3">
        <f t="shared" si="13"/>
        <v>0</v>
      </c>
      <c r="AF11" s="3">
        <f t="shared" si="2"/>
        <v>0</v>
      </c>
      <c r="AG11" s="3">
        <f t="shared" si="3"/>
        <v>0</v>
      </c>
      <c r="AH11" s="3">
        <f t="shared" si="14"/>
        <v>0</v>
      </c>
      <c r="AI11" s="3">
        <f t="shared" si="4"/>
        <v>0</v>
      </c>
      <c r="AJ11" s="3">
        <f t="shared" si="5"/>
        <v>0</v>
      </c>
      <c r="AK11" s="3">
        <f t="shared" si="6"/>
        <v>0</v>
      </c>
      <c r="AL11" s="3">
        <f t="shared" si="7"/>
        <v>0</v>
      </c>
      <c r="AM11" s="3">
        <f t="shared" si="15"/>
        <v>0</v>
      </c>
      <c r="AN11" s="46"/>
    </row>
    <row r="12" spans="1:40" x14ac:dyDescent="0.3">
      <c r="A12" s="82"/>
      <c r="B12" s="19"/>
      <c r="C12" s="2"/>
      <c r="D12" s="27"/>
      <c r="E12" s="19"/>
      <c r="F12" s="2"/>
      <c r="G12" s="13"/>
      <c r="H12" s="13"/>
      <c r="I12" s="13"/>
      <c r="J12" s="13">
        <f t="shared" si="1"/>
        <v>0</v>
      </c>
      <c r="K12" s="13"/>
      <c r="L12" s="13">
        <f t="shared" si="8"/>
        <v>0</v>
      </c>
      <c r="M12" s="18"/>
      <c r="N12" s="3">
        <f t="shared" si="0"/>
        <v>0</v>
      </c>
      <c r="O12" s="3">
        <f t="shared" si="9"/>
        <v>0</v>
      </c>
      <c r="P12" s="3">
        <f t="shared" si="10"/>
        <v>0</v>
      </c>
      <c r="Q12" s="3">
        <f t="shared" si="11"/>
        <v>0</v>
      </c>
      <c r="R12" s="3">
        <f t="shared" si="12"/>
        <v>0</v>
      </c>
      <c r="S12" s="48"/>
      <c r="T12" s="44"/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E12" s="3">
        <f t="shared" si="13"/>
        <v>0</v>
      </c>
      <c r="AF12" s="3">
        <f t="shared" si="2"/>
        <v>0</v>
      </c>
      <c r="AG12" s="3">
        <f t="shared" si="3"/>
        <v>0</v>
      </c>
      <c r="AH12" s="3">
        <f t="shared" si="14"/>
        <v>0</v>
      </c>
      <c r="AI12" s="3">
        <f t="shared" si="4"/>
        <v>0</v>
      </c>
      <c r="AJ12" s="3">
        <f t="shared" si="5"/>
        <v>0</v>
      </c>
      <c r="AK12" s="3">
        <f t="shared" si="6"/>
        <v>0</v>
      </c>
      <c r="AL12" s="3">
        <f t="shared" si="7"/>
        <v>0</v>
      </c>
      <c r="AM12" s="3">
        <f t="shared" si="15"/>
        <v>0</v>
      </c>
      <c r="AN12" s="46"/>
    </row>
    <row r="13" spans="1:40" x14ac:dyDescent="0.3">
      <c r="A13" s="82"/>
      <c r="B13" s="19"/>
      <c r="C13" s="2"/>
      <c r="D13" s="27"/>
      <c r="E13" s="19"/>
      <c r="F13" s="2"/>
      <c r="G13" s="13"/>
      <c r="H13" s="13"/>
      <c r="I13" s="13"/>
      <c r="J13" s="13">
        <f t="shared" si="1"/>
        <v>0</v>
      </c>
      <c r="K13" s="13"/>
      <c r="L13" s="13">
        <f t="shared" si="8"/>
        <v>0</v>
      </c>
      <c r="M13" s="18"/>
      <c r="N13" s="3">
        <f t="shared" si="0"/>
        <v>0</v>
      </c>
      <c r="O13" s="3">
        <f t="shared" si="9"/>
        <v>0</v>
      </c>
      <c r="P13" s="3">
        <f t="shared" si="10"/>
        <v>0</v>
      </c>
      <c r="Q13" s="3">
        <f t="shared" si="11"/>
        <v>0</v>
      </c>
      <c r="R13" s="3">
        <f t="shared" si="12"/>
        <v>0</v>
      </c>
      <c r="S13" s="48"/>
      <c r="T13" s="44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E13" s="3">
        <f t="shared" si="13"/>
        <v>0</v>
      </c>
      <c r="AF13" s="3">
        <f t="shared" si="2"/>
        <v>0</v>
      </c>
      <c r="AG13" s="3">
        <f t="shared" si="3"/>
        <v>0</v>
      </c>
      <c r="AH13" s="3">
        <f t="shared" si="14"/>
        <v>0</v>
      </c>
      <c r="AI13" s="3">
        <f t="shared" si="4"/>
        <v>0</v>
      </c>
      <c r="AJ13" s="3">
        <f t="shared" si="5"/>
        <v>0</v>
      </c>
      <c r="AK13" s="3">
        <f t="shared" si="6"/>
        <v>0</v>
      </c>
      <c r="AL13" s="3">
        <f t="shared" si="7"/>
        <v>0</v>
      </c>
      <c r="AM13" s="3">
        <f t="shared" si="15"/>
        <v>0</v>
      </c>
      <c r="AN13" s="46"/>
    </row>
    <row r="14" spans="1:40" x14ac:dyDescent="0.3">
      <c r="A14" s="82"/>
      <c r="B14" s="19"/>
      <c r="C14" s="2"/>
      <c r="D14" s="27"/>
      <c r="E14" s="19"/>
      <c r="F14" s="2"/>
      <c r="G14" s="13"/>
      <c r="H14" s="13"/>
      <c r="I14" s="13"/>
      <c r="J14" s="13">
        <f t="shared" si="1"/>
        <v>0</v>
      </c>
      <c r="K14" s="13"/>
      <c r="L14" s="13">
        <f t="shared" si="8"/>
        <v>0</v>
      </c>
      <c r="M14" s="18"/>
      <c r="N14" s="3">
        <f t="shared" si="0"/>
        <v>0</v>
      </c>
      <c r="O14" s="3">
        <f t="shared" si="9"/>
        <v>0</v>
      </c>
      <c r="P14" s="3">
        <f t="shared" si="10"/>
        <v>0</v>
      </c>
      <c r="Q14" s="3">
        <f t="shared" si="11"/>
        <v>0</v>
      </c>
      <c r="R14" s="3">
        <f t="shared" si="12"/>
        <v>0</v>
      </c>
      <c r="S14" s="48"/>
      <c r="T14" s="44"/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E14" s="3">
        <f t="shared" si="13"/>
        <v>0</v>
      </c>
      <c r="AF14" s="3">
        <f t="shared" si="2"/>
        <v>0</v>
      </c>
      <c r="AG14" s="3">
        <f t="shared" si="3"/>
        <v>0</v>
      </c>
      <c r="AH14" s="3">
        <f t="shared" si="14"/>
        <v>0</v>
      </c>
      <c r="AI14" s="3">
        <f t="shared" si="4"/>
        <v>0</v>
      </c>
      <c r="AJ14" s="3">
        <f t="shared" si="5"/>
        <v>0</v>
      </c>
      <c r="AK14" s="3">
        <f t="shared" si="6"/>
        <v>0</v>
      </c>
      <c r="AL14" s="3">
        <f t="shared" si="7"/>
        <v>0</v>
      </c>
      <c r="AM14" s="3">
        <f t="shared" si="15"/>
        <v>0</v>
      </c>
      <c r="AN14" s="46"/>
    </row>
    <row r="15" spans="1:40" x14ac:dyDescent="0.3">
      <c r="A15" s="82"/>
      <c r="B15" s="19"/>
      <c r="C15" s="2"/>
      <c r="D15" s="27"/>
      <c r="E15" s="19"/>
      <c r="F15" s="2"/>
      <c r="G15" s="13"/>
      <c r="H15" s="13"/>
      <c r="I15" s="13"/>
      <c r="J15" s="13">
        <f t="shared" si="1"/>
        <v>0</v>
      </c>
      <c r="K15" s="13"/>
      <c r="L15" s="13">
        <f t="shared" si="8"/>
        <v>0</v>
      </c>
      <c r="M15" s="18"/>
      <c r="N15" s="3">
        <f t="shared" si="0"/>
        <v>0</v>
      </c>
      <c r="O15" s="3">
        <f t="shared" si="9"/>
        <v>0</v>
      </c>
      <c r="P15" s="3">
        <f t="shared" si="10"/>
        <v>0</v>
      </c>
      <c r="Q15" s="3">
        <f t="shared" si="11"/>
        <v>0</v>
      </c>
      <c r="R15" s="3">
        <f t="shared" si="12"/>
        <v>0</v>
      </c>
      <c r="S15" s="48"/>
      <c r="T15" s="44"/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E15" s="3">
        <f t="shared" si="13"/>
        <v>0</v>
      </c>
      <c r="AF15" s="3">
        <f t="shared" si="2"/>
        <v>0</v>
      </c>
      <c r="AG15" s="3">
        <f t="shared" si="3"/>
        <v>0</v>
      </c>
      <c r="AH15" s="3">
        <f t="shared" si="14"/>
        <v>0</v>
      </c>
      <c r="AI15" s="3">
        <f t="shared" si="4"/>
        <v>0</v>
      </c>
      <c r="AJ15" s="3">
        <f t="shared" si="5"/>
        <v>0</v>
      </c>
      <c r="AK15" s="3">
        <f t="shared" si="6"/>
        <v>0</v>
      </c>
      <c r="AL15" s="3">
        <f t="shared" si="7"/>
        <v>0</v>
      </c>
      <c r="AM15" s="3">
        <f t="shared" si="15"/>
        <v>0</v>
      </c>
      <c r="AN15" s="46"/>
    </row>
    <row r="16" spans="1:40" x14ac:dyDescent="0.3">
      <c r="A16" s="51"/>
      <c r="B16" s="19"/>
      <c r="C16" s="2"/>
      <c r="D16" s="27"/>
      <c r="E16" s="19"/>
      <c r="F16" s="2"/>
      <c r="G16" s="13"/>
      <c r="H16" s="13"/>
      <c r="I16" s="13"/>
      <c r="J16" s="13">
        <f t="shared" si="1"/>
        <v>0</v>
      </c>
      <c r="K16" s="13"/>
      <c r="L16" s="13">
        <f t="shared" si="8"/>
        <v>0</v>
      </c>
      <c r="M16" s="18"/>
      <c r="N16" s="3">
        <f t="shared" si="0"/>
        <v>0</v>
      </c>
      <c r="O16" s="3">
        <f t="shared" si="9"/>
        <v>0</v>
      </c>
      <c r="P16" s="3">
        <f t="shared" si="10"/>
        <v>0</v>
      </c>
      <c r="Q16" s="3">
        <f t="shared" si="11"/>
        <v>0</v>
      </c>
      <c r="R16" s="3">
        <f t="shared" si="12"/>
        <v>0</v>
      </c>
      <c r="S16" s="48"/>
      <c r="T16" s="44"/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E16" s="3">
        <f t="shared" si="13"/>
        <v>0</v>
      </c>
      <c r="AF16" s="3">
        <f t="shared" si="2"/>
        <v>0</v>
      </c>
      <c r="AG16" s="3">
        <f t="shared" si="3"/>
        <v>0</v>
      </c>
      <c r="AH16" s="3">
        <f t="shared" si="14"/>
        <v>0</v>
      </c>
      <c r="AI16" s="3">
        <f t="shared" si="4"/>
        <v>0</v>
      </c>
      <c r="AJ16" s="3">
        <f t="shared" si="5"/>
        <v>0</v>
      </c>
      <c r="AK16" s="3">
        <f t="shared" si="6"/>
        <v>0</v>
      </c>
      <c r="AL16" s="3">
        <f t="shared" si="7"/>
        <v>0</v>
      </c>
      <c r="AM16" s="3">
        <f t="shared" si="15"/>
        <v>0</v>
      </c>
      <c r="AN16" s="46"/>
    </row>
    <row r="17" spans="1:40" x14ac:dyDescent="0.3">
      <c r="A17" s="51"/>
      <c r="B17" s="19"/>
      <c r="C17" s="2"/>
      <c r="D17" s="27"/>
      <c r="E17" s="19"/>
      <c r="F17" s="2"/>
      <c r="G17" s="13"/>
      <c r="H17" s="13"/>
      <c r="I17" s="13"/>
      <c r="J17" s="13">
        <f t="shared" si="1"/>
        <v>0</v>
      </c>
      <c r="K17" s="13"/>
      <c r="L17" s="13">
        <f t="shared" si="8"/>
        <v>0</v>
      </c>
      <c r="M17" s="18"/>
      <c r="N17" s="3">
        <f t="shared" si="0"/>
        <v>0</v>
      </c>
      <c r="O17" s="3">
        <f t="shared" si="9"/>
        <v>0</v>
      </c>
      <c r="P17" s="3">
        <f t="shared" si="10"/>
        <v>0</v>
      </c>
      <c r="Q17" s="3">
        <f t="shared" si="11"/>
        <v>0</v>
      </c>
      <c r="R17" s="3">
        <f t="shared" si="12"/>
        <v>0</v>
      </c>
      <c r="S17" s="48"/>
      <c r="T17" s="44"/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E17" s="3">
        <f t="shared" si="13"/>
        <v>0</v>
      </c>
      <c r="AF17" s="3">
        <f t="shared" si="2"/>
        <v>0</v>
      </c>
      <c r="AG17" s="3">
        <f t="shared" si="3"/>
        <v>0</v>
      </c>
      <c r="AH17" s="3">
        <f t="shared" si="14"/>
        <v>0</v>
      </c>
      <c r="AI17" s="3">
        <f t="shared" si="4"/>
        <v>0</v>
      </c>
      <c r="AJ17" s="3">
        <f t="shared" si="5"/>
        <v>0</v>
      </c>
      <c r="AK17" s="3">
        <f t="shared" si="6"/>
        <v>0</v>
      </c>
      <c r="AL17" s="3">
        <f t="shared" si="7"/>
        <v>0</v>
      </c>
      <c r="AM17" s="3">
        <f t="shared" si="15"/>
        <v>0</v>
      </c>
      <c r="AN17" s="46"/>
    </row>
    <row r="18" spans="1:40" x14ac:dyDescent="0.3">
      <c r="A18" s="51"/>
      <c r="B18" s="19"/>
      <c r="C18" s="2"/>
      <c r="D18" s="27"/>
      <c r="E18" s="19"/>
      <c r="F18" s="2"/>
      <c r="G18" s="13"/>
      <c r="H18" s="13"/>
      <c r="I18" s="13"/>
      <c r="J18" s="13">
        <f t="shared" si="1"/>
        <v>0</v>
      </c>
      <c r="K18" s="13"/>
      <c r="L18" s="13">
        <f t="shared" si="8"/>
        <v>0</v>
      </c>
      <c r="M18" s="18"/>
      <c r="N18" s="3">
        <f t="shared" si="0"/>
        <v>0</v>
      </c>
      <c r="O18" s="3">
        <f t="shared" si="9"/>
        <v>0</v>
      </c>
      <c r="P18" s="3">
        <f t="shared" si="10"/>
        <v>0</v>
      </c>
      <c r="Q18" s="3">
        <f t="shared" si="11"/>
        <v>0</v>
      </c>
      <c r="R18" s="3">
        <f t="shared" si="12"/>
        <v>0</v>
      </c>
      <c r="S18" s="48"/>
      <c r="T18" s="44"/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E18" s="3">
        <f t="shared" si="13"/>
        <v>0</v>
      </c>
      <c r="AF18" s="3">
        <f t="shared" si="2"/>
        <v>0</v>
      </c>
      <c r="AG18" s="3">
        <f t="shared" si="3"/>
        <v>0</v>
      </c>
      <c r="AH18" s="3">
        <f t="shared" si="14"/>
        <v>0</v>
      </c>
      <c r="AI18" s="3">
        <f t="shared" si="4"/>
        <v>0</v>
      </c>
      <c r="AJ18" s="3">
        <f t="shared" si="5"/>
        <v>0</v>
      </c>
      <c r="AK18" s="3">
        <f t="shared" si="6"/>
        <v>0</v>
      </c>
      <c r="AL18" s="3">
        <f t="shared" si="7"/>
        <v>0</v>
      </c>
      <c r="AM18" s="3">
        <f t="shared" si="15"/>
        <v>0</v>
      </c>
      <c r="AN18" s="46"/>
    </row>
    <row r="19" spans="1:40" ht="15" thickBot="1" x14ac:dyDescent="0.35">
      <c r="A19" s="14"/>
      <c r="B19" s="14"/>
      <c r="C19" s="14"/>
      <c r="D19" s="28"/>
      <c r="E19" s="14"/>
      <c r="F19" s="14"/>
      <c r="G19" s="17">
        <f t="shared" ref="G19:L19" si="16">+SUM(G3:G18)</f>
        <v>0</v>
      </c>
      <c r="H19" s="59">
        <f t="shared" si="16"/>
        <v>9188</v>
      </c>
      <c r="I19" s="17">
        <f t="shared" si="16"/>
        <v>730.24</v>
      </c>
      <c r="J19" s="17">
        <f t="shared" si="16"/>
        <v>9918.24</v>
      </c>
      <c r="K19" s="17">
        <f t="shared" si="16"/>
        <v>6964.24</v>
      </c>
      <c r="L19" s="17">
        <f t="shared" si="16"/>
        <v>2954</v>
      </c>
      <c r="M19" s="14"/>
      <c r="N19" s="55">
        <f>+SUM(N3:N18)</f>
        <v>168844.02860000002</v>
      </c>
      <c r="O19" s="16">
        <f>+SUM(O3:O18)</f>
        <v>13400.415168</v>
      </c>
      <c r="P19" s="16">
        <f>+SUM(P3:P18)</f>
        <v>182244.443768</v>
      </c>
      <c r="Q19" s="16">
        <f>+SUM(Q3:Q18)</f>
        <v>127798.67896799999</v>
      </c>
      <c r="R19" s="16">
        <f>+SUM(R3:R18)</f>
        <v>54445.764799999997</v>
      </c>
      <c r="S19" s="15"/>
      <c r="T19" s="15"/>
      <c r="U19" s="17">
        <f t="shared" ref="U19:AC19" si="17">+SUM(U3:U18)</f>
        <v>4933</v>
      </c>
      <c r="V19" s="17">
        <f t="shared" si="17"/>
        <v>380</v>
      </c>
      <c r="W19" s="17">
        <f t="shared" si="17"/>
        <v>385</v>
      </c>
      <c r="X19" s="17">
        <f t="shared" si="17"/>
        <v>1000</v>
      </c>
      <c r="Y19" s="17">
        <f t="shared" si="17"/>
        <v>490</v>
      </c>
      <c r="Z19" s="17">
        <f t="shared" si="17"/>
        <v>0</v>
      </c>
      <c r="AA19" s="17">
        <f t="shared" si="17"/>
        <v>0</v>
      </c>
      <c r="AB19" s="17">
        <f t="shared" si="17"/>
        <v>0</v>
      </c>
      <c r="AC19" s="17">
        <f t="shared" si="17"/>
        <v>2000</v>
      </c>
      <c r="AD19" s="14"/>
      <c r="AE19" s="16">
        <f t="shared" ref="AE19:AM19" si="18">+SUM(AE3:AE18)</f>
        <v>90561.355100000001</v>
      </c>
      <c r="AF19" s="16">
        <f t="shared" si="18"/>
        <v>6973.2659999999996</v>
      </c>
      <c r="AG19" s="16">
        <f t="shared" si="18"/>
        <v>7065.0195000000003</v>
      </c>
      <c r="AH19" s="16">
        <f t="shared" si="18"/>
        <v>18350.7</v>
      </c>
      <c r="AI19" s="16">
        <f t="shared" si="18"/>
        <v>9031.2880000000005</v>
      </c>
      <c r="AJ19" s="16">
        <f t="shared" si="18"/>
        <v>0</v>
      </c>
      <c r="AK19" s="16">
        <f t="shared" si="18"/>
        <v>0</v>
      </c>
      <c r="AL19" s="16">
        <f t="shared" si="18"/>
        <v>0</v>
      </c>
      <c r="AM19" s="16">
        <f t="shared" si="18"/>
        <v>36862.400000000001</v>
      </c>
      <c r="AN19" s="14"/>
    </row>
    <row r="20" spans="1:40" ht="15" thickTop="1" x14ac:dyDescent="0.3">
      <c r="AC20" s="34">
        <f>+SUM(T19:AC19)</f>
        <v>9188</v>
      </c>
      <c r="AM20" s="1">
        <f>+SUM(AE19:AM19)</f>
        <v>168844.02859999999</v>
      </c>
    </row>
    <row r="21" spans="1:40" x14ac:dyDescent="0.3">
      <c r="H21" s="23"/>
      <c r="N21" s="1"/>
      <c r="O21" s="23"/>
      <c r="P21" s="32"/>
      <c r="AC21" s="34">
        <f>+AC20-H19</f>
        <v>0</v>
      </c>
      <c r="AM21" s="1">
        <f>+AM20-N19</f>
        <v>0</v>
      </c>
    </row>
    <row r="22" spans="1:40" x14ac:dyDescent="0.3">
      <c r="H22" s="23"/>
      <c r="I22" s="32"/>
      <c r="M22">
        <v>16</v>
      </c>
      <c r="N22" s="46">
        <f>+N6</f>
        <v>83752.594800000006</v>
      </c>
      <c r="O22" s="81"/>
    </row>
    <row r="23" spans="1:40" x14ac:dyDescent="0.3">
      <c r="M23">
        <v>0</v>
      </c>
      <c r="N23" s="23">
        <f>+N3+N4+N5</f>
        <v>85091.433799999999</v>
      </c>
      <c r="O23" s="81"/>
    </row>
    <row r="24" spans="1:40" x14ac:dyDescent="0.3">
      <c r="N24" s="23"/>
    </row>
    <row r="25" spans="1:40" x14ac:dyDescent="0.3">
      <c r="N25" s="23">
        <f>+N19-N22-N23</f>
        <v>0</v>
      </c>
    </row>
    <row r="26" spans="1:40" x14ac:dyDescent="0.3">
      <c r="M26" s="32"/>
    </row>
    <row r="27" spans="1:40" x14ac:dyDescent="0.3">
      <c r="M27" s="32"/>
    </row>
  </sheetData>
  <autoFilter ref="A2:AM19" xr:uid="{8AB32C8C-2F1A-4C1B-BB94-CF5A4C8E86AF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DE04-C04F-4AE9-815A-86AFA18C9FFF}">
  <sheetPr>
    <tabColor rgb="FF0070C0"/>
  </sheetPr>
  <dimension ref="A1:AS117"/>
  <sheetViews>
    <sheetView showGridLines="0" zoomScale="90" zoomScaleNormal="90" zoomScaleSheetLayoutView="50" workbookViewId="0">
      <pane xSplit="3" ySplit="1" topLeftCell="D5" activePane="bottomRight" state="frozen"/>
      <selection activeCell="F21" sqref="F21"/>
      <selection pane="topRight" activeCell="F21" sqref="F21"/>
      <selection pane="bottomLeft" activeCell="F21" sqref="F21"/>
      <selection pane="bottomRight" activeCell="F8" sqref="F8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4" width="16.44140625" style="1" customWidth="1"/>
    <col min="35" max="37" width="15.6640625" style="1" customWidth="1"/>
    <col min="38" max="38" width="18.109375" style="1" bestFit="1" customWidth="1"/>
    <col min="39" max="39" width="38.109375" style="1" customWidth="1"/>
    <col min="40" max="40" width="35.6640625" style="1" customWidth="1"/>
    <col min="41" max="41" width="15.6640625" style="1" customWidth="1"/>
    <col min="42" max="42" width="12.33203125" bestFit="1" customWidth="1"/>
    <col min="43" max="43" width="13.88671875" bestFit="1" customWidth="1"/>
    <col min="44" max="44" width="12.5546875" bestFit="1" customWidth="1"/>
  </cols>
  <sheetData>
    <row r="1" spans="1:44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670</v>
      </c>
      <c r="Z1" s="5" t="s">
        <v>974</v>
      </c>
      <c r="AA1" s="5" t="s">
        <v>545</v>
      </c>
      <c r="AB1" s="5" t="s">
        <v>5</v>
      </c>
      <c r="AC1" s="5" t="s">
        <v>55</v>
      </c>
      <c r="AD1" s="5" t="s">
        <v>1219</v>
      </c>
      <c r="AE1" s="5" t="s">
        <v>1220</v>
      </c>
      <c r="AF1" s="5" t="s">
        <v>48</v>
      </c>
      <c r="AG1" s="5" t="s">
        <v>585</v>
      </c>
      <c r="AH1" s="5" t="s">
        <v>763</v>
      </c>
      <c r="AI1"/>
      <c r="AJ1" s="92" t="s">
        <v>1815</v>
      </c>
      <c r="AK1" s="92" t="s">
        <v>1816</v>
      </c>
      <c r="AL1" s="92" t="s">
        <v>1817</v>
      </c>
      <c r="AM1" s="9"/>
      <c r="AN1" s="7"/>
      <c r="AO1" s="5" t="s">
        <v>35</v>
      </c>
      <c r="AP1" s="5" t="s">
        <v>36</v>
      </c>
      <c r="AQ1" s="5" t="s">
        <v>17</v>
      </c>
      <c r="AR1" s="5" t="s">
        <v>59</v>
      </c>
    </row>
    <row r="2" spans="1:44" x14ac:dyDescent="0.3">
      <c r="A2" s="38">
        <v>2</v>
      </c>
      <c r="B2" s="38" t="s">
        <v>1818</v>
      </c>
      <c r="C2" s="38" t="s">
        <v>1819</v>
      </c>
      <c r="D2" s="39">
        <v>45931</v>
      </c>
      <c r="E2" s="38" t="s">
        <v>22</v>
      </c>
      <c r="F2" s="38" t="s">
        <v>45</v>
      </c>
      <c r="G2" s="40">
        <v>336</v>
      </c>
      <c r="H2" s="87">
        <v>4200</v>
      </c>
      <c r="I2" s="40">
        <v>672</v>
      </c>
      <c r="J2" s="40">
        <f>SUM(G2:I2)</f>
        <v>5208</v>
      </c>
      <c r="K2" s="40">
        <v>5208</v>
      </c>
      <c r="L2" s="40">
        <f>+J2-K2</f>
        <v>0</v>
      </c>
      <c r="M2" s="38" t="s">
        <v>35</v>
      </c>
      <c r="N2" s="54"/>
      <c r="O2" s="36"/>
      <c r="P2" s="40">
        <v>0</v>
      </c>
      <c r="Q2" s="40">
        <v>336</v>
      </c>
      <c r="R2" s="41"/>
      <c r="S2" s="40">
        <v>4200</v>
      </c>
      <c r="T2" s="40">
        <v>0</v>
      </c>
      <c r="U2" s="40">
        <v>0</v>
      </c>
      <c r="V2" s="40">
        <v>0</v>
      </c>
      <c r="W2" s="40">
        <v>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36">
        <f t="shared" ref="AI2:AI30" si="0">+SUM(S2:AH2)-H2</f>
        <v>0</v>
      </c>
      <c r="AJ2" s="93">
        <v>0.61899999999999999</v>
      </c>
      <c r="AK2" s="40" t="s">
        <v>1838</v>
      </c>
      <c r="AL2" s="40" t="s">
        <v>1839</v>
      </c>
      <c r="AM2"/>
      <c r="AN2" s="37" t="s">
        <v>1</v>
      </c>
      <c r="AO2" s="1">
        <f>+S100</f>
        <v>440861.02999999997</v>
      </c>
      <c r="AP2" s="1">
        <f>+'OCT USD'!AI19</f>
        <v>7044.4400000000005</v>
      </c>
      <c r="AQ2" s="1">
        <f>SUM(AO2:AP2)</f>
        <v>447905.47</v>
      </c>
      <c r="AR2" s="56">
        <f>+AQ2/AQ21</f>
        <v>0.15358997147684234</v>
      </c>
    </row>
    <row r="3" spans="1:44" x14ac:dyDescent="0.3">
      <c r="A3" s="38">
        <v>2</v>
      </c>
      <c r="B3" s="38" t="s">
        <v>1820</v>
      </c>
      <c r="C3" s="38" t="s">
        <v>1821</v>
      </c>
      <c r="D3" s="39">
        <v>45932</v>
      </c>
      <c r="E3" s="38" t="s">
        <v>40</v>
      </c>
      <c r="F3" s="38" t="s">
        <v>41</v>
      </c>
      <c r="G3" s="40">
        <v>0</v>
      </c>
      <c r="H3" s="87">
        <v>37800</v>
      </c>
      <c r="I3" s="40">
        <v>6048</v>
      </c>
      <c r="J3" s="40">
        <f t="shared" ref="J3:J61" si="1">SUM(G3:I3)</f>
        <v>43848</v>
      </c>
      <c r="K3" s="40">
        <v>0</v>
      </c>
      <c r="L3" s="40">
        <f t="shared" ref="L3:L65" si="2">+J3-K3</f>
        <v>43848</v>
      </c>
      <c r="M3" s="38" t="s">
        <v>35</v>
      </c>
      <c r="N3" s="54"/>
      <c r="O3" s="36"/>
      <c r="P3" s="40">
        <v>0</v>
      </c>
      <c r="Q3" s="40">
        <v>0</v>
      </c>
      <c r="R3" s="40"/>
      <c r="S3" s="40">
        <v>4200</v>
      </c>
      <c r="T3" s="40">
        <v>0</v>
      </c>
      <c r="U3" s="40">
        <v>0</v>
      </c>
      <c r="V3" s="40">
        <v>0</v>
      </c>
      <c r="W3" s="40">
        <v>32000</v>
      </c>
      <c r="X3" s="40">
        <v>0</v>
      </c>
      <c r="Y3" s="40">
        <v>0</v>
      </c>
      <c r="Z3" s="40">
        <v>0</v>
      </c>
      <c r="AA3" s="40">
        <v>1600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 s="93">
        <v>0.31</v>
      </c>
      <c r="AK3" s="40" t="s">
        <v>1838</v>
      </c>
      <c r="AL3" s="40" t="s">
        <v>1839</v>
      </c>
      <c r="AM3"/>
      <c r="AN3" s="37" t="s">
        <v>50</v>
      </c>
      <c r="AO3" s="1">
        <f>+T100</f>
        <v>17681.8</v>
      </c>
      <c r="AP3" s="1"/>
      <c r="AQ3" s="1">
        <f t="shared" ref="AQ3:AQ20" si="3">SUM(AO3:AP3)</f>
        <v>17681.8</v>
      </c>
      <c r="AR3" s="56">
        <f>+AQ3/AQ21</f>
        <v>6.0632149852048716E-3</v>
      </c>
    </row>
    <row r="4" spans="1:44" x14ac:dyDescent="0.3">
      <c r="A4" s="38">
        <v>1</v>
      </c>
      <c r="B4" s="38" t="s">
        <v>1822</v>
      </c>
      <c r="C4" s="38" t="s">
        <v>1823</v>
      </c>
      <c r="D4" s="39">
        <v>45932</v>
      </c>
      <c r="E4" s="38" t="s">
        <v>22</v>
      </c>
      <c r="F4" s="38" t="s">
        <v>45</v>
      </c>
      <c r="G4" s="40">
        <v>336</v>
      </c>
      <c r="H4" s="87">
        <f>6000+1221</f>
        <v>7221</v>
      </c>
      <c r="I4" s="40">
        <v>1155.3599999999999</v>
      </c>
      <c r="J4" s="40">
        <f t="shared" si="1"/>
        <v>8712.36</v>
      </c>
      <c r="K4" s="40">
        <v>11936</v>
      </c>
      <c r="L4" s="40">
        <f t="shared" si="2"/>
        <v>-3223.6399999999994</v>
      </c>
      <c r="M4" s="38" t="s">
        <v>35</v>
      </c>
      <c r="N4" s="54"/>
      <c r="O4" s="36"/>
      <c r="P4" s="40">
        <v>0</v>
      </c>
      <c r="Q4" s="40">
        <v>336</v>
      </c>
      <c r="R4" s="40"/>
      <c r="S4" s="40">
        <v>6000</v>
      </c>
      <c r="T4" s="40">
        <v>0</v>
      </c>
      <c r="U4" s="40">
        <v>1221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36">
        <f t="shared" si="0"/>
        <v>0</v>
      </c>
      <c r="AJ4" s="93">
        <v>0.55500000000000005</v>
      </c>
      <c r="AK4" s="40" t="s">
        <v>1840</v>
      </c>
      <c r="AL4" s="40" t="s">
        <v>1841</v>
      </c>
      <c r="AM4"/>
      <c r="AN4" s="37" t="s">
        <v>54</v>
      </c>
      <c r="AO4" s="1">
        <f>+U100</f>
        <v>993755.76000000013</v>
      </c>
      <c r="AP4" s="1">
        <f>+'OCT USD'!AK19</f>
        <v>23686.975999999999</v>
      </c>
      <c r="AQ4" s="1">
        <f t="shared" si="3"/>
        <v>1017442.7360000001</v>
      </c>
      <c r="AR4" s="56">
        <f>+AQ4/AQ21</f>
        <v>0.3488883509316385</v>
      </c>
    </row>
    <row r="5" spans="1:44" x14ac:dyDescent="0.3">
      <c r="A5" s="38">
        <v>2</v>
      </c>
      <c r="B5" s="38" t="s">
        <v>1824</v>
      </c>
      <c r="C5" s="38" t="s">
        <v>1825</v>
      </c>
      <c r="D5" s="39">
        <v>45933</v>
      </c>
      <c r="E5" s="38" t="s">
        <v>22</v>
      </c>
      <c r="F5" s="38" t="s">
        <v>45</v>
      </c>
      <c r="G5" s="40">
        <v>78609</v>
      </c>
      <c r="H5" s="87">
        <f>4500+15000</f>
        <v>19500</v>
      </c>
      <c r="I5" s="40">
        <v>3120</v>
      </c>
      <c r="J5" s="40">
        <f t="shared" si="1"/>
        <v>101229</v>
      </c>
      <c r="K5" s="40">
        <v>101654</v>
      </c>
      <c r="L5" s="40">
        <f t="shared" si="2"/>
        <v>-425</v>
      </c>
      <c r="M5" s="38" t="s">
        <v>35</v>
      </c>
      <c r="N5" s="54"/>
      <c r="O5" s="36"/>
      <c r="P5" s="40">
        <v>0</v>
      </c>
      <c r="Q5" s="40">
        <v>78609</v>
      </c>
      <c r="R5" s="41"/>
      <c r="S5" s="40">
        <v>4500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15000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 s="93">
        <v>0.52300000000000002</v>
      </c>
      <c r="AK5" s="40" t="s">
        <v>1840</v>
      </c>
      <c r="AL5" s="40" t="s">
        <v>1839</v>
      </c>
      <c r="AM5"/>
      <c r="AN5" s="37" t="s">
        <v>43</v>
      </c>
      <c r="AO5" s="1">
        <f>+V100</f>
        <v>407784.80999999994</v>
      </c>
      <c r="AP5" s="1"/>
      <c r="AQ5" s="1">
        <f t="shared" si="3"/>
        <v>407784.80999999994</v>
      </c>
      <c r="AR5" s="56">
        <f>+AQ5/AQ21</f>
        <v>0.13983231179692798</v>
      </c>
    </row>
    <row r="6" spans="1:44" x14ac:dyDescent="0.3">
      <c r="A6" s="38">
        <v>2</v>
      </c>
      <c r="B6" s="38" t="s">
        <v>1826</v>
      </c>
      <c r="C6" s="38" t="s">
        <v>1827</v>
      </c>
      <c r="D6" s="39">
        <v>45933</v>
      </c>
      <c r="E6" s="38" t="s">
        <v>22</v>
      </c>
      <c r="F6" s="38" t="s">
        <v>45</v>
      </c>
      <c r="G6" s="40">
        <v>336</v>
      </c>
      <c r="H6" s="87">
        <v>4500</v>
      </c>
      <c r="I6" s="40">
        <v>720</v>
      </c>
      <c r="J6" s="40">
        <f t="shared" si="1"/>
        <v>5556</v>
      </c>
      <c r="K6" s="40">
        <v>6001</v>
      </c>
      <c r="L6" s="40">
        <f t="shared" si="2"/>
        <v>-445</v>
      </c>
      <c r="M6" s="38" t="s">
        <v>35</v>
      </c>
      <c r="N6" s="54"/>
      <c r="O6" s="36"/>
      <c r="P6" s="40">
        <v>0</v>
      </c>
      <c r="Q6" s="40">
        <v>336</v>
      </c>
      <c r="R6" s="41"/>
      <c r="S6" s="40">
        <v>4500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36">
        <f t="shared" si="0"/>
        <v>0</v>
      </c>
      <c r="AJ6" s="93">
        <v>0.6</v>
      </c>
      <c r="AK6" s="40" t="s">
        <v>1840</v>
      </c>
      <c r="AL6" s="40" t="s">
        <v>1839</v>
      </c>
      <c r="AM6"/>
      <c r="AN6" s="37" t="s">
        <v>0</v>
      </c>
      <c r="AO6" s="1">
        <f>+W100</f>
        <v>525929.85</v>
      </c>
      <c r="AP6" s="1">
        <f>+'OCT USD'!AH19</f>
        <v>381481.61199999996</v>
      </c>
      <c r="AQ6" s="1">
        <f t="shared" si="3"/>
        <v>907411.46199999994</v>
      </c>
      <c r="AR6" s="56">
        <f>+AQ6/AQ21</f>
        <v>0.31115784445842959</v>
      </c>
    </row>
    <row r="7" spans="1:44" x14ac:dyDescent="0.3">
      <c r="A7" s="38">
        <v>2</v>
      </c>
      <c r="B7" s="38" t="s">
        <v>1828</v>
      </c>
      <c r="C7" s="50" t="s">
        <v>1829</v>
      </c>
      <c r="D7" s="39">
        <v>45936</v>
      </c>
      <c r="E7" s="38" t="s">
        <v>61</v>
      </c>
      <c r="F7" s="38" t="s">
        <v>156</v>
      </c>
      <c r="G7" s="40">
        <v>0</v>
      </c>
      <c r="H7" s="87">
        <v>5000</v>
      </c>
      <c r="I7" s="40">
        <v>800</v>
      </c>
      <c r="J7" s="40">
        <f t="shared" si="1"/>
        <v>5800</v>
      </c>
      <c r="K7" s="40">
        <v>5800</v>
      </c>
      <c r="L7" s="40">
        <f t="shared" si="2"/>
        <v>0</v>
      </c>
      <c r="M7" s="38" t="s">
        <v>35</v>
      </c>
      <c r="N7" s="54"/>
      <c r="O7" s="36"/>
      <c r="P7" s="40">
        <v>0</v>
      </c>
      <c r="Q7" s="40">
        <v>0</v>
      </c>
      <c r="R7" s="41"/>
      <c r="S7" s="40">
        <v>0</v>
      </c>
      <c r="T7" s="40">
        <v>0</v>
      </c>
      <c r="U7" s="40">
        <v>0</v>
      </c>
      <c r="V7" s="40">
        <v>0</v>
      </c>
      <c r="W7" s="40">
        <v>5000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36">
        <f t="shared" si="0"/>
        <v>0</v>
      </c>
      <c r="AJ7" s="93">
        <v>0.45900000000000002</v>
      </c>
      <c r="AK7" s="40" t="s">
        <v>1842</v>
      </c>
      <c r="AL7" s="40" t="s">
        <v>1839</v>
      </c>
      <c r="AM7"/>
      <c r="AN7" s="37" t="s">
        <v>478</v>
      </c>
      <c r="AO7" s="1">
        <f>+X100</f>
        <v>10145</v>
      </c>
      <c r="AP7" s="1"/>
      <c r="AQ7" s="1">
        <f t="shared" si="3"/>
        <v>10145</v>
      </c>
      <c r="AR7" s="80">
        <f>+AQ7/AQ21</f>
        <v>3.4787926582646239E-3</v>
      </c>
    </row>
    <row r="8" spans="1:44" x14ac:dyDescent="0.3">
      <c r="A8" s="38">
        <v>2</v>
      </c>
      <c r="B8" s="38" t="s">
        <v>1830</v>
      </c>
      <c r="C8" s="38" t="s">
        <v>1831</v>
      </c>
      <c r="D8" s="39">
        <v>45936</v>
      </c>
      <c r="E8" s="38" t="s">
        <v>61</v>
      </c>
      <c r="F8" s="38" t="s">
        <v>156</v>
      </c>
      <c r="G8" s="40">
        <v>0</v>
      </c>
      <c r="H8" s="87">
        <v>21000</v>
      </c>
      <c r="I8" s="40">
        <v>3360</v>
      </c>
      <c r="J8" s="40">
        <f t="shared" si="1"/>
        <v>24360</v>
      </c>
      <c r="K8" s="40">
        <v>24360</v>
      </c>
      <c r="L8" s="40">
        <f t="shared" si="2"/>
        <v>0</v>
      </c>
      <c r="M8" s="38" t="s">
        <v>35</v>
      </c>
      <c r="N8" s="54"/>
      <c r="O8" s="36"/>
      <c r="P8" s="40">
        <v>0</v>
      </c>
      <c r="Q8" s="40">
        <v>0</v>
      </c>
      <c r="R8" s="41"/>
      <c r="S8" s="40">
        <v>0</v>
      </c>
      <c r="T8" s="40">
        <v>0</v>
      </c>
      <c r="U8" s="40">
        <v>0</v>
      </c>
      <c r="V8" s="40">
        <v>0</v>
      </c>
      <c r="W8" s="40">
        <v>21000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 s="93">
        <v>0.33500000000000002</v>
      </c>
      <c r="AK8" s="40" t="s">
        <v>1842</v>
      </c>
      <c r="AL8" s="40" t="s">
        <v>1839</v>
      </c>
      <c r="AM8"/>
      <c r="AN8" s="37" t="s">
        <v>670</v>
      </c>
      <c r="AO8" s="1">
        <f>+Y100</f>
        <v>25000</v>
      </c>
      <c r="AP8" s="1"/>
      <c r="AQ8" s="1">
        <f t="shared" si="3"/>
        <v>25000</v>
      </c>
      <c r="AR8" s="56">
        <f>+AQ8/AQ21</f>
        <v>8.5726778173105568E-3</v>
      </c>
    </row>
    <row r="9" spans="1:44" x14ac:dyDescent="0.3">
      <c r="A9" s="38">
        <v>2</v>
      </c>
      <c r="B9" s="38" t="s">
        <v>1832</v>
      </c>
      <c r="C9" s="38" t="s">
        <v>1833</v>
      </c>
      <c r="D9" s="39">
        <v>45936</v>
      </c>
      <c r="E9" s="38" t="s">
        <v>22</v>
      </c>
      <c r="F9" s="38" t="s">
        <v>45</v>
      </c>
      <c r="G9" s="40">
        <v>336</v>
      </c>
      <c r="H9" s="87">
        <v>4200</v>
      </c>
      <c r="I9" s="40">
        <v>672</v>
      </c>
      <c r="J9" s="40">
        <f t="shared" si="1"/>
        <v>5208</v>
      </c>
      <c r="K9" s="40">
        <v>5208</v>
      </c>
      <c r="L9" s="40">
        <f t="shared" si="2"/>
        <v>0</v>
      </c>
      <c r="M9" s="38" t="s">
        <v>35</v>
      </c>
      <c r="N9" s="54"/>
      <c r="O9" s="36"/>
      <c r="P9" s="40">
        <v>0</v>
      </c>
      <c r="Q9" s="40">
        <v>336</v>
      </c>
      <c r="R9" s="41"/>
      <c r="S9" s="40">
        <v>4200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 s="93">
        <v>0.61899999999999999</v>
      </c>
      <c r="AK9" s="40" t="s">
        <v>1840</v>
      </c>
      <c r="AL9" s="40" t="s">
        <v>1839</v>
      </c>
      <c r="AM9"/>
      <c r="AN9" s="37" t="s">
        <v>974</v>
      </c>
      <c r="AO9" s="1">
        <f>+Z100</f>
        <v>0</v>
      </c>
      <c r="AP9" s="1">
        <f>+'OCT USD'!AN19</f>
        <v>0</v>
      </c>
      <c r="AQ9" s="1">
        <f t="shared" si="3"/>
        <v>0</v>
      </c>
      <c r="AR9" s="56">
        <f>+AQ9/AQ21</f>
        <v>0</v>
      </c>
    </row>
    <row r="10" spans="1:44" x14ac:dyDescent="0.3">
      <c r="A10" s="38">
        <v>2</v>
      </c>
      <c r="B10" s="38" t="s">
        <v>1834</v>
      </c>
      <c r="C10" s="38" t="s">
        <v>1835</v>
      </c>
      <c r="D10" s="39">
        <v>45936</v>
      </c>
      <c r="E10" s="38" t="s">
        <v>22</v>
      </c>
      <c r="F10" s="38" t="s">
        <v>45</v>
      </c>
      <c r="G10" s="40">
        <v>336</v>
      </c>
      <c r="H10" s="87">
        <v>4200</v>
      </c>
      <c r="I10" s="40">
        <v>672</v>
      </c>
      <c r="J10" s="40">
        <f t="shared" si="1"/>
        <v>5208</v>
      </c>
      <c r="K10" s="40">
        <v>5208</v>
      </c>
      <c r="L10" s="40">
        <f t="shared" si="2"/>
        <v>0</v>
      </c>
      <c r="M10" s="38" t="s">
        <v>35</v>
      </c>
      <c r="N10" s="54"/>
      <c r="O10" s="36"/>
      <c r="P10" s="40">
        <v>0</v>
      </c>
      <c r="Q10" s="40">
        <v>336</v>
      </c>
      <c r="R10" s="41"/>
      <c r="S10" s="40">
        <v>4200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 s="93">
        <v>0.61899999999999999</v>
      </c>
      <c r="AK10" s="40" t="s">
        <v>1840</v>
      </c>
      <c r="AL10" s="40" t="s">
        <v>1839</v>
      </c>
      <c r="AM10"/>
      <c r="AN10" s="37" t="s">
        <v>545</v>
      </c>
      <c r="AO10" s="1">
        <f>+AA100</f>
        <v>24100</v>
      </c>
      <c r="AP10" s="1"/>
      <c r="AQ10" s="1">
        <f t="shared" si="3"/>
        <v>24100</v>
      </c>
      <c r="AR10" s="56">
        <f>+AQ10/AQ21</f>
        <v>8.2640614158873762E-3</v>
      </c>
    </row>
    <row r="11" spans="1:44" x14ac:dyDescent="0.3">
      <c r="A11" s="38">
        <v>1</v>
      </c>
      <c r="B11" s="38" t="s">
        <v>1836</v>
      </c>
      <c r="C11" s="2" t="s">
        <v>1837</v>
      </c>
      <c r="D11" s="39">
        <v>45937</v>
      </c>
      <c r="E11" s="38" t="s">
        <v>40</v>
      </c>
      <c r="F11" s="38" t="s">
        <v>41</v>
      </c>
      <c r="G11" s="40">
        <v>0</v>
      </c>
      <c r="H11" s="87">
        <v>3540</v>
      </c>
      <c r="I11" s="40">
        <v>566.4</v>
      </c>
      <c r="J11" s="40">
        <f t="shared" si="1"/>
        <v>4106.3999999999996</v>
      </c>
      <c r="K11" s="40">
        <v>0</v>
      </c>
      <c r="L11" s="40">
        <f t="shared" si="2"/>
        <v>4106.3999999999996</v>
      </c>
      <c r="M11" s="38" t="s">
        <v>35</v>
      </c>
      <c r="N11" s="54"/>
      <c r="O11" s="36"/>
      <c r="P11" s="40">
        <v>0</v>
      </c>
      <c r="Q11" s="40">
        <v>0</v>
      </c>
      <c r="R11" s="41"/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3540</v>
      </c>
      <c r="AG11" s="40">
        <v>0</v>
      </c>
      <c r="AH11" s="40">
        <v>0</v>
      </c>
      <c r="AI11" s="36">
        <f t="shared" si="0"/>
        <v>0</v>
      </c>
      <c r="AJ11" s="93">
        <v>0.25900000000000001</v>
      </c>
      <c r="AK11" s="40" t="s">
        <v>1843</v>
      </c>
      <c r="AL11" s="40" t="s">
        <v>1844</v>
      </c>
      <c r="AM11"/>
      <c r="AN11" s="37" t="s">
        <v>5</v>
      </c>
      <c r="AO11" s="1">
        <f>+AB100</f>
        <v>6275.15</v>
      </c>
      <c r="AP11" s="1"/>
      <c r="AQ11" s="1">
        <f t="shared" si="3"/>
        <v>6275.15</v>
      </c>
      <c r="AR11" s="56">
        <f>+AQ11/AQ21</f>
        <v>2.1517935682118534E-3</v>
      </c>
    </row>
    <row r="12" spans="1:44" ht="14.4" customHeight="1" x14ac:dyDescent="0.3">
      <c r="A12" s="38">
        <v>1</v>
      </c>
      <c r="B12" s="38" t="s">
        <v>1845</v>
      </c>
      <c r="C12" s="2" t="s">
        <v>1846</v>
      </c>
      <c r="D12" s="39">
        <v>45938</v>
      </c>
      <c r="E12" s="38" t="s">
        <v>40</v>
      </c>
      <c r="F12" s="38" t="s">
        <v>41</v>
      </c>
      <c r="G12" s="40">
        <v>0</v>
      </c>
      <c r="H12" s="87">
        <v>12171.69</v>
      </c>
      <c r="I12" s="40">
        <v>1947.47</v>
      </c>
      <c r="J12" s="40">
        <f t="shared" si="1"/>
        <v>14119.16</v>
      </c>
      <c r="K12" s="40">
        <v>0</v>
      </c>
      <c r="L12" s="40">
        <f t="shared" si="2"/>
        <v>14119.16</v>
      </c>
      <c r="M12" s="38" t="s">
        <v>35</v>
      </c>
      <c r="N12" s="54"/>
      <c r="O12" s="36"/>
      <c r="P12" s="40">
        <v>0</v>
      </c>
      <c r="Q12" s="40">
        <v>0</v>
      </c>
      <c r="R12" s="41"/>
      <c r="S12" s="40">
        <v>3664.64</v>
      </c>
      <c r="T12" s="40">
        <v>670.88</v>
      </c>
      <c r="U12" s="40">
        <v>4158.6899999999996</v>
      </c>
      <c r="V12" s="40">
        <v>1177.48</v>
      </c>
      <c r="W12" s="40">
        <v>2500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 s="93">
        <v>0.29199999999999998</v>
      </c>
      <c r="AK12" s="40" t="s">
        <v>1857</v>
      </c>
      <c r="AL12" s="40" t="s">
        <v>1841</v>
      </c>
      <c r="AM12"/>
      <c r="AN12" s="37" t="s">
        <v>55</v>
      </c>
      <c r="AO12" s="1">
        <f>+AC100</f>
        <v>12028.210000000001</v>
      </c>
      <c r="AP12" s="1"/>
      <c r="AQ12" s="1">
        <f t="shared" si="3"/>
        <v>12028.210000000001</v>
      </c>
      <c r="AR12" s="56">
        <f>+AQ12/AQ21</f>
        <v>4.1245587619581203E-3</v>
      </c>
    </row>
    <row r="13" spans="1:44" x14ac:dyDescent="0.3">
      <c r="A13" s="38">
        <v>1</v>
      </c>
      <c r="B13" s="38" t="s">
        <v>1847</v>
      </c>
      <c r="C13" s="2" t="s">
        <v>1848</v>
      </c>
      <c r="D13" s="39">
        <v>45938</v>
      </c>
      <c r="E13" s="38" t="s">
        <v>53</v>
      </c>
      <c r="F13" s="38" t="s">
        <v>199</v>
      </c>
      <c r="G13" s="40">
        <v>781</v>
      </c>
      <c r="H13" s="87">
        <f>15871.1-G13</f>
        <v>15090.1</v>
      </c>
      <c r="I13" s="40">
        <v>2414.42</v>
      </c>
      <c r="J13" s="40">
        <f t="shared" si="1"/>
        <v>18285.52</v>
      </c>
      <c r="K13" s="40">
        <v>21214.400000000001</v>
      </c>
      <c r="L13" s="40">
        <f t="shared" si="2"/>
        <v>-2928.880000000001</v>
      </c>
      <c r="M13" s="38" t="s">
        <v>35</v>
      </c>
      <c r="N13" s="54"/>
      <c r="O13" s="36"/>
      <c r="P13" s="40">
        <v>0</v>
      </c>
      <c r="Q13" s="40">
        <v>781</v>
      </c>
      <c r="R13" s="41"/>
      <c r="S13" s="40">
        <v>7200</v>
      </c>
      <c r="T13" s="40">
        <v>608.91999999999996</v>
      </c>
      <c r="U13" s="40">
        <v>3366.18</v>
      </c>
      <c r="V13" s="40">
        <v>0</v>
      </c>
      <c r="W13" s="40">
        <v>3915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 s="93">
        <v>0.47099999999999997</v>
      </c>
      <c r="AK13" s="40" t="s">
        <v>1858</v>
      </c>
      <c r="AL13" s="40" t="s">
        <v>1841</v>
      </c>
      <c r="AM13"/>
      <c r="AN13" s="37" t="s">
        <v>1219</v>
      </c>
      <c r="AO13" s="1">
        <f>+AD100</f>
        <v>3150</v>
      </c>
      <c r="AP13" s="1">
        <f>+'OCT USD'!AO19</f>
        <v>0</v>
      </c>
      <c r="AQ13" s="1">
        <f t="shared" si="3"/>
        <v>3150</v>
      </c>
      <c r="AR13" s="80">
        <f>+AQ13/AQ21</f>
        <v>1.08015740498113E-3</v>
      </c>
    </row>
    <row r="14" spans="1:44" x14ac:dyDescent="0.3">
      <c r="A14" s="38">
        <v>2</v>
      </c>
      <c r="B14" s="38" t="s">
        <v>1849</v>
      </c>
      <c r="C14" s="2" t="s">
        <v>1850</v>
      </c>
      <c r="D14" s="39">
        <v>45938</v>
      </c>
      <c r="E14" s="38" t="s">
        <v>61</v>
      </c>
      <c r="F14" s="38" t="s">
        <v>156</v>
      </c>
      <c r="G14" s="40">
        <v>0</v>
      </c>
      <c r="H14" s="87">
        <v>21000</v>
      </c>
      <c r="I14" s="40">
        <v>3360</v>
      </c>
      <c r="J14" s="40">
        <f t="shared" si="1"/>
        <v>24360</v>
      </c>
      <c r="K14" s="40">
        <v>24360</v>
      </c>
      <c r="L14" s="40">
        <f t="shared" si="2"/>
        <v>0</v>
      </c>
      <c r="M14" s="38" t="s">
        <v>35</v>
      </c>
      <c r="N14" s="54"/>
      <c r="O14" s="36"/>
      <c r="P14" s="40">
        <v>0</v>
      </c>
      <c r="Q14" s="40">
        <v>0</v>
      </c>
      <c r="R14" s="41"/>
      <c r="S14" s="40">
        <v>0</v>
      </c>
      <c r="T14" s="40">
        <v>0</v>
      </c>
      <c r="U14" s="40">
        <v>0</v>
      </c>
      <c r="V14" s="40">
        <v>0</v>
      </c>
      <c r="W14" s="40">
        <v>21000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 s="93">
        <v>0.3</v>
      </c>
      <c r="AK14" s="40" t="s">
        <v>1842</v>
      </c>
      <c r="AL14" s="40" t="s">
        <v>1839</v>
      </c>
      <c r="AM14"/>
      <c r="AN14" s="37" t="s">
        <v>1220</v>
      </c>
      <c r="AO14" s="1">
        <f>+AE100</f>
        <v>11250</v>
      </c>
      <c r="AP14" s="1">
        <f>+'OCT USD'!AM19</f>
        <v>0</v>
      </c>
      <c r="AQ14" s="1">
        <f t="shared" si="3"/>
        <v>11250</v>
      </c>
      <c r="AR14" s="56">
        <f>+AQ14/AQ21</f>
        <v>3.8577050177897505E-3</v>
      </c>
    </row>
    <row r="15" spans="1:44" x14ac:dyDescent="0.3">
      <c r="A15" s="38">
        <v>2</v>
      </c>
      <c r="B15" s="38" t="s">
        <v>1851</v>
      </c>
      <c r="C15" s="2" t="s">
        <v>1852</v>
      </c>
      <c r="D15" s="39">
        <v>45938</v>
      </c>
      <c r="E15" s="38" t="s">
        <v>61</v>
      </c>
      <c r="F15" s="38" t="s">
        <v>156</v>
      </c>
      <c r="G15" s="40">
        <v>0</v>
      </c>
      <c r="H15" s="87">
        <v>4950</v>
      </c>
      <c r="I15" s="40">
        <v>792</v>
      </c>
      <c r="J15" s="40">
        <f t="shared" si="1"/>
        <v>5742</v>
      </c>
      <c r="K15" s="40">
        <v>5742</v>
      </c>
      <c r="L15" s="40">
        <f t="shared" si="2"/>
        <v>0</v>
      </c>
      <c r="M15" s="38" t="s">
        <v>35</v>
      </c>
      <c r="N15" s="54"/>
      <c r="O15" s="36"/>
      <c r="P15" s="40">
        <v>0</v>
      </c>
      <c r="Q15" s="40">
        <v>0</v>
      </c>
      <c r="R15" s="41"/>
      <c r="S15" s="40">
        <v>0</v>
      </c>
      <c r="T15" s="40">
        <v>0</v>
      </c>
      <c r="U15" s="40">
        <v>0</v>
      </c>
      <c r="V15" s="40">
        <v>0</v>
      </c>
      <c r="W15" s="40">
        <v>4950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 s="93">
        <v>0.23200000000000001</v>
      </c>
      <c r="AK15" s="40" t="s">
        <v>1842</v>
      </c>
      <c r="AL15" s="40" t="s">
        <v>1839</v>
      </c>
      <c r="AM15"/>
      <c r="AN15" s="37" t="s">
        <v>48</v>
      </c>
      <c r="AO15" s="1">
        <f>+AF100</f>
        <v>10620</v>
      </c>
      <c r="AP15" s="1"/>
      <c r="AQ15" s="1">
        <f t="shared" si="3"/>
        <v>10620</v>
      </c>
      <c r="AR15" s="56">
        <f>+AQ15/AQ21</f>
        <v>3.6416735367935243E-3</v>
      </c>
    </row>
    <row r="16" spans="1:44" x14ac:dyDescent="0.3">
      <c r="A16" s="38">
        <v>2</v>
      </c>
      <c r="B16" s="38" t="s">
        <v>1853</v>
      </c>
      <c r="C16" s="2" t="s">
        <v>1854</v>
      </c>
      <c r="D16" s="39">
        <v>45938</v>
      </c>
      <c r="E16" s="38" t="s">
        <v>1855</v>
      </c>
      <c r="F16" s="38" t="s">
        <v>1856</v>
      </c>
      <c r="G16" s="40">
        <v>19720</v>
      </c>
      <c r="H16" s="87">
        <v>4500</v>
      </c>
      <c r="I16" s="40">
        <v>720</v>
      </c>
      <c r="J16" s="40">
        <f t="shared" si="1"/>
        <v>24940</v>
      </c>
      <c r="K16" s="40">
        <v>24940</v>
      </c>
      <c r="L16" s="40">
        <f t="shared" si="2"/>
        <v>0</v>
      </c>
      <c r="M16" s="38" t="s">
        <v>35</v>
      </c>
      <c r="N16" s="54"/>
      <c r="O16" s="36"/>
      <c r="P16" s="40">
        <v>0</v>
      </c>
      <c r="Q16" s="40">
        <v>19720</v>
      </c>
      <c r="R16" s="41"/>
      <c r="S16" s="40">
        <v>4500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 s="93">
        <v>0.6</v>
      </c>
      <c r="AK16" s="40" t="s">
        <v>1859</v>
      </c>
      <c r="AL16" s="40" t="s">
        <v>1839</v>
      </c>
      <c r="AM16"/>
      <c r="AN16" s="37" t="s">
        <v>585</v>
      </c>
      <c r="AO16" s="1">
        <f>+AG100</f>
        <v>0</v>
      </c>
      <c r="AP16" s="1"/>
      <c r="AQ16" s="1">
        <f t="shared" si="3"/>
        <v>0</v>
      </c>
      <c r="AR16" s="56">
        <f>+AQ16/AQ21</f>
        <v>0</v>
      </c>
    </row>
    <row r="17" spans="1:44" x14ac:dyDescent="0.3">
      <c r="A17" s="38">
        <v>1</v>
      </c>
      <c r="B17" s="38" t="s">
        <v>1863</v>
      </c>
      <c r="C17" s="2" t="s">
        <v>1864</v>
      </c>
      <c r="D17" s="39">
        <v>45940</v>
      </c>
      <c r="E17" s="38" t="s">
        <v>42</v>
      </c>
      <c r="F17" s="38" t="s">
        <v>1587</v>
      </c>
      <c r="G17" s="40">
        <v>16719</v>
      </c>
      <c r="H17" s="87">
        <f>27822.59-G17</f>
        <v>11103.59</v>
      </c>
      <c r="I17" s="40">
        <v>1776.57</v>
      </c>
      <c r="J17" s="40">
        <f t="shared" si="1"/>
        <v>29599.16</v>
      </c>
      <c r="K17" s="40">
        <v>30411.17</v>
      </c>
      <c r="L17" s="40">
        <f t="shared" si="2"/>
        <v>-812.0099999999984</v>
      </c>
      <c r="M17" s="38" t="s">
        <v>35</v>
      </c>
      <c r="N17" s="54"/>
      <c r="O17" s="36"/>
      <c r="P17" s="40">
        <v>0</v>
      </c>
      <c r="Q17" s="40">
        <v>16719</v>
      </c>
      <c r="R17" s="41"/>
      <c r="S17" s="40">
        <v>6752.77</v>
      </c>
      <c r="T17" s="40">
        <v>0</v>
      </c>
      <c r="U17" s="40">
        <v>2300</v>
      </c>
      <c r="V17" s="40">
        <v>550.82000000000005</v>
      </c>
      <c r="W17" s="40">
        <v>1500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 s="93">
        <v>0.33300000000000002</v>
      </c>
      <c r="AK17" s="40" t="s">
        <v>1857</v>
      </c>
      <c r="AL17" s="40" t="s">
        <v>1841</v>
      </c>
      <c r="AM17"/>
      <c r="AN17" s="37" t="s">
        <v>763</v>
      </c>
      <c r="AO17" s="1">
        <f>+AH100</f>
        <v>3000</v>
      </c>
      <c r="AP17" s="1"/>
      <c r="AQ17" s="1">
        <f t="shared" si="3"/>
        <v>3000</v>
      </c>
      <c r="AR17" s="56">
        <f>+AQ17/AQ21</f>
        <v>1.0287213380772667E-3</v>
      </c>
    </row>
    <row r="18" spans="1:44" x14ac:dyDescent="0.3">
      <c r="A18" s="38">
        <v>1</v>
      </c>
      <c r="B18" s="38" t="s">
        <v>1865</v>
      </c>
      <c r="C18" s="2" t="s">
        <v>1866</v>
      </c>
      <c r="D18" s="39">
        <v>45940</v>
      </c>
      <c r="E18" s="38" t="s">
        <v>53</v>
      </c>
      <c r="F18" s="38" t="s">
        <v>199</v>
      </c>
      <c r="G18" s="40">
        <v>0</v>
      </c>
      <c r="H18" s="87">
        <v>34238.26</v>
      </c>
      <c r="I18" s="40">
        <v>5478.12</v>
      </c>
      <c r="J18" s="40">
        <f t="shared" si="1"/>
        <v>39716.380000000005</v>
      </c>
      <c r="K18" s="40">
        <v>101152</v>
      </c>
      <c r="L18" s="40">
        <f t="shared" si="2"/>
        <v>-61435.619999999995</v>
      </c>
      <c r="M18" s="38" t="s">
        <v>35</v>
      </c>
      <c r="N18" s="54"/>
      <c r="O18" s="36"/>
      <c r="P18" s="40">
        <v>0</v>
      </c>
      <c r="Q18" s="40">
        <v>0</v>
      </c>
      <c r="R18" s="41"/>
      <c r="S18" s="40">
        <v>7200</v>
      </c>
      <c r="T18" s="40">
        <v>0</v>
      </c>
      <c r="U18" s="40">
        <v>25238.26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1800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 s="93">
        <v>0.17199999999999999</v>
      </c>
      <c r="AK18" s="40" t="s">
        <v>1858</v>
      </c>
      <c r="AL18" s="40" t="s">
        <v>1841</v>
      </c>
      <c r="AM18"/>
      <c r="AN18" s="37" t="s">
        <v>514</v>
      </c>
      <c r="AO18" s="1">
        <v>0</v>
      </c>
      <c r="AP18" s="1">
        <f>+'OCT USD'!AJ19</f>
        <v>12447</v>
      </c>
      <c r="AQ18" s="1">
        <f t="shared" si="3"/>
        <v>12447</v>
      </c>
      <c r="AR18" s="56">
        <f>+AQ18/AQ21</f>
        <v>4.2681648316825801E-3</v>
      </c>
    </row>
    <row r="19" spans="1:44" x14ac:dyDescent="0.3">
      <c r="A19" s="38">
        <v>1</v>
      </c>
      <c r="B19" s="38" t="s">
        <v>1867</v>
      </c>
      <c r="C19" s="2" t="s">
        <v>1868</v>
      </c>
      <c r="D19" s="39">
        <v>45940</v>
      </c>
      <c r="E19" s="38" t="s">
        <v>53</v>
      </c>
      <c r="F19" s="38" t="s">
        <v>199</v>
      </c>
      <c r="G19" s="40">
        <v>0</v>
      </c>
      <c r="H19" s="87">
        <v>27773.34</v>
      </c>
      <c r="I19" s="40">
        <v>4443.7299999999996</v>
      </c>
      <c r="J19" s="40">
        <f t="shared" si="1"/>
        <v>32217.07</v>
      </c>
      <c r="K19" s="40">
        <v>66352</v>
      </c>
      <c r="L19" s="40">
        <f t="shared" si="2"/>
        <v>-34134.93</v>
      </c>
      <c r="M19" s="38" t="s">
        <v>35</v>
      </c>
      <c r="N19" s="54"/>
      <c r="O19" s="36"/>
      <c r="P19" s="40">
        <v>0</v>
      </c>
      <c r="Q19" s="40">
        <v>0</v>
      </c>
      <c r="R19" s="41"/>
      <c r="S19" s="40">
        <v>7200</v>
      </c>
      <c r="T19" s="40">
        <v>0</v>
      </c>
      <c r="U19" s="40">
        <v>18773.34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1800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 s="93">
        <v>0.182</v>
      </c>
      <c r="AK19" s="40" t="s">
        <v>1858</v>
      </c>
      <c r="AL19" s="40" t="s">
        <v>1841</v>
      </c>
      <c r="AM19"/>
      <c r="AN19" s="37" t="s">
        <v>1775</v>
      </c>
      <c r="AO19" s="1">
        <v>0</v>
      </c>
      <c r="AP19" s="1">
        <f>+'OCT USD'!AP19</f>
        <v>0</v>
      </c>
      <c r="AQ19" s="1">
        <f t="shared" si="3"/>
        <v>0</v>
      </c>
      <c r="AR19" s="56">
        <f>+AQ19/AQ21</f>
        <v>0</v>
      </c>
    </row>
    <row r="20" spans="1:44" x14ac:dyDescent="0.3">
      <c r="A20" s="38">
        <v>1</v>
      </c>
      <c r="B20" s="38" t="s">
        <v>1869</v>
      </c>
      <c r="C20" s="50" t="s">
        <v>1870</v>
      </c>
      <c r="D20" s="39">
        <v>45940</v>
      </c>
      <c r="E20" s="38" t="s">
        <v>40</v>
      </c>
      <c r="F20" s="38" t="s">
        <v>41</v>
      </c>
      <c r="G20" s="40">
        <v>0</v>
      </c>
      <c r="H20" s="87">
        <v>21442.76</v>
      </c>
      <c r="I20" s="40">
        <v>3430.84</v>
      </c>
      <c r="J20" s="40">
        <f t="shared" si="1"/>
        <v>24873.599999999999</v>
      </c>
      <c r="K20" s="40">
        <v>0</v>
      </c>
      <c r="L20" s="40">
        <f t="shared" si="2"/>
        <v>24873.599999999999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3695.14</v>
      </c>
      <c r="T20" s="40">
        <v>0</v>
      </c>
      <c r="U20" s="40">
        <v>13058.26</v>
      </c>
      <c r="V20" s="40">
        <v>4689.3599999999997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 s="93">
        <v>0.184</v>
      </c>
      <c r="AK20" s="40" t="s">
        <v>1857</v>
      </c>
      <c r="AL20" s="40" t="s">
        <v>1841</v>
      </c>
      <c r="AM20"/>
      <c r="AN20" s="58" t="s">
        <v>396</v>
      </c>
      <c r="AO20" s="1">
        <v>0</v>
      </c>
      <c r="AP20" s="1">
        <f>+'OCT USD'!AL19</f>
        <v>0</v>
      </c>
      <c r="AQ20" s="1">
        <f t="shared" si="3"/>
        <v>0</v>
      </c>
      <c r="AR20" s="56">
        <f>+AQ20/AQ21</f>
        <v>0</v>
      </c>
    </row>
    <row r="21" spans="1:44" x14ac:dyDescent="0.3">
      <c r="A21" s="38">
        <v>1</v>
      </c>
      <c r="B21" s="38" t="s">
        <v>1871</v>
      </c>
      <c r="C21" s="50" t="s">
        <v>1872</v>
      </c>
      <c r="D21" s="39">
        <v>45940</v>
      </c>
      <c r="E21" s="38" t="s">
        <v>40</v>
      </c>
      <c r="F21" s="38" t="s">
        <v>41</v>
      </c>
      <c r="G21" s="40">
        <v>0</v>
      </c>
      <c r="H21" s="87">
        <v>80058.61</v>
      </c>
      <c r="I21" s="40">
        <v>12809.38</v>
      </c>
      <c r="J21" s="40">
        <f t="shared" si="1"/>
        <v>92867.99</v>
      </c>
      <c r="K21" s="40">
        <v>0</v>
      </c>
      <c r="L21" s="40">
        <f t="shared" si="2"/>
        <v>92867.99</v>
      </c>
      <c r="M21" s="38" t="s">
        <v>35</v>
      </c>
      <c r="N21" s="54"/>
      <c r="O21" s="36"/>
      <c r="P21" s="40">
        <v>0</v>
      </c>
      <c r="Q21" s="40">
        <v>0</v>
      </c>
      <c r="R21" s="41"/>
      <c r="S21" s="40">
        <v>5558.61</v>
      </c>
      <c r="T21" s="40">
        <v>0</v>
      </c>
      <c r="U21" s="40">
        <v>25750</v>
      </c>
      <c r="V21" s="40">
        <v>0</v>
      </c>
      <c r="W21" s="40">
        <f>6750+42000</f>
        <v>48750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 s="93">
        <v>0.20799999999999999</v>
      </c>
      <c r="AK21" s="40" t="s">
        <v>1857</v>
      </c>
      <c r="AL21" s="40" t="s">
        <v>1844</v>
      </c>
      <c r="AM21"/>
      <c r="AN21" s="37"/>
      <c r="AO21" s="45">
        <f>+SUM(AO2:AO20)</f>
        <v>2491581.61</v>
      </c>
      <c r="AP21" s="45">
        <f t="shared" ref="AP21:AQ21" si="4">+SUM(AP2:AP20)</f>
        <v>424660.02799999993</v>
      </c>
      <c r="AQ21" s="45">
        <f t="shared" si="4"/>
        <v>2916241.6379999998</v>
      </c>
      <c r="AR21" s="57">
        <f>+SUM(AR2:AR20)</f>
        <v>1.0000000000000002</v>
      </c>
    </row>
    <row r="22" spans="1:44" x14ac:dyDescent="0.3">
      <c r="A22" s="38">
        <v>1</v>
      </c>
      <c r="B22" s="95" t="s">
        <v>1873</v>
      </c>
      <c r="C22" s="50" t="s">
        <v>1874</v>
      </c>
      <c r="D22" s="39">
        <v>45943</v>
      </c>
      <c r="E22" s="38" t="s">
        <v>53</v>
      </c>
      <c r="F22" s="38" t="s">
        <v>199</v>
      </c>
      <c r="G22" s="40">
        <v>0</v>
      </c>
      <c r="H22" s="87">
        <v>30370.73</v>
      </c>
      <c r="I22" s="40">
        <v>4859.32</v>
      </c>
      <c r="J22" s="40">
        <f>SUM(G22:I22)</f>
        <v>35230.050000000003</v>
      </c>
      <c r="K22" s="40">
        <v>66352</v>
      </c>
      <c r="L22" s="40">
        <f t="shared" si="2"/>
        <v>-31121.949999999997</v>
      </c>
      <c r="M22" s="38" t="s">
        <v>35</v>
      </c>
      <c r="N22" s="54"/>
      <c r="O22" s="36"/>
      <c r="P22" s="40">
        <v>0</v>
      </c>
      <c r="Q22" s="40">
        <v>0</v>
      </c>
      <c r="R22" s="41"/>
      <c r="S22" s="40">
        <v>7200</v>
      </c>
      <c r="T22" s="40">
        <v>0</v>
      </c>
      <c r="U22" s="40">
        <v>21370.73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1800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 s="93">
        <v>0.17699999999999999</v>
      </c>
      <c r="AK22" s="40" t="s">
        <v>1858</v>
      </c>
      <c r="AL22" s="40" t="s">
        <v>1841</v>
      </c>
      <c r="AM22"/>
      <c r="AO22" s="36"/>
      <c r="AP22" s="36"/>
      <c r="AQ22" s="1"/>
    </row>
    <row r="23" spans="1:44" x14ac:dyDescent="0.3">
      <c r="A23" s="38">
        <v>1</v>
      </c>
      <c r="B23" s="38" t="s">
        <v>1877</v>
      </c>
      <c r="C23" s="38" t="s">
        <v>1589</v>
      </c>
      <c r="D23" s="39">
        <v>45944</v>
      </c>
      <c r="E23" s="38" t="s">
        <v>1590</v>
      </c>
      <c r="F23" s="38" t="s">
        <v>1878</v>
      </c>
      <c r="G23" s="40">
        <v>0</v>
      </c>
      <c r="H23" s="87">
        <v>20470</v>
      </c>
      <c r="I23" s="40">
        <v>3275.2</v>
      </c>
      <c r="J23" s="40">
        <f t="shared" si="1"/>
        <v>23745.200000000001</v>
      </c>
      <c r="K23" s="40">
        <v>23745.200000000001</v>
      </c>
      <c r="L23" s="40">
        <f t="shared" si="2"/>
        <v>0</v>
      </c>
      <c r="M23" s="38" t="s">
        <v>35</v>
      </c>
      <c r="N23" s="54"/>
      <c r="O23" s="36"/>
      <c r="P23" s="40">
        <v>0</v>
      </c>
      <c r="Q23" s="40">
        <v>0</v>
      </c>
      <c r="R23" s="41"/>
      <c r="S23" s="40">
        <v>0</v>
      </c>
      <c r="T23" s="40">
        <v>0</v>
      </c>
      <c r="U23" s="40">
        <v>0</v>
      </c>
      <c r="V23" s="40">
        <v>0</v>
      </c>
      <c r="W23" s="40">
        <v>20470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 s="93">
        <v>0.27</v>
      </c>
      <c r="AK23" s="40" t="s">
        <v>1842</v>
      </c>
      <c r="AL23" s="40" t="s">
        <v>1844</v>
      </c>
      <c r="AM23"/>
      <c r="AN23" s="37"/>
      <c r="AP23" s="1"/>
      <c r="AQ23" s="1"/>
    </row>
    <row r="24" spans="1:44" x14ac:dyDescent="0.3">
      <c r="A24" s="38">
        <v>1</v>
      </c>
      <c r="B24" s="38" t="s">
        <v>1879</v>
      </c>
      <c r="C24" s="38" t="s">
        <v>1880</v>
      </c>
      <c r="D24" s="39">
        <v>45944</v>
      </c>
      <c r="E24" s="38" t="s">
        <v>53</v>
      </c>
      <c r="F24" s="38" t="s">
        <v>199</v>
      </c>
      <c r="G24" s="40">
        <v>781</v>
      </c>
      <c r="H24" s="87">
        <f>7200+22034.27</f>
        <v>29234.27</v>
      </c>
      <c r="I24" s="40">
        <v>4677.4799999999996</v>
      </c>
      <c r="J24" s="40">
        <f t="shared" si="1"/>
        <v>34692.75</v>
      </c>
      <c r="K24" s="40">
        <v>67133</v>
      </c>
      <c r="L24" s="40">
        <f t="shared" si="2"/>
        <v>-32440.25</v>
      </c>
      <c r="M24" s="38" t="s">
        <v>35</v>
      </c>
      <c r="N24" s="54"/>
      <c r="O24" s="36"/>
      <c r="P24" s="40">
        <v>0</v>
      </c>
      <c r="Q24" s="40">
        <v>781</v>
      </c>
      <c r="R24" s="41"/>
      <c r="S24" s="40">
        <v>7200</v>
      </c>
      <c r="T24" s="40">
        <v>0</v>
      </c>
      <c r="U24" s="40">
        <v>22034.27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 s="93">
        <v>0.19600000000000001</v>
      </c>
      <c r="AK24" s="40" t="s">
        <v>1858</v>
      </c>
      <c r="AL24" s="40" t="s">
        <v>1884</v>
      </c>
      <c r="AM24"/>
      <c r="AN24" s="37"/>
      <c r="AP24" s="1"/>
      <c r="AQ24" s="1"/>
    </row>
    <row r="25" spans="1:44" x14ac:dyDescent="0.3">
      <c r="A25" s="38">
        <v>1</v>
      </c>
      <c r="B25" s="38" t="s">
        <v>1881</v>
      </c>
      <c r="C25" s="38" t="s">
        <v>1882</v>
      </c>
      <c r="D25" s="39">
        <v>45944</v>
      </c>
      <c r="E25" s="38" t="s">
        <v>53</v>
      </c>
      <c r="F25" s="38" t="s">
        <v>199</v>
      </c>
      <c r="G25" s="40">
        <v>781</v>
      </c>
      <c r="H25" s="87">
        <f>47127.69-G25</f>
        <v>46346.69</v>
      </c>
      <c r="I25" s="40">
        <v>7415.47</v>
      </c>
      <c r="J25" s="40">
        <f t="shared" si="1"/>
        <v>54543.16</v>
      </c>
      <c r="K25" s="40">
        <v>142596.79999999999</v>
      </c>
      <c r="L25" s="40">
        <f t="shared" si="2"/>
        <v>-88053.639999999985</v>
      </c>
      <c r="M25" s="38" t="s">
        <v>35</v>
      </c>
      <c r="N25" s="54"/>
      <c r="O25" s="36"/>
      <c r="P25" s="40">
        <v>0</v>
      </c>
      <c r="Q25" s="40">
        <v>781</v>
      </c>
      <c r="R25" s="41"/>
      <c r="S25" s="40">
        <v>6606.25</v>
      </c>
      <c r="T25" s="40">
        <v>1500</v>
      </c>
      <c r="U25" s="40">
        <v>11332.1</v>
      </c>
      <c r="V25" s="40">
        <v>26908.34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 s="93">
        <v>0.19</v>
      </c>
      <c r="AK25" s="40" t="s">
        <v>1843</v>
      </c>
      <c r="AL25" s="40" t="s">
        <v>1844</v>
      </c>
      <c r="AM25"/>
      <c r="AN25" s="37"/>
      <c r="AO25" s="53"/>
      <c r="AP25" s="1"/>
      <c r="AQ25" s="1"/>
    </row>
    <row r="26" spans="1:44" x14ac:dyDescent="0.3">
      <c r="A26" s="38">
        <v>1</v>
      </c>
      <c r="B26" s="38" t="s">
        <v>1883</v>
      </c>
      <c r="C26" s="38" t="s">
        <v>1882</v>
      </c>
      <c r="D26" s="39">
        <v>45944</v>
      </c>
      <c r="E26" s="38" t="s">
        <v>53</v>
      </c>
      <c r="F26" s="38" t="s">
        <v>199</v>
      </c>
      <c r="G26" s="40">
        <v>8452.92</v>
      </c>
      <c r="H26" s="87">
        <v>2100</v>
      </c>
      <c r="I26" s="40">
        <v>0</v>
      </c>
      <c r="J26" s="40">
        <f t="shared" si="1"/>
        <v>10552.92</v>
      </c>
      <c r="K26" s="40">
        <v>10552.92</v>
      </c>
      <c r="L26" s="40">
        <f t="shared" si="2"/>
        <v>0</v>
      </c>
      <c r="M26" s="38" t="s">
        <v>35</v>
      </c>
      <c r="N26" s="54"/>
      <c r="O26" s="36"/>
      <c r="P26" s="40">
        <v>8452.92</v>
      </c>
      <c r="Q26" s="40">
        <v>0</v>
      </c>
      <c r="R26" s="41"/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2100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 s="93">
        <v>0.19</v>
      </c>
      <c r="AK26" s="40" t="s">
        <v>1843</v>
      </c>
      <c r="AL26" s="40" t="s">
        <v>1844</v>
      </c>
      <c r="AM26"/>
      <c r="AN26" s="37"/>
      <c r="AP26" s="1"/>
      <c r="AQ26" s="1"/>
    </row>
    <row r="27" spans="1:44" x14ac:dyDescent="0.3">
      <c r="A27" s="38">
        <v>1</v>
      </c>
      <c r="B27" s="38" t="s">
        <v>1885</v>
      </c>
      <c r="C27" s="38" t="s">
        <v>1051</v>
      </c>
      <c r="D27" s="39">
        <v>45945</v>
      </c>
      <c r="E27" s="38" t="s">
        <v>53</v>
      </c>
      <c r="F27" s="38" t="s">
        <v>199</v>
      </c>
      <c r="G27" s="40">
        <v>8506</v>
      </c>
      <c r="H27" s="87">
        <v>3500</v>
      </c>
      <c r="I27" s="40">
        <v>560</v>
      </c>
      <c r="J27" s="40">
        <f t="shared" si="1"/>
        <v>12566</v>
      </c>
      <c r="K27" s="40">
        <v>12566</v>
      </c>
      <c r="L27" s="40">
        <f t="shared" si="2"/>
        <v>0</v>
      </c>
      <c r="M27" s="38" t="s">
        <v>35</v>
      </c>
      <c r="N27" s="54"/>
      <c r="O27" s="36"/>
      <c r="P27" s="40">
        <v>0</v>
      </c>
      <c r="Q27" s="40">
        <v>8506</v>
      </c>
      <c r="R27" s="41"/>
      <c r="S27" s="40">
        <v>3500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 s="93">
        <v>0.16500000000000001</v>
      </c>
      <c r="AK27" s="40" t="s">
        <v>1858</v>
      </c>
      <c r="AL27" s="40" t="s">
        <v>1884</v>
      </c>
      <c r="AM27"/>
      <c r="AN27" s="37"/>
      <c r="AP27" s="1"/>
      <c r="AQ27" s="1"/>
    </row>
    <row r="28" spans="1:44" x14ac:dyDescent="0.3">
      <c r="A28" s="38">
        <v>2</v>
      </c>
      <c r="B28" s="38" t="s">
        <v>1886</v>
      </c>
      <c r="C28" s="38" t="s">
        <v>1887</v>
      </c>
      <c r="D28" s="39">
        <v>45945</v>
      </c>
      <c r="E28" s="38" t="s">
        <v>20</v>
      </c>
      <c r="F28" s="38" t="s">
        <v>21</v>
      </c>
      <c r="G28" s="40">
        <v>113459</v>
      </c>
      <c r="H28" s="88">
        <f>122904-G28</f>
        <v>9445</v>
      </c>
      <c r="I28" s="40">
        <v>1511.2</v>
      </c>
      <c r="J28" s="40">
        <f t="shared" si="1"/>
        <v>124415.2</v>
      </c>
      <c r="K28" s="40">
        <v>134605.20000000001</v>
      </c>
      <c r="L28" s="40">
        <f t="shared" si="2"/>
        <v>-10190.000000000015</v>
      </c>
      <c r="M28" s="38" t="s">
        <v>35</v>
      </c>
      <c r="N28" s="54"/>
      <c r="O28" s="36"/>
      <c r="P28" s="40">
        <v>0</v>
      </c>
      <c r="Q28" s="40">
        <v>113459</v>
      </c>
      <c r="R28" s="41"/>
      <c r="S28" s="40">
        <v>4000</v>
      </c>
      <c r="T28" s="40">
        <v>0</v>
      </c>
      <c r="U28" s="40">
        <v>945</v>
      </c>
      <c r="V28" s="40">
        <v>0</v>
      </c>
      <c r="W28" s="40">
        <v>0</v>
      </c>
      <c r="X28" s="40">
        <v>1500</v>
      </c>
      <c r="Y28" s="40">
        <v>3000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 s="93">
        <v>0.629</v>
      </c>
      <c r="AK28" s="40" t="s">
        <v>1838</v>
      </c>
      <c r="AL28" s="40" t="s">
        <v>1839</v>
      </c>
      <c r="AM28"/>
      <c r="AN28" s="37"/>
      <c r="AP28" s="1"/>
      <c r="AQ28" s="1"/>
    </row>
    <row r="29" spans="1:44" x14ac:dyDescent="0.3">
      <c r="A29" s="38">
        <v>1</v>
      </c>
      <c r="B29" s="38" t="s">
        <v>1888</v>
      </c>
      <c r="C29" s="38" t="s">
        <v>1889</v>
      </c>
      <c r="D29" s="39">
        <v>45946</v>
      </c>
      <c r="E29" s="38" t="s">
        <v>53</v>
      </c>
      <c r="F29" s="38" t="s">
        <v>199</v>
      </c>
      <c r="G29" s="40">
        <v>3451</v>
      </c>
      <c r="H29" s="87">
        <f>7200+51424.83</f>
        <v>58624.83</v>
      </c>
      <c r="I29" s="40">
        <v>9379.9699999999993</v>
      </c>
      <c r="J29" s="40">
        <f t="shared" si="1"/>
        <v>71455.8</v>
      </c>
      <c r="K29" s="40">
        <v>81403</v>
      </c>
      <c r="L29" s="40">
        <f t="shared" si="2"/>
        <v>-9947.1999999999971</v>
      </c>
      <c r="M29" s="38" t="s">
        <v>35</v>
      </c>
      <c r="N29" s="54"/>
      <c r="O29" s="36"/>
      <c r="P29" s="40">
        <v>0</v>
      </c>
      <c r="Q29" s="40">
        <v>3451</v>
      </c>
      <c r="R29" s="41"/>
      <c r="S29" s="40">
        <v>7200</v>
      </c>
      <c r="T29" s="40">
        <v>0</v>
      </c>
      <c r="U29" s="40">
        <v>51424.83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 s="93">
        <v>0.152</v>
      </c>
      <c r="AK29" s="40" t="s">
        <v>1858</v>
      </c>
      <c r="AL29" s="40" t="s">
        <v>1884</v>
      </c>
      <c r="AM29"/>
      <c r="AN29" s="37"/>
      <c r="AP29" s="1"/>
      <c r="AQ29" s="1"/>
    </row>
    <row r="30" spans="1:44" x14ac:dyDescent="0.3">
      <c r="A30" s="38">
        <v>1</v>
      </c>
      <c r="B30" s="38" t="s">
        <v>1890</v>
      </c>
      <c r="C30" s="38" t="s">
        <v>1891</v>
      </c>
      <c r="D30" s="39">
        <v>45946</v>
      </c>
      <c r="E30" s="38" t="s">
        <v>53</v>
      </c>
      <c r="F30" s="38" t="s">
        <v>199</v>
      </c>
      <c r="G30" s="40">
        <v>0</v>
      </c>
      <c r="H30" s="87">
        <v>23449.279999999999</v>
      </c>
      <c r="I30" s="40">
        <v>3751.88</v>
      </c>
      <c r="J30" s="40">
        <f t="shared" si="1"/>
        <v>27201.16</v>
      </c>
      <c r="K30" s="40">
        <v>48952</v>
      </c>
      <c r="L30" s="40">
        <f t="shared" si="2"/>
        <v>-21750.84</v>
      </c>
      <c r="M30" s="38" t="s">
        <v>35</v>
      </c>
      <c r="N30" s="54"/>
      <c r="O30" s="36"/>
      <c r="P30" s="40">
        <v>0</v>
      </c>
      <c r="Q30" s="40">
        <v>0</v>
      </c>
      <c r="R30" s="41"/>
      <c r="S30" s="40">
        <v>7200</v>
      </c>
      <c r="T30" s="40">
        <v>0</v>
      </c>
      <c r="U30" s="40">
        <v>16249.28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 s="93">
        <v>0.188</v>
      </c>
      <c r="AK30" s="40" t="s">
        <v>1858</v>
      </c>
      <c r="AL30" s="40" t="s">
        <v>1884</v>
      </c>
      <c r="AM30"/>
      <c r="AN30" s="37"/>
      <c r="AP30" s="1"/>
      <c r="AQ30" s="1"/>
    </row>
    <row r="31" spans="1:44" x14ac:dyDescent="0.3">
      <c r="A31" s="38">
        <v>1</v>
      </c>
      <c r="B31" s="38" t="s">
        <v>1892</v>
      </c>
      <c r="C31" s="38" t="s">
        <v>1893</v>
      </c>
      <c r="D31" s="39">
        <v>45946</v>
      </c>
      <c r="E31" s="38" t="s">
        <v>53</v>
      </c>
      <c r="F31" s="38" t="s">
        <v>199</v>
      </c>
      <c r="G31" s="40">
        <v>0</v>
      </c>
      <c r="H31" s="87">
        <f>7200+10087.9</f>
        <v>17287.900000000001</v>
      </c>
      <c r="I31" s="40">
        <v>2766.06</v>
      </c>
      <c r="J31" s="40">
        <f t="shared" si="1"/>
        <v>20053.960000000003</v>
      </c>
      <c r="K31" s="40">
        <v>60552</v>
      </c>
      <c r="L31" s="40">
        <f t="shared" si="2"/>
        <v>-40498.039999999994</v>
      </c>
      <c r="M31" s="38" t="s">
        <v>35</v>
      </c>
      <c r="N31" s="54"/>
      <c r="O31" s="36"/>
      <c r="P31" s="40">
        <v>0</v>
      </c>
      <c r="Q31" s="40">
        <v>0</v>
      </c>
      <c r="R31" s="41"/>
      <c r="S31" s="40">
        <v>7200</v>
      </c>
      <c r="T31" s="40">
        <v>0</v>
      </c>
      <c r="U31" s="40">
        <v>10087.9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ref="AI31:AI61" si="5">+SUM(S31:AH31)-H31</f>
        <v>0</v>
      </c>
      <c r="AJ31" s="93">
        <v>0.20899999999999999</v>
      </c>
      <c r="AK31" s="40" t="s">
        <v>1858</v>
      </c>
      <c r="AL31" s="40" t="s">
        <v>1884</v>
      </c>
      <c r="AM31"/>
      <c r="AN31" s="37"/>
      <c r="AP31" s="1"/>
      <c r="AQ31" s="1"/>
    </row>
    <row r="32" spans="1:44" x14ac:dyDescent="0.3">
      <c r="A32" s="38">
        <v>1</v>
      </c>
      <c r="B32" s="38" t="s">
        <v>1894</v>
      </c>
      <c r="C32" s="38" t="s">
        <v>1895</v>
      </c>
      <c r="D32" s="39">
        <v>45946</v>
      </c>
      <c r="E32" s="38" t="s">
        <v>53</v>
      </c>
      <c r="F32" s="38" t="s">
        <v>199</v>
      </c>
      <c r="G32" s="40">
        <v>0</v>
      </c>
      <c r="H32" s="87">
        <v>36032.68</v>
      </c>
      <c r="I32" s="40">
        <v>5765.23</v>
      </c>
      <c r="J32" s="40">
        <f t="shared" si="1"/>
        <v>41797.910000000003</v>
      </c>
      <c r="K32" s="40">
        <v>43152</v>
      </c>
      <c r="L32" s="40">
        <f t="shared" si="2"/>
        <v>-1354.0899999999965</v>
      </c>
      <c r="M32" s="38" t="s">
        <v>35</v>
      </c>
      <c r="N32" s="54"/>
      <c r="O32" s="36"/>
      <c r="P32" s="40">
        <v>0</v>
      </c>
      <c r="Q32" s="40">
        <v>0</v>
      </c>
      <c r="R32" s="41"/>
      <c r="S32" s="40">
        <v>7200</v>
      </c>
      <c r="T32" s="40">
        <v>0</v>
      </c>
      <c r="U32" s="40">
        <v>27032.68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1800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5"/>
        <v>0</v>
      </c>
      <c r="AJ32" s="93">
        <v>0.184</v>
      </c>
      <c r="AK32" s="40" t="s">
        <v>1858</v>
      </c>
      <c r="AL32" s="40" t="s">
        <v>1884</v>
      </c>
      <c r="AM32"/>
      <c r="AN32" s="37"/>
      <c r="AP32" s="1"/>
      <c r="AQ32" s="1"/>
    </row>
    <row r="33" spans="1:43" x14ac:dyDescent="0.3">
      <c r="A33" s="38">
        <v>1</v>
      </c>
      <c r="B33" s="38" t="s">
        <v>1896</v>
      </c>
      <c r="C33" s="38" t="s">
        <v>1897</v>
      </c>
      <c r="D33" s="39">
        <v>45946</v>
      </c>
      <c r="E33" s="38" t="s">
        <v>40</v>
      </c>
      <c r="F33" s="38" t="s">
        <v>41</v>
      </c>
      <c r="G33" s="40">
        <v>0</v>
      </c>
      <c r="H33" s="87">
        <v>80232.52</v>
      </c>
      <c r="I33" s="40">
        <v>12837.2</v>
      </c>
      <c r="J33" s="40">
        <f t="shared" si="1"/>
        <v>93069.72</v>
      </c>
      <c r="K33" s="40">
        <v>0</v>
      </c>
      <c r="L33" s="40">
        <f t="shared" si="2"/>
        <v>93069.72</v>
      </c>
      <c r="M33" s="38" t="s">
        <v>35</v>
      </c>
      <c r="N33" s="54"/>
      <c r="O33" s="36"/>
      <c r="P33" s="40">
        <v>0</v>
      </c>
      <c r="Q33" s="40">
        <v>0</v>
      </c>
      <c r="R33" s="41"/>
      <c r="S33" s="40">
        <v>5533.71</v>
      </c>
      <c r="T33" s="40">
        <v>0</v>
      </c>
      <c r="U33" s="40">
        <v>25750</v>
      </c>
      <c r="V33" s="40">
        <v>0</v>
      </c>
      <c r="W33" s="40">
        <v>42000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6948.81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5"/>
        <v>0</v>
      </c>
      <c r="AJ33" s="93">
        <v>0.217</v>
      </c>
      <c r="AK33" s="40" t="s">
        <v>1857</v>
      </c>
      <c r="AL33" s="40" t="s">
        <v>1844</v>
      </c>
      <c r="AM33"/>
      <c r="AN33" s="37"/>
      <c r="AP33" s="1"/>
      <c r="AQ33" s="1"/>
    </row>
    <row r="34" spans="1:43" x14ac:dyDescent="0.3">
      <c r="A34" s="38">
        <v>1</v>
      </c>
      <c r="B34" s="38" t="s">
        <v>1898</v>
      </c>
      <c r="C34" s="38" t="s">
        <v>1899</v>
      </c>
      <c r="D34" s="39">
        <v>45946</v>
      </c>
      <c r="E34" s="38" t="s">
        <v>53</v>
      </c>
      <c r="F34" s="38" t="s">
        <v>199</v>
      </c>
      <c r="G34" s="40">
        <v>0</v>
      </c>
      <c r="H34" s="87">
        <v>37331.51</v>
      </c>
      <c r="I34" s="40">
        <v>5973.04</v>
      </c>
      <c r="J34" s="40">
        <f t="shared" si="1"/>
        <v>43304.55</v>
      </c>
      <c r="K34" s="40">
        <v>48952</v>
      </c>
      <c r="L34" s="40">
        <f t="shared" si="2"/>
        <v>-5647.4499999999971</v>
      </c>
      <c r="M34" s="38" t="s">
        <v>35</v>
      </c>
      <c r="N34" s="54"/>
      <c r="O34" s="36"/>
      <c r="P34" s="40">
        <v>0</v>
      </c>
      <c r="Q34" s="40">
        <v>0</v>
      </c>
      <c r="R34" s="41"/>
      <c r="S34" s="40">
        <v>7200</v>
      </c>
      <c r="T34" s="40">
        <v>0</v>
      </c>
      <c r="U34" s="40">
        <v>30131.51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si="5"/>
        <v>0</v>
      </c>
      <c r="AJ34" s="93">
        <v>0.156</v>
      </c>
      <c r="AK34" s="40" t="s">
        <v>1858</v>
      </c>
      <c r="AL34" s="40" t="s">
        <v>1884</v>
      </c>
      <c r="AM34"/>
      <c r="AN34" s="37"/>
      <c r="AP34" s="1"/>
      <c r="AQ34" s="1"/>
    </row>
    <row r="35" spans="1:43" x14ac:dyDescent="0.3">
      <c r="A35" s="38">
        <v>2</v>
      </c>
      <c r="B35" s="38" t="s">
        <v>1900</v>
      </c>
      <c r="C35" s="50" t="s">
        <v>1901</v>
      </c>
      <c r="D35" s="39">
        <v>45946</v>
      </c>
      <c r="E35" s="38" t="s">
        <v>22</v>
      </c>
      <c r="F35" s="38" t="s">
        <v>45</v>
      </c>
      <c r="G35" s="40">
        <v>4032</v>
      </c>
      <c r="H35" s="87">
        <v>4500</v>
      </c>
      <c r="I35" s="40">
        <v>720</v>
      </c>
      <c r="J35" s="40">
        <f t="shared" si="1"/>
        <v>9252</v>
      </c>
      <c r="K35" s="40">
        <v>9252</v>
      </c>
      <c r="L35" s="40">
        <f t="shared" si="2"/>
        <v>0</v>
      </c>
      <c r="M35" s="38" t="s">
        <v>35</v>
      </c>
      <c r="N35" s="54"/>
      <c r="O35" s="36"/>
      <c r="P35" s="40">
        <v>0</v>
      </c>
      <c r="Q35" s="40">
        <v>4032</v>
      </c>
      <c r="R35" s="41"/>
      <c r="S35" s="40">
        <v>4500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6">
        <f t="shared" si="5"/>
        <v>0</v>
      </c>
      <c r="AJ35" s="93">
        <v>0.6</v>
      </c>
      <c r="AK35" s="40" t="s">
        <v>1840</v>
      </c>
      <c r="AL35" s="40" t="s">
        <v>1839</v>
      </c>
      <c r="AM35"/>
      <c r="AN35" s="37"/>
      <c r="AP35" s="1"/>
      <c r="AQ35" s="1"/>
    </row>
    <row r="36" spans="1:43" x14ac:dyDescent="0.3">
      <c r="A36" s="38">
        <v>2</v>
      </c>
      <c r="B36" s="38" t="s">
        <v>1902</v>
      </c>
      <c r="C36" s="50" t="s">
        <v>1903</v>
      </c>
      <c r="D36" s="39">
        <v>45946</v>
      </c>
      <c r="E36" s="38" t="s">
        <v>22</v>
      </c>
      <c r="F36" s="38" t="s">
        <v>45</v>
      </c>
      <c r="G36" s="40">
        <v>781</v>
      </c>
      <c r="H36" s="87">
        <v>4500</v>
      </c>
      <c r="I36" s="40">
        <v>720</v>
      </c>
      <c r="J36" s="40">
        <f t="shared" si="1"/>
        <v>6001</v>
      </c>
      <c r="K36" s="40">
        <v>6001</v>
      </c>
      <c r="L36" s="40">
        <f t="shared" si="2"/>
        <v>0</v>
      </c>
      <c r="M36" s="38" t="s">
        <v>35</v>
      </c>
      <c r="N36" s="54"/>
      <c r="O36" s="36"/>
      <c r="P36" s="40">
        <v>0</v>
      </c>
      <c r="Q36" s="40">
        <v>781</v>
      </c>
      <c r="R36" s="41"/>
      <c r="S36" s="40">
        <v>4500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5"/>
        <v>0</v>
      </c>
      <c r="AJ36" s="93">
        <v>0.6</v>
      </c>
      <c r="AK36" s="40" t="s">
        <v>1840</v>
      </c>
      <c r="AL36" s="40" t="s">
        <v>1839</v>
      </c>
      <c r="AM36"/>
      <c r="AN36" s="37"/>
      <c r="AP36" s="1"/>
      <c r="AQ36" s="1"/>
    </row>
    <row r="37" spans="1:43" x14ac:dyDescent="0.3">
      <c r="A37" s="38">
        <v>2</v>
      </c>
      <c r="B37" s="38" t="s">
        <v>1904</v>
      </c>
      <c r="C37" s="50" t="s">
        <v>1905</v>
      </c>
      <c r="D37" s="39">
        <v>45946</v>
      </c>
      <c r="E37" s="38" t="s">
        <v>198</v>
      </c>
      <c r="F37" s="38" t="s">
        <v>200</v>
      </c>
      <c r="G37" s="40">
        <v>0</v>
      </c>
      <c r="H37" s="87">
        <v>22000</v>
      </c>
      <c r="I37" s="40">
        <v>3520</v>
      </c>
      <c r="J37" s="40">
        <f t="shared" si="1"/>
        <v>25520</v>
      </c>
      <c r="K37" s="40">
        <v>25520</v>
      </c>
      <c r="L37" s="40">
        <f t="shared" si="2"/>
        <v>0</v>
      </c>
      <c r="M37" s="38" t="s">
        <v>35</v>
      </c>
      <c r="N37" s="54"/>
      <c r="O37" s="36"/>
      <c r="P37" s="40">
        <v>0</v>
      </c>
      <c r="Q37" s="40">
        <v>0</v>
      </c>
      <c r="R37" s="41"/>
      <c r="S37" s="40">
        <v>0</v>
      </c>
      <c r="T37" s="40">
        <v>0</v>
      </c>
      <c r="U37" s="40">
        <v>0</v>
      </c>
      <c r="V37" s="40">
        <v>0</v>
      </c>
      <c r="W37" s="40">
        <v>22000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5"/>
        <v>0</v>
      </c>
      <c r="AJ37" s="93">
        <v>0.45200000000000001</v>
      </c>
      <c r="AK37" s="40" t="s">
        <v>1842</v>
      </c>
      <c r="AL37" s="40" t="s">
        <v>1839</v>
      </c>
      <c r="AM37"/>
      <c r="AN37" s="37"/>
      <c r="AP37" s="1"/>
      <c r="AQ37" s="1"/>
    </row>
    <row r="38" spans="1:43" x14ac:dyDescent="0.3">
      <c r="A38" s="38">
        <v>1</v>
      </c>
      <c r="B38" s="38" t="s">
        <v>1906</v>
      </c>
      <c r="C38" s="38" t="s">
        <v>1795</v>
      </c>
      <c r="D38" s="39">
        <v>45947</v>
      </c>
      <c r="E38" s="38" t="s">
        <v>157</v>
      </c>
      <c r="F38" s="38" t="s">
        <v>1378</v>
      </c>
      <c r="G38" s="40">
        <v>45893</v>
      </c>
      <c r="H38" s="87">
        <f>71888.65-G38</f>
        <v>25995.649999999994</v>
      </c>
      <c r="I38" s="40">
        <v>4159.3</v>
      </c>
      <c r="J38" s="40">
        <f t="shared" si="1"/>
        <v>76047.95</v>
      </c>
      <c r="K38" s="40">
        <v>76047.95</v>
      </c>
      <c r="L38" s="40">
        <f t="shared" si="2"/>
        <v>0</v>
      </c>
      <c r="M38" s="38" t="s">
        <v>35</v>
      </c>
      <c r="N38" s="54"/>
      <c r="O38" s="36"/>
      <c r="P38" s="40">
        <v>0</v>
      </c>
      <c r="Q38" s="40">
        <v>45893</v>
      </c>
      <c r="R38" s="41"/>
      <c r="S38" s="40">
        <v>6758.53</v>
      </c>
      <c r="T38" s="40">
        <v>1500</v>
      </c>
      <c r="U38" s="40">
        <f>1537.12+8500</f>
        <v>10037.119999999999</v>
      </c>
      <c r="V38" s="40">
        <v>0</v>
      </c>
      <c r="W38" s="40">
        <v>5000</v>
      </c>
      <c r="X38" s="40">
        <v>0</v>
      </c>
      <c r="Y38" s="40">
        <v>0</v>
      </c>
      <c r="Z38" s="40">
        <v>0</v>
      </c>
      <c r="AA38" s="40">
        <v>2700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5"/>
        <v>0</v>
      </c>
      <c r="AJ38" s="93">
        <v>0.27700000000000002</v>
      </c>
      <c r="AK38" s="40" t="s">
        <v>1857</v>
      </c>
      <c r="AL38" s="40" t="s">
        <v>1884</v>
      </c>
      <c r="AM38"/>
      <c r="AN38" s="37"/>
      <c r="AP38" s="1"/>
      <c r="AQ38" s="1"/>
    </row>
    <row r="39" spans="1:43" x14ac:dyDescent="0.3">
      <c r="A39" s="38">
        <v>2</v>
      </c>
      <c r="B39" s="38" t="s">
        <v>1907</v>
      </c>
      <c r="C39" s="50" t="s">
        <v>1908</v>
      </c>
      <c r="D39" s="39">
        <v>45947</v>
      </c>
      <c r="E39" s="38" t="s">
        <v>22</v>
      </c>
      <c r="F39" s="38" t="s">
        <v>45</v>
      </c>
      <c r="G39" s="40">
        <v>336</v>
      </c>
      <c r="H39" s="87">
        <v>4200</v>
      </c>
      <c r="I39" s="40">
        <v>672</v>
      </c>
      <c r="J39" s="40">
        <f t="shared" si="1"/>
        <v>5208</v>
      </c>
      <c r="K39" s="40">
        <v>5208</v>
      </c>
      <c r="L39" s="40">
        <f t="shared" si="2"/>
        <v>0</v>
      </c>
      <c r="M39" s="38" t="s">
        <v>35</v>
      </c>
      <c r="N39" s="54"/>
      <c r="O39" s="36"/>
      <c r="P39" s="40">
        <v>0</v>
      </c>
      <c r="Q39" s="40">
        <v>336</v>
      </c>
      <c r="R39" s="41"/>
      <c r="S39" s="40">
        <v>4200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5"/>
        <v>0</v>
      </c>
      <c r="AJ39" s="93">
        <v>0.61899999999999999</v>
      </c>
      <c r="AK39" s="40" t="s">
        <v>1840</v>
      </c>
      <c r="AL39" s="40" t="s">
        <v>1839</v>
      </c>
      <c r="AM39"/>
      <c r="AN39" s="37"/>
      <c r="AP39" s="1"/>
      <c r="AQ39" s="1"/>
    </row>
    <row r="40" spans="1:43" x14ac:dyDescent="0.3">
      <c r="A40" s="38">
        <v>2</v>
      </c>
      <c r="B40" s="38" t="s">
        <v>1909</v>
      </c>
      <c r="C40" s="38" t="s">
        <v>1910</v>
      </c>
      <c r="D40" s="39">
        <v>45947</v>
      </c>
      <c r="E40" s="38" t="s">
        <v>22</v>
      </c>
      <c r="F40" s="38" t="s">
        <v>45</v>
      </c>
      <c r="G40" s="40">
        <v>336</v>
      </c>
      <c r="H40" s="88">
        <v>4200</v>
      </c>
      <c r="I40" s="40">
        <v>672</v>
      </c>
      <c r="J40" s="40">
        <f t="shared" si="1"/>
        <v>5208</v>
      </c>
      <c r="K40" s="40">
        <v>5208</v>
      </c>
      <c r="L40" s="40">
        <f t="shared" si="2"/>
        <v>0</v>
      </c>
      <c r="M40" s="38" t="s">
        <v>35</v>
      </c>
      <c r="N40" s="54"/>
      <c r="O40" s="36"/>
      <c r="P40" s="40">
        <v>0</v>
      </c>
      <c r="Q40" s="40">
        <v>336</v>
      </c>
      <c r="R40" s="41"/>
      <c r="S40" s="40">
        <v>4200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5"/>
        <v>0</v>
      </c>
      <c r="AJ40" s="93">
        <v>0.61899999999999999</v>
      </c>
      <c r="AK40" s="40" t="s">
        <v>1840</v>
      </c>
      <c r="AL40" s="40" t="s">
        <v>1839</v>
      </c>
      <c r="AM40"/>
      <c r="AN40" s="37"/>
      <c r="AP40" s="1"/>
      <c r="AQ40" s="1"/>
    </row>
    <row r="41" spans="1:43" x14ac:dyDescent="0.3">
      <c r="A41" s="38">
        <v>1</v>
      </c>
      <c r="B41" s="38" t="s">
        <v>1911</v>
      </c>
      <c r="C41" s="38" t="s">
        <v>1912</v>
      </c>
      <c r="D41" s="39">
        <v>45947</v>
      </c>
      <c r="E41" s="38" t="s">
        <v>53</v>
      </c>
      <c r="F41" s="38" t="s">
        <v>199</v>
      </c>
      <c r="G41" s="40">
        <v>0</v>
      </c>
      <c r="H41" s="88">
        <v>55432.71</v>
      </c>
      <c r="I41" s="40">
        <v>8869.23</v>
      </c>
      <c r="J41" s="40">
        <f t="shared" si="1"/>
        <v>64301.94</v>
      </c>
      <c r="K41" s="40">
        <v>64301.94</v>
      </c>
      <c r="L41" s="40">
        <f t="shared" si="2"/>
        <v>0</v>
      </c>
      <c r="M41" s="38" t="s">
        <v>35</v>
      </c>
      <c r="N41" s="54"/>
      <c r="O41" s="36"/>
      <c r="P41" s="40">
        <v>0</v>
      </c>
      <c r="Q41" s="40">
        <v>0</v>
      </c>
      <c r="R41" s="41"/>
      <c r="S41" s="40">
        <v>7200</v>
      </c>
      <c r="T41" s="40">
        <v>0</v>
      </c>
      <c r="U41" s="40">
        <v>46432.71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1800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5"/>
        <v>0</v>
      </c>
      <c r="AJ41" s="93">
        <v>0.16500000000000001</v>
      </c>
      <c r="AK41" s="40" t="s">
        <v>1858</v>
      </c>
      <c r="AL41" s="40" t="s">
        <v>1884</v>
      </c>
      <c r="AM41"/>
      <c r="AN41" s="37"/>
      <c r="AP41" s="1"/>
      <c r="AQ41" s="1"/>
    </row>
    <row r="42" spans="1:43" x14ac:dyDescent="0.3">
      <c r="A42" s="38">
        <v>1</v>
      </c>
      <c r="B42" s="38" t="s">
        <v>1913</v>
      </c>
      <c r="C42" s="38" t="s">
        <v>1914</v>
      </c>
      <c r="D42" s="39">
        <v>45950</v>
      </c>
      <c r="E42" s="38" t="s">
        <v>22</v>
      </c>
      <c r="F42" s="38" t="s">
        <v>45</v>
      </c>
      <c r="G42" s="40">
        <v>336</v>
      </c>
      <c r="H42" s="88">
        <f>8854-336</f>
        <v>8518</v>
      </c>
      <c r="I42" s="40">
        <v>1362.88</v>
      </c>
      <c r="J42" s="40">
        <f t="shared" si="1"/>
        <v>10216.880000000001</v>
      </c>
      <c r="K42" s="40">
        <v>11936</v>
      </c>
      <c r="L42" s="40">
        <f t="shared" si="2"/>
        <v>-1719.119999999999</v>
      </c>
      <c r="M42" s="38" t="s">
        <v>35</v>
      </c>
      <c r="N42" s="54"/>
      <c r="O42" s="36"/>
      <c r="P42" s="40">
        <v>0</v>
      </c>
      <c r="Q42" s="40">
        <v>336</v>
      </c>
      <c r="R42" s="41"/>
      <c r="S42" s="40">
        <v>6000</v>
      </c>
      <c r="T42" s="40">
        <v>0</v>
      </c>
      <c r="U42" s="40">
        <v>2518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5"/>
        <v>0</v>
      </c>
      <c r="AJ42" s="93">
        <v>0.52600000000000002</v>
      </c>
      <c r="AK42" s="40" t="s">
        <v>1840</v>
      </c>
      <c r="AL42" s="40" t="s">
        <v>1884</v>
      </c>
      <c r="AM42"/>
      <c r="AN42" s="37"/>
      <c r="AP42" s="1"/>
      <c r="AQ42" s="1"/>
    </row>
    <row r="43" spans="1:43" x14ac:dyDescent="0.3">
      <c r="A43" s="38">
        <v>2</v>
      </c>
      <c r="B43" s="38" t="s">
        <v>1915</v>
      </c>
      <c r="C43" s="50" t="s">
        <v>1916</v>
      </c>
      <c r="D43" s="39">
        <v>45950</v>
      </c>
      <c r="E43" s="38" t="s">
        <v>61</v>
      </c>
      <c r="F43" s="38" t="s">
        <v>156</v>
      </c>
      <c r="G43" s="40">
        <v>0</v>
      </c>
      <c r="H43" s="87">
        <v>21000</v>
      </c>
      <c r="I43" s="40">
        <v>3360</v>
      </c>
      <c r="J43" s="40">
        <f t="shared" si="1"/>
        <v>24360</v>
      </c>
      <c r="K43" s="40">
        <v>24360</v>
      </c>
      <c r="L43" s="40">
        <f t="shared" si="2"/>
        <v>0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0</v>
      </c>
      <c r="T43" s="40">
        <v>0</v>
      </c>
      <c r="U43" s="40">
        <v>0</v>
      </c>
      <c r="V43" s="40">
        <v>0</v>
      </c>
      <c r="W43" s="40">
        <v>21000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36">
        <f t="shared" si="5"/>
        <v>0</v>
      </c>
      <c r="AJ43" s="93">
        <v>0.33</v>
      </c>
      <c r="AK43" s="40" t="s">
        <v>1842</v>
      </c>
      <c r="AL43" s="40" t="s">
        <v>1839</v>
      </c>
      <c r="AM43"/>
      <c r="AN43" s="37"/>
      <c r="AP43" s="1"/>
      <c r="AQ43" s="1"/>
    </row>
    <row r="44" spans="1:43" x14ac:dyDescent="0.3">
      <c r="A44" s="38">
        <v>1</v>
      </c>
      <c r="B44" s="38" t="s">
        <v>1917</v>
      </c>
      <c r="C44" s="38" t="s">
        <v>1918</v>
      </c>
      <c r="D44" s="39">
        <v>45951</v>
      </c>
      <c r="E44" s="38" t="s">
        <v>53</v>
      </c>
      <c r="F44" s="38" t="s">
        <v>199</v>
      </c>
      <c r="G44" s="40">
        <v>0</v>
      </c>
      <c r="H44" s="87">
        <v>58914.05</v>
      </c>
      <c r="I44" s="40">
        <v>9426.25</v>
      </c>
      <c r="J44" s="40">
        <f t="shared" si="1"/>
        <v>68340.3</v>
      </c>
      <c r="K44" s="40">
        <v>69674.3</v>
      </c>
      <c r="L44" s="40">
        <f t="shared" si="2"/>
        <v>-1334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7200</v>
      </c>
      <c r="T44" s="40">
        <v>0</v>
      </c>
      <c r="U44" s="40">
        <v>45114.05</v>
      </c>
      <c r="V44" s="40">
        <v>0</v>
      </c>
      <c r="W44" s="40">
        <v>0</v>
      </c>
      <c r="X44" s="40">
        <v>3000</v>
      </c>
      <c r="Y44" s="40">
        <v>0</v>
      </c>
      <c r="Z44" s="40">
        <v>0</v>
      </c>
      <c r="AA44" s="40">
        <v>3600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5"/>
        <v>0</v>
      </c>
      <c r="AJ44" s="93">
        <v>0.2</v>
      </c>
      <c r="AK44" s="40" t="s">
        <v>1858</v>
      </c>
      <c r="AL44" s="40" t="s">
        <v>1884</v>
      </c>
      <c r="AM44"/>
      <c r="AN44" s="37"/>
      <c r="AP44" s="1"/>
      <c r="AQ44" s="1"/>
    </row>
    <row r="45" spans="1:43" x14ac:dyDescent="0.3">
      <c r="A45" s="38">
        <v>1</v>
      </c>
      <c r="B45" s="38" t="s">
        <v>1919</v>
      </c>
      <c r="C45" s="38" t="s">
        <v>1920</v>
      </c>
      <c r="D45" s="39">
        <v>45951</v>
      </c>
      <c r="E45" s="38" t="s">
        <v>569</v>
      </c>
      <c r="F45" s="38" t="s">
        <v>587</v>
      </c>
      <c r="G45" s="40">
        <v>5840</v>
      </c>
      <c r="H45" s="87">
        <f>21376.19-G45</f>
        <v>15536.189999999999</v>
      </c>
      <c r="I45" s="40">
        <v>2485.8000000000002</v>
      </c>
      <c r="J45" s="40">
        <f t="shared" si="1"/>
        <v>23861.989999999998</v>
      </c>
      <c r="K45" s="40">
        <v>26512.33</v>
      </c>
      <c r="L45" s="40">
        <f t="shared" si="2"/>
        <v>-2650.3400000000038</v>
      </c>
      <c r="M45" s="38" t="s">
        <v>35</v>
      </c>
      <c r="N45" s="54"/>
      <c r="O45" s="36"/>
      <c r="P45" s="40">
        <v>0</v>
      </c>
      <c r="Q45" s="40">
        <v>5840</v>
      </c>
      <c r="R45" s="41"/>
      <c r="S45" s="40">
        <v>5420.97</v>
      </c>
      <c r="T45" s="40">
        <v>0</v>
      </c>
      <c r="U45" s="40">
        <v>4215.22</v>
      </c>
      <c r="V45" s="40">
        <v>0</v>
      </c>
      <c r="W45" s="40">
        <v>5900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36">
        <f t="shared" si="5"/>
        <v>0</v>
      </c>
      <c r="AJ45" s="93">
        <v>0.41499999999999998</v>
      </c>
      <c r="AK45" s="40" t="s">
        <v>1858</v>
      </c>
      <c r="AL45" s="40" t="s">
        <v>1884</v>
      </c>
      <c r="AM45"/>
      <c r="AN45" s="37"/>
      <c r="AP45" s="1"/>
      <c r="AQ45" s="1"/>
    </row>
    <row r="46" spans="1:43" x14ac:dyDescent="0.3">
      <c r="A46" s="38">
        <v>1</v>
      </c>
      <c r="B46" s="38" t="s">
        <v>1921</v>
      </c>
      <c r="C46" s="50" t="s">
        <v>1922</v>
      </c>
      <c r="D46" s="39">
        <v>45951</v>
      </c>
      <c r="E46" s="38" t="s">
        <v>40</v>
      </c>
      <c r="F46" s="38" t="s">
        <v>41</v>
      </c>
      <c r="G46" s="40">
        <v>0</v>
      </c>
      <c r="H46" s="87">
        <v>10541.98</v>
      </c>
      <c r="I46" s="40">
        <v>1686.72</v>
      </c>
      <c r="J46" s="40">
        <f t="shared" si="1"/>
        <v>12228.699999999999</v>
      </c>
      <c r="K46" s="40">
        <v>0</v>
      </c>
      <c r="L46" s="40">
        <f t="shared" si="2"/>
        <v>12228.699999999999</v>
      </c>
      <c r="M46" s="38" t="s">
        <v>35</v>
      </c>
      <c r="N46" s="54"/>
      <c r="O46" s="36"/>
      <c r="P46" s="40">
        <v>0</v>
      </c>
      <c r="Q46" s="40">
        <v>0</v>
      </c>
      <c r="R46" s="41"/>
      <c r="S46" s="40">
        <v>3669.54</v>
      </c>
      <c r="T46" s="40">
        <v>1500</v>
      </c>
      <c r="U46" s="40">
        <v>2237.46</v>
      </c>
      <c r="V46" s="40">
        <v>1177.48</v>
      </c>
      <c r="W46" s="40">
        <v>1957.5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5"/>
        <v>0</v>
      </c>
      <c r="AJ46" s="93">
        <v>0.30199999999999999</v>
      </c>
      <c r="AK46" s="40" t="s">
        <v>1857</v>
      </c>
      <c r="AL46" s="40" t="s">
        <v>1884</v>
      </c>
      <c r="AM46"/>
      <c r="AN46" s="37"/>
      <c r="AP46" s="1"/>
      <c r="AQ46" s="1"/>
    </row>
    <row r="47" spans="1:43" x14ac:dyDescent="0.3">
      <c r="A47" s="38">
        <v>1</v>
      </c>
      <c r="B47" s="38" t="s">
        <v>1923</v>
      </c>
      <c r="C47" s="50" t="s">
        <v>1924</v>
      </c>
      <c r="D47" s="39">
        <v>45952</v>
      </c>
      <c r="E47" s="38" t="s">
        <v>224</v>
      </c>
      <c r="F47" s="38" t="s">
        <v>221</v>
      </c>
      <c r="G47" s="40">
        <v>0</v>
      </c>
      <c r="H47" s="87">
        <v>16057.96</v>
      </c>
      <c r="I47" s="40">
        <v>2569.27</v>
      </c>
      <c r="J47" s="40">
        <f t="shared" si="1"/>
        <v>18627.23</v>
      </c>
      <c r="K47" s="40">
        <v>18627.240000000002</v>
      </c>
      <c r="L47" s="40">
        <f t="shared" si="2"/>
        <v>-1.0000000002037268E-2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0</v>
      </c>
      <c r="T47" s="40">
        <v>0</v>
      </c>
      <c r="U47" s="40">
        <v>0</v>
      </c>
      <c r="V47" s="40">
        <v>0</v>
      </c>
      <c r="W47" s="40">
        <v>16057.96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5"/>
        <v>0</v>
      </c>
      <c r="AJ47" s="96"/>
      <c r="AK47" s="64"/>
      <c r="AL47" s="64"/>
      <c r="AM47"/>
      <c r="AN47" s="37"/>
      <c r="AP47" s="1"/>
      <c r="AQ47" s="1"/>
    </row>
    <row r="48" spans="1:43" x14ac:dyDescent="0.3">
      <c r="A48" s="38">
        <v>2</v>
      </c>
      <c r="B48" s="38" t="s">
        <v>1925</v>
      </c>
      <c r="C48" s="38" t="s">
        <v>1926</v>
      </c>
      <c r="D48" s="39">
        <v>45953</v>
      </c>
      <c r="E48" s="38" t="s">
        <v>22</v>
      </c>
      <c r="F48" s="38" t="s">
        <v>45</v>
      </c>
      <c r="G48" s="40">
        <v>5237</v>
      </c>
      <c r="H48" s="87">
        <v>4500</v>
      </c>
      <c r="I48" s="40">
        <v>720</v>
      </c>
      <c r="J48" s="40">
        <f t="shared" si="1"/>
        <v>10457</v>
      </c>
      <c r="K48" s="40">
        <v>10457</v>
      </c>
      <c r="L48" s="40">
        <f t="shared" si="2"/>
        <v>0</v>
      </c>
      <c r="M48" s="38" t="s">
        <v>35</v>
      </c>
      <c r="N48" s="54"/>
      <c r="O48" s="36"/>
      <c r="P48" s="40">
        <v>0</v>
      </c>
      <c r="Q48" s="40">
        <v>5237</v>
      </c>
      <c r="R48" s="41"/>
      <c r="S48" s="40">
        <v>4500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5"/>
        <v>0</v>
      </c>
      <c r="AJ48" s="93">
        <v>0.6</v>
      </c>
      <c r="AK48" s="40" t="s">
        <v>1840</v>
      </c>
      <c r="AL48" s="40" t="s">
        <v>1839</v>
      </c>
      <c r="AM48"/>
      <c r="AN48" s="37"/>
      <c r="AP48" s="1"/>
      <c r="AQ48" s="1"/>
    </row>
    <row r="49" spans="1:43" x14ac:dyDescent="0.3">
      <c r="A49" s="38">
        <v>2</v>
      </c>
      <c r="B49" s="2" t="s">
        <v>1927</v>
      </c>
      <c r="C49" s="50" t="s">
        <v>1928</v>
      </c>
      <c r="D49" s="39">
        <v>45953</v>
      </c>
      <c r="E49" s="38" t="s">
        <v>22</v>
      </c>
      <c r="F49" s="38" t="s">
        <v>45</v>
      </c>
      <c r="G49" s="40">
        <v>44428</v>
      </c>
      <c r="H49" s="87">
        <f>4500+7000</f>
        <v>11500</v>
      </c>
      <c r="I49" s="40">
        <v>1840</v>
      </c>
      <c r="J49" s="40">
        <f t="shared" si="1"/>
        <v>57768</v>
      </c>
      <c r="K49" s="40">
        <v>58889.32</v>
      </c>
      <c r="L49" s="40">
        <f t="shared" si="2"/>
        <v>-1121.3199999999997</v>
      </c>
      <c r="M49" s="38" t="s">
        <v>35</v>
      </c>
      <c r="N49" s="54"/>
      <c r="O49" s="36"/>
      <c r="P49" s="40">
        <v>0</v>
      </c>
      <c r="Q49" s="40">
        <v>44428</v>
      </c>
      <c r="R49" s="41"/>
      <c r="S49" s="40">
        <v>4500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7000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5"/>
        <v>0</v>
      </c>
      <c r="AJ49" s="93">
        <v>0.53900000000000003</v>
      </c>
      <c r="AK49" s="40" t="s">
        <v>1840</v>
      </c>
      <c r="AL49" s="40" t="s">
        <v>1839</v>
      </c>
      <c r="AM49"/>
      <c r="AN49" s="37"/>
      <c r="AP49" s="1"/>
      <c r="AQ49" s="1"/>
    </row>
    <row r="50" spans="1:43" x14ac:dyDescent="0.3">
      <c r="A50" s="38">
        <v>1</v>
      </c>
      <c r="B50" s="2" t="s">
        <v>1929</v>
      </c>
      <c r="C50" s="38" t="s">
        <v>1930</v>
      </c>
      <c r="D50" s="39">
        <v>45953</v>
      </c>
      <c r="E50" s="38" t="s">
        <v>40</v>
      </c>
      <c r="F50" s="38" t="s">
        <v>41</v>
      </c>
      <c r="G50" s="40">
        <v>0</v>
      </c>
      <c r="H50" s="87">
        <v>3540</v>
      </c>
      <c r="I50" s="40">
        <v>566.4</v>
      </c>
      <c r="J50" s="40">
        <f t="shared" si="1"/>
        <v>4106.3999999999996</v>
      </c>
      <c r="K50" s="40">
        <v>0</v>
      </c>
      <c r="L50" s="40">
        <f t="shared" si="2"/>
        <v>4106.3999999999996</v>
      </c>
      <c r="M50" s="38" t="s">
        <v>35</v>
      </c>
      <c r="N50" s="54"/>
      <c r="O50" s="36"/>
      <c r="P50" s="40">
        <v>0</v>
      </c>
      <c r="Q50" s="40">
        <v>0</v>
      </c>
      <c r="R50" s="41"/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3540</v>
      </c>
      <c r="AG50" s="40">
        <v>0</v>
      </c>
      <c r="AH50" s="40">
        <v>0</v>
      </c>
      <c r="AI50" s="36">
        <f t="shared" si="5"/>
        <v>0</v>
      </c>
      <c r="AJ50" s="93">
        <v>0.25900000000000001</v>
      </c>
      <c r="AK50" s="40" t="s">
        <v>1843</v>
      </c>
      <c r="AL50" s="40" t="s">
        <v>1844</v>
      </c>
      <c r="AM50"/>
      <c r="AN50" s="37"/>
      <c r="AP50" s="1"/>
      <c r="AQ50" s="1"/>
    </row>
    <row r="51" spans="1:43" x14ac:dyDescent="0.3">
      <c r="A51" s="38">
        <v>1</v>
      </c>
      <c r="B51" s="2" t="s">
        <v>1931</v>
      </c>
      <c r="C51" s="38" t="s">
        <v>1932</v>
      </c>
      <c r="D51" s="39">
        <v>45953</v>
      </c>
      <c r="E51" s="38" t="s">
        <v>40</v>
      </c>
      <c r="F51" s="38" t="s">
        <v>41</v>
      </c>
      <c r="G51" s="40">
        <v>0</v>
      </c>
      <c r="H51" s="87">
        <v>14363.73</v>
      </c>
      <c r="I51" s="40">
        <v>2298.1999999999998</v>
      </c>
      <c r="J51" s="40">
        <f t="shared" si="1"/>
        <v>16661.93</v>
      </c>
      <c r="K51" s="40">
        <v>0</v>
      </c>
      <c r="L51" s="40">
        <f t="shared" si="2"/>
        <v>16661.93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3696.86</v>
      </c>
      <c r="T51" s="40">
        <v>1500</v>
      </c>
      <c r="U51" s="40">
        <v>4508.93</v>
      </c>
      <c r="V51" s="40">
        <v>832.95</v>
      </c>
      <c r="W51" s="40">
        <v>3824.99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5"/>
        <v>0</v>
      </c>
      <c r="AJ51" s="93">
        <v>0.30099999999999999</v>
      </c>
      <c r="AK51" s="40" t="s">
        <v>1857</v>
      </c>
      <c r="AL51" s="40" t="s">
        <v>1884</v>
      </c>
      <c r="AM51"/>
      <c r="AN51" s="37"/>
      <c r="AP51" s="1"/>
      <c r="AQ51" s="1"/>
    </row>
    <row r="52" spans="1:43" x14ac:dyDescent="0.3">
      <c r="A52" s="38">
        <v>1</v>
      </c>
      <c r="B52" s="2" t="s">
        <v>1936</v>
      </c>
      <c r="C52" s="50" t="s">
        <v>1933</v>
      </c>
      <c r="D52" s="39">
        <v>45953</v>
      </c>
      <c r="E52" s="38" t="s">
        <v>40</v>
      </c>
      <c r="F52" s="38" t="s">
        <v>41</v>
      </c>
      <c r="G52" s="40">
        <v>0</v>
      </c>
      <c r="H52" s="87">
        <v>13415.85</v>
      </c>
      <c r="I52" s="40">
        <v>2146.54</v>
      </c>
      <c r="J52" s="40">
        <f t="shared" si="1"/>
        <v>15562.39</v>
      </c>
      <c r="K52" s="40">
        <v>0</v>
      </c>
      <c r="L52" s="40">
        <f t="shared" si="2"/>
        <v>15562.39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3696.86</v>
      </c>
      <c r="T52" s="40">
        <v>1500</v>
      </c>
      <c r="U52" s="40">
        <v>3684.45</v>
      </c>
      <c r="V52" s="40">
        <v>709.55</v>
      </c>
      <c r="W52" s="40">
        <v>3824.99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5"/>
        <v>0</v>
      </c>
      <c r="AJ52" s="93">
        <v>0.251</v>
      </c>
      <c r="AK52" s="40" t="s">
        <v>1857</v>
      </c>
      <c r="AL52" s="40" t="s">
        <v>1884</v>
      </c>
      <c r="AM52"/>
      <c r="AN52" s="37"/>
      <c r="AP52" s="1"/>
      <c r="AQ52" s="1"/>
    </row>
    <row r="53" spans="1:43" x14ac:dyDescent="0.3">
      <c r="A53" s="38">
        <v>1</v>
      </c>
      <c r="B53" s="2" t="s">
        <v>1934</v>
      </c>
      <c r="C53" s="50" t="s">
        <v>1935</v>
      </c>
      <c r="D53" s="39">
        <v>45953</v>
      </c>
      <c r="E53" s="38" t="s">
        <v>40</v>
      </c>
      <c r="F53" s="38" t="s">
        <v>41</v>
      </c>
      <c r="G53" s="40">
        <v>0</v>
      </c>
      <c r="H53" s="87">
        <v>13415.85</v>
      </c>
      <c r="I53" s="40">
        <v>2146.54</v>
      </c>
      <c r="J53" s="40">
        <f t="shared" si="1"/>
        <v>15562.39</v>
      </c>
      <c r="K53" s="40">
        <v>0</v>
      </c>
      <c r="L53" s="40">
        <f t="shared" si="2"/>
        <v>15562.39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3696.86</v>
      </c>
      <c r="T53" s="40">
        <v>1500</v>
      </c>
      <c r="U53" s="40">
        <v>3684.45</v>
      </c>
      <c r="V53" s="40">
        <v>709.55</v>
      </c>
      <c r="W53" s="40">
        <v>3824.99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36">
        <f t="shared" si="5"/>
        <v>0</v>
      </c>
      <c r="AJ53" s="93">
        <v>0.251</v>
      </c>
      <c r="AK53" s="40" t="s">
        <v>1857</v>
      </c>
      <c r="AL53" s="40" t="s">
        <v>1884</v>
      </c>
      <c r="AM53"/>
      <c r="AN53" s="37"/>
      <c r="AP53" s="1"/>
      <c r="AQ53" s="1"/>
    </row>
    <row r="54" spans="1:43" x14ac:dyDescent="0.3">
      <c r="A54" s="38">
        <v>1</v>
      </c>
      <c r="B54" s="2" t="s">
        <v>1937</v>
      </c>
      <c r="C54" s="38" t="s">
        <v>1938</v>
      </c>
      <c r="D54" s="39">
        <v>45953</v>
      </c>
      <c r="E54" s="38" t="s">
        <v>40</v>
      </c>
      <c r="F54" s="38" t="s">
        <v>41</v>
      </c>
      <c r="G54" s="40">
        <v>0</v>
      </c>
      <c r="H54" s="87">
        <v>3540</v>
      </c>
      <c r="I54" s="40">
        <v>566.4</v>
      </c>
      <c r="J54" s="40">
        <f t="shared" si="1"/>
        <v>4106.3999999999996</v>
      </c>
      <c r="K54" s="40">
        <v>0</v>
      </c>
      <c r="L54" s="40">
        <f t="shared" si="2"/>
        <v>4106.3999999999996</v>
      </c>
      <c r="M54" s="38" t="s">
        <v>35</v>
      </c>
      <c r="N54" s="54"/>
      <c r="O54" s="36"/>
      <c r="P54" s="40">
        <v>0</v>
      </c>
      <c r="Q54" s="40">
        <v>0</v>
      </c>
      <c r="R54" s="41"/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3540</v>
      </c>
      <c r="AG54" s="40">
        <v>0</v>
      </c>
      <c r="AH54" s="40">
        <v>0</v>
      </c>
      <c r="AI54" s="36">
        <f t="shared" si="5"/>
        <v>0</v>
      </c>
      <c r="AJ54" s="93">
        <v>0.25900000000000001</v>
      </c>
      <c r="AK54" s="40" t="s">
        <v>1843</v>
      </c>
      <c r="AL54" s="40" t="s">
        <v>1844</v>
      </c>
      <c r="AM54"/>
      <c r="AN54" s="37"/>
      <c r="AP54" s="1"/>
      <c r="AQ54" s="1"/>
    </row>
    <row r="55" spans="1:43" x14ac:dyDescent="0.3">
      <c r="A55" s="38">
        <v>1</v>
      </c>
      <c r="B55" s="2" t="s">
        <v>1940</v>
      </c>
      <c r="C55" s="38" t="s">
        <v>1941</v>
      </c>
      <c r="D55" s="39">
        <v>45953</v>
      </c>
      <c r="E55" s="38" t="s">
        <v>53</v>
      </c>
      <c r="F55" s="38" t="s">
        <v>199</v>
      </c>
      <c r="G55" s="40">
        <f>34932+7042</f>
        <v>41974</v>
      </c>
      <c r="H55" s="87">
        <f>200515.99-G55</f>
        <v>158541.99</v>
      </c>
      <c r="I55" s="40">
        <v>25366.71</v>
      </c>
      <c r="J55" s="40">
        <f t="shared" si="1"/>
        <v>225882.69999999998</v>
      </c>
      <c r="K55" s="40">
        <v>324385.59999999998</v>
      </c>
      <c r="L55" s="40">
        <f t="shared" si="2"/>
        <v>-98502.9</v>
      </c>
      <c r="M55" s="38" t="s">
        <v>35</v>
      </c>
      <c r="N55" s="54"/>
      <c r="O55" s="36"/>
      <c r="P55" s="40">
        <v>0</v>
      </c>
      <c r="Q55" s="40">
        <f>34932+7042</f>
        <v>41974</v>
      </c>
      <c r="R55" s="41"/>
      <c r="S55" s="40">
        <f>6712.56+6638.4</f>
        <v>13350.96</v>
      </c>
      <c r="T55" s="40">
        <v>1500</v>
      </c>
      <c r="U55" s="40">
        <v>21574</v>
      </c>
      <c r="V55" s="40">
        <v>122117.03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5"/>
        <v>0</v>
      </c>
      <c r="AJ55" s="93">
        <v>0.14000000000000001</v>
      </c>
      <c r="AK55" s="40" t="s">
        <v>1843</v>
      </c>
      <c r="AL55" s="40" t="s">
        <v>1844</v>
      </c>
      <c r="AM55"/>
      <c r="AN55" s="37"/>
      <c r="AP55" s="1"/>
      <c r="AQ55" s="1"/>
    </row>
    <row r="56" spans="1:43" x14ac:dyDescent="0.3">
      <c r="A56" s="38">
        <v>1</v>
      </c>
      <c r="B56" s="2" t="s">
        <v>1942</v>
      </c>
      <c r="C56" s="38" t="s">
        <v>1943</v>
      </c>
      <c r="D56" s="39">
        <v>45953</v>
      </c>
      <c r="E56" s="38" t="s">
        <v>53</v>
      </c>
      <c r="F56" s="38" t="s">
        <v>199</v>
      </c>
      <c r="G56" s="40">
        <v>169320</v>
      </c>
      <c r="H56" s="87">
        <f>190570.27-169320</f>
        <v>21250.26999999999</v>
      </c>
      <c r="I56" s="40">
        <v>3400.04</v>
      </c>
      <c r="J56" s="40">
        <f t="shared" si="1"/>
        <v>193970.31</v>
      </c>
      <c r="K56" s="40">
        <v>247611</v>
      </c>
      <c r="L56" s="40">
        <f t="shared" si="2"/>
        <v>-53640.69</v>
      </c>
      <c r="M56" s="38" t="s">
        <v>35</v>
      </c>
      <c r="N56" s="54"/>
      <c r="O56" s="36"/>
      <c r="P56" s="40">
        <v>0</v>
      </c>
      <c r="Q56" s="40">
        <v>169320</v>
      </c>
      <c r="R56" s="41"/>
      <c r="S56" s="40">
        <v>7200</v>
      </c>
      <c r="T56" s="40">
        <v>0</v>
      </c>
      <c r="U56" s="40">
        <v>12250.27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1800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5"/>
        <v>0</v>
      </c>
      <c r="AJ56" s="93">
        <v>0.28000000000000003</v>
      </c>
      <c r="AK56" s="40" t="s">
        <v>1858</v>
      </c>
      <c r="AL56" s="40" t="s">
        <v>1884</v>
      </c>
      <c r="AM56"/>
      <c r="AN56" s="37"/>
      <c r="AP56" s="1"/>
      <c r="AQ56" s="1"/>
    </row>
    <row r="57" spans="1:43" x14ac:dyDescent="0.3">
      <c r="A57" s="38">
        <v>1</v>
      </c>
      <c r="B57" s="2" t="s">
        <v>1944</v>
      </c>
      <c r="C57" s="38" t="s">
        <v>1939</v>
      </c>
      <c r="D57" s="39">
        <v>45954</v>
      </c>
      <c r="E57" s="38" t="s">
        <v>53</v>
      </c>
      <c r="F57" s="38" t="s">
        <v>199</v>
      </c>
      <c r="G57" s="40">
        <f>959+1260+1516+10271</f>
        <v>14006</v>
      </c>
      <c r="H57" s="87">
        <f>160532.58-G57</f>
        <v>146526.57999999999</v>
      </c>
      <c r="I57" s="40">
        <v>23444.26</v>
      </c>
      <c r="J57" s="40">
        <f t="shared" si="1"/>
        <v>183976.84</v>
      </c>
      <c r="K57" s="40">
        <v>229102.8</v>
      </c>
      <c r="L57" s="40">
        <f t="shared" si="2"/>
        <v>-45125.959999999992</v>
      </c>
      <c r="M57" s="38" t="s">
        <v>35</v>
      </c>
      <c r="N57" s="54"/>
      <c r="O57" s="36"/>
      <c r="P57" s="40">
        <f>959+1260</f>
        <v>2219</v>
      </c>
      <c r="Q57" s="40">
        <f>1516+10271</f>
        <v>11787</v>
      </c>
      <c r="R57" s="41"/>
      <c r="S57" s="40">
        <f>6605.17+6714.79</f>
        <v>13319.96</v>
      </c>
      <c r="T57" s="40">
        <v>0</v>
      </c>
      <c r="U57" s="40">
        <v>47042.720000000001</v>
      </c>
      <c r="V57" s="40">
        <v>82428.899999999994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1260</v>
      </c>
      <c r="AC57" s="40">
        <v>675</v>
      </c>
      <c r="AD57" s="40">
        <v>0</v>
      </c>
      <c r="AE57" s="40">
        <v>1800</v>
      </c>
      <c r="AF57" s="40">
        <v>0</v>
      </c>
      <c r="AG57" s="40">
        <v>0</v>
      </c>
      <c r="AH57" s="40">
        <v>0</v>
      </c>
      <c r="AI57" s="36">
        <f t="shared" si="5"/>
        <v>0</v>
      </c>
      <c r="AJ57" s="93">
        <v>0.161</v>
      </c>
      <c r="AK57" s="40" t="s">
        <v>1843</v>
      </c>
      <c r="AL57" s="40" t="s">
        <v>1844</v>
      </c>
      <c r="AM57"/>
      <c r="AN57" s="37"/>
      <c r="AP57" s="1"/>
      <c r="AQ57" s="1"/>
    </row>
    <row r="58" spans="1:43" x14ac:dyDescent="0.3">
      <c r="A58" s="38">
        <v>1</v>
      </c>
      <c r="B58" s="2" t="s">
        <v>1945</v>
      </c>
      <c r="C58" s="38" t="s">
        <v>1946</v>
      </c>
      <c r="D58" s="39">
        <v>45954</v>
      </c>
      <c r="E58" s="38" t="s">
        <v>22</v>
      </c>
      <c r="F58" s="38" t="s">
        <v>45</v>
      </c>
      <c r="G58" s="40">
        <v>336</v>
      </c>
      <c r="H58" s="84">
        <f>6000+2443</f>
        <v>8443</v>
      </c>
      <c r="I58" s="40">
        <v>1350.88</v>
      </c>
      <c r="J58" s="40">
        <f t="shared" si="1"/>
        <v>10129.880000000001</v>
      </c>
      <c r="K58" s="40">
        <v>11936</v>
      </c>
      <c r="L58" s="40">
        <f t="shared" si="2"/>
        <v>-1806.119999999999</v>
      </c>
      <c r="M58" s="38" t="s">
        <v>35</v>
      </c>
      <c r="N58" s="54"/>
      <c r="O58" s="36"/>
      <c r="P58" s="40">
        <v>0</v>
      </c>
      <c r="Q58" s="40">
        <v>336</v>
      </c>
      <c r="R58" s="41"/>
      <c r="S58" s="40">
        <v>6000</v>
      </c>
      <c r="T58" s="40">
        <v>0</v>
      </c>
      <c r="U58" s="40">
        <v>2443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5"/>
        <v>0</v>
      </c>
      <c r="AJ58" s="93">
        <v>0.50800000000000001</v>
      </c>
      <c r="AK58" s="40" t="s">
        <v>1859</v>
      </c>
      <c r="AL58" s="40" t="s">
        <v>1884</v>
      </c>
      <c r="AM58"/>
      <c r="AN58" s="37"/>
      <c r="AP58" s="1"/>
      <c r="AQ58" s="1"/>
    </row>
    <row r="59" spans="1:43" x14ac:dyDescent="0.3">
      <c r="A59" s="38">
        <v>1</v>
      </c>
      <c r="B59" s="2" t="s">
        <v>1947</v>
      </c>
      <c r="C59" s="38" t="s">
        <v>1978</v>
      </c>
      <c r="D59" s="39">
        <v>45957</v>
      </c>
      <c r="E59" s="38" t="s">
        <v>40</v>
      </c>
      <c r="F59" s="38" t="s">
        <v>41</v>
      </c>
      <c r="G59" s="40">
        <v>0</v>
      </c>
      <c r="H59" s="84">
        <v>157906.32</v>
      </c>
      <c r="I59" s="40">
        <v>25265</v>
      </c>
      <c r="J59" s="40">
        <f t="shared" si="1"/>
        <v>183171.32</v>
      </c>
      <c r="K59" s="40">
        <v>0</v>
      </c>
      <c r="L59" s="40">
        <f t="shared" si="2"/>
        <v>183171.32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5522.46</v>
      </c>
      <c r="T59" s="40">
        <v>0</v>
      </c>
      <c r="U59" s="40">
        <v>35271.769999999997</v>
      </c>
      <c r="V59" s="40">
        <v>38099.589999999997</v>
      </c>
      <c r="W59" s="40">
        <f>12150+66000</f>
        <v>78150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862.5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5"/>
        <v>0</v>
      </c>
      <c r="AJ59" s="93">
        <v>0.189</v>
      </c>
      <c r="AK59" s="40" t="s">
        <v>1857</v>
      </c>
      <c r="AL59" s="40" t="s">
        <v>1844</v>
      </c>
      <c r="AM59"/>
      <c r="AN59" s="37"/>
      <c r="AP59" s="1"/>
      <c r="AQ59" s="1"/>
    </row>
    <row r="60" spans="1:43" x14ac:dyDescent="0.3">
      <c r="A60" s="38">
        <v>2</v>
      </c>
      <c r="B60" s="2" t="s">
        <v>1948</v>
      </c>
      <c r="C60" s="38" t="s">
        <v>1979</v>
      </c>
      <c r="D60" s="39">
        <v>45957</v>
      </c>
      <c r="E60" s="38" t="s">
        <v>40</v>
      </c>
      <c r="F60" s="38" t="s">
        <v>41</v>
      </c>
      <c r="G60" s="40">
        <v>0</v>
      </c>
      <c r="H60" s="84">
        <v>7154.42</v>
      </c>
      <c r="I60" s="40">
        <v>1144.71</v>
      </c>
      <c r="J60" s="40">
        <f t="shared" si="1"/>
        <v>8299.130000000001</v>
      </c>
      <c r="K60" s="40">
        <v>0</v>
      </c>
      <c r="L60" s="40">
        <f t="shared" si="2"/>
        <v>8299.130000000001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4200</v>
      </c>
      <c r="T60" s="40">
        <v>0</v>
      </c>
      <c r="U60" s="40">
        <v>0</v>
      </c>
      <c r="V60" s="40">
        <v>0</v>
      </c>
      <c r="W60" s="40">
        <v>2954.42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5"/>
        <v>0</v>
      </c>
      <c r="AJ60" s="93">
        <v>0.45900000000000002</v>
      </c>
      <c r="AK60" s="40" t="s">
        <v>1838</v>
      </c>
      <c r="AL60" s="40" t="s">
        <v>1839</v>
      </c>
      <c r="AM60"/>
      <c r="AN60" s="37"/>
      <c r="AP60" s="1"/>
      <c r="AQ60" s="1"/>
    </row>
    <row r="61" spans="1:43" x14ac:dyDescent="0.3">
      <c r="A61" s="38">
        <v>2</v>
      </c>
      <c r="B61" s="38" t="s">
        <v>1949</v>
      </c>
      <c r="C61" s="38" t="s">
        <v>1980</v>
      </c>
      <c r="D61" s="39">
        <v>45957</v>
      </c>
      <c r="E61" s="38" t="s">
        <v>40</v>
      </c>
      <c r="F61" s="38" t="s">
        <v>41</v>
      </c>
      <c r="G61" s="40">
        <v>0</v>
      </c>
      <c r="H61" s="84">
        <v>41500</v>
      </c>
      <c r="I61" s="40">
        <v>6640</v>
      </c>
      <c r="J61" s="40">
        <f t="shared" si="1"/>
        <v>48140</v>
      </c>
      <c r="K61" s="40">
        <v>0</v>
      </c>
      <c r="L61" s="40">
        <f t="shared" si="2"/>
        <v>48140</v>
      </c>
      <c r="M61" s="38" t="s">
        <v>35</v>
      </c>
      <c r="N61" s="54"/>
      <c r="O61" s="36"/>
      <c r="P61" s="40">
        <v>0</v>
      </c>
      <c r="Q61" s="40">
        <v>0</v>
      </c>
      <c r="R61" s="41"/>
      <c r="S61" s="40">
        <v>4500</v>
      </c>
      <c r="T61" s="40">
        <v>0</v>
      </c>
      <c r="U61" s="40">
        <v>0</v>
      </c>
      <c r="V61" s="40">
        <v>0</v>
      </c>
      <c r="W61" s="40">
        <v>37000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si="5"/>
        <v>0</v>
      </c>
      <c r="AJ61" s="93">
        <v>0.39</v>
      </c>
      <c r="AK61" s="40" t="s">
        <v>1859</v>
      </c>
      <c r="AL61" s="40" t="s">
        <v>1839</v>
      </c>
      <c r="AM61"/>
      <c r="AN61" s="37"/>
      <c r="AP61" s="1"/>
      <c r="AQ61" s="1"/>
    </row>
    <row r="62" spans="1:43" x14ac:dyDescent="0.3">
      <c r="A62" s="38">
        <v>1</v>
      </c>
      <c r="B62" s="38" t="s">
        <v>1950</v>
      </c>
      <c r="C62" s="38" t="s">
        <v>1793</v>
      </c>
      <c r="D62" s="39">
        <v>45957</v>
      </c>
      <c r="E62" s="38" t="s">
        <v>22</v>
      </c>
      <c r="F62" s="38" t="s">
        <v>45</v>
      </c>
      <c r="G62" s="40">
        <v>428</v>
      </c>
      <c r="H62" s="84">
        <v>3000</v>
      </c>
      <c r="I62" s="40">
        <v>480</v>
      </c>
      <c r="J62" s="40">
        <f t="shared" ref="J62:J99" si="6">SUM(G62:I62)</f>
        <v>3908</v>
      </c>
      <c r="K62" s="40">
        <v>3908</v>
      </c>
      <c r="L62" s="40">
        <f t="shared" si="2"/>
        <v>0</v>
      </c>
      <c r="M62" s="38" t="s">
        <v>35</v>
      </c>
      <c r="N62" s="54"/>
      <c r="O62" s="36"/>
      <c r="P62" s="40">
        <v>0</v>
      </c>
      <c r="Q62" s="40">
        <v>428</v>
      </c>
      <c r="R62" s="41"/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3000</v>
      </c>
      <c r="AI62" s="36">
        <f t="shared" ref="AI62:AI99" si="7">+SUM(S62:AH62)-H62</f>
        <v>0</v>
      </c>
      <c r="AJ62" s="93">
        <v>0.60299999999999998</v>
      </c>
      <c r="AK62" s="40" t="s">
        <v>1840</v>
      </c>
      <c r="AL62" s="40" t="s">
        <v>1884</v>
      </c>
      <c r="AM62"/>
      <c r="AN62" s="37"/>
      <c r="AP62" s="1"/>
      <c r="AQ62" s="1"/>
    </row>
    <row r="63" spans="1:43" x14ac:dyDescent="0.3">
      <c r="A63" s="38">
        <v>2</v>
      </c>
      <c r="B63" s="38" t="s">
        <v>1952</v>
      </c>
      <c r="C63" s="38" t="s">
        <v>1982</v>
      </c>
      <c r="D63" s="39">
        <v>45957</v>
      </c>
      <c r="E63" s="38" t="s">
        <v>198</v>
      </c>
      <c r="F63" s="38" t="s">
        <v>200</v>
      </c>
      <c r="G63" s="40">
        <v>0</v>
      </c>
      <c r="H63" s="90">
        <v>22000</v>
      </c>
      <c r="I63" s="40">
        <v>3520</v>
      </c>
      <c r="J63" s="40">
        <f t="shared" si="6"/>
        <v>25520</v>
      </c>
      <c r="K63" s="40">
        <v>25520</v>
      </c>
      <c r="L63" s="40">
        <f t="shared" si="2"/>
        <v>0</v>
      </c>
      <c r="M63" s="38" t="s">
        <v>35</v>
      </c>
      <c r="N63" s="54"/>
      <c r="O63" s="36"/>
      <c r="P63" s="40">
        <v>0</v>
      </c>
      <c r="Q63" s="40">
        <v>0</v>
      </c>
      <c r="R63" s="41"/>
      <c r="S63" s="40">
        <v>0</v>
      </c>
      <c r="T63" s="40">
        <v>0</v>
      </c>
      <c r="U63" s="40">
        <v>0</v>
      </c>
      <c r="V63" s="40">
        <v>0</v>
      </c>
      <c r="W63" s="40">
        <v>22000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si="7"/>
        <v>0</v>
      </c>
      <c r="AJ63" s="93">
        <v>0.45500000000000002</v>
      </c>
      <c r="AK63" s="40" t="s">
        <v>1842</v>
      </c>
      <c r="AL63" s="40" t="s">
        <v>1839</v>
      </c>
      <c r="AM63"/>
      <c r="AN63" s="37"/>
      <c r="AP63" s="1"/>
      <c r="AQ63" s="1"/>
    </row>
    <row r="64" spans="1:43" x14ac:dyDescent="0.3">
      <c r="A64" s="38">
        <v>1</v>
      </c>
      <c r="B64" s="38" t="s">
        <v>1954</v>
      </c>
      <c r="C64" s="38" t="s">
        <v>1984</v>
      </c>
      <c r="D64" s="39">
        <v>45958</v>
      </c>
      <c r="E64" s="38" t="s">
        <v>40</v>
      </c>
      <c r="F64" s="38" t="s">
        <v>41</v>
      </c>
      <c r="G64" s="40">
        <v>0</v>
      </c>
      <c r="H64" s="90">
        <v>31416.76</v>
      </c>
      <c r="I64" s="40">
        <v>5026.67</v>
      </c>
      <c r="J64" s="40">
        <f t="shared" si="6"/>
        <v>36443.43</v>
      </c>
      <c r="K64" s="40">
        <v>0</v>
      </c>
      <c r="L64" s="40">
        <f t="shared" si="2"/>
        <v>36443.43</v>
      </c>
      <c r="M64" s="38" t="s">
        <v>35</v>
      </c>
      <c r="N64" s="54"/>
      <c r="O64" s="36"/>
      <c r="P64" s="40">
        <v>0</v>
      </c>
      <c r="Q64" s="40">
        <v>0</v>
      </c>
      <c r="R64" s="41"/>
      <c r="S64" s="40">
        <v>3704.4</v>
      </c>
      <c r="T64" s="40">
        <v>4600</v>
      </c>
      <c r="U64" s="40">
        <v>9672.65</v>
      </c>
      <c r="V64" s="40">
        <v>1964.71</v>
      </c>
      <c r="W64" s="40">
        <v>11475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7"/>
        <v>0</v>
      </c>
      <c r="AJ64" s="93">
        <v>0.20300000000000001</v>
      </c>
      <c r="AK64" s="40" t="s">
        <v>1857</v>
      </c>
      <c r="AL64" s="40" t="s">
        <v>1884</v>
      </c>
      <c r="AM64"/>
      <c r="AN64" s="37"/>
      <c r="AP64" s="1"/>
      <c r="AQ64" s="1"/>
    </row>
    <row r="65" spans="1:43" x14ac:dyDescent="0.3">
      <c r="A65" s="38">
        <v>1</v>
      </c>
      <c r="B65" s="38" t="s">
        <v>1955</v>
      </c>
      <c r="C65" s="38" t="s">
        <v>1985</v>
      </c>
      <c r="D65" s="39">
        <v>45958</v>
      </c>
      <c r="E65" s="38" t="s">
        <v>40</v>
      </c>
      <c r="F65" s="38" t="s">
        <v>41</v>
      </c>
      <c r="G65" s="40">
        <v>0</v>
      </c>
      <c r="H65" s="84">
        <v>75072.009999999995</v>
      </c>
      <c r="I65" s="40">
        <v>12011.52</v>
      </c>
      <c r="J65" s="40">
        <f t="shared" si="6"/>
        <v>87083.53</v>
      </c>
      <c r="K65" s="40">
        <v>0</v>
      </c>
      <c r="L65" s="40">
        <f t="shared" si="2"/>
        <v>87083.53</v>
      </c>
      <c r="M65" s="38" t="s">
        <v>35</v>
      </c>
      <c r="N65" s="54"/>
      <c r="O65" s="36"/>
      <c r="P65" s="40">
        <v>0</v>
      </c>
      <c r="Q65" s="40">
        <v>0</v>
      </c>
      <c r="R65" s="41"/>
      <c r="S65" s="40">
        <v>5567.01</v>
      </c>
      <c r="T65" s="40">
        <v>0</v>
      </c>
      <c r="U65" s="40">
        <v>25750</v>
      </c>
      <c r="V65" s="40">
        <v>0</v>
      </c>
      <c r="W65" s="40">
        <f>1755+42000</f>
        <v>43755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7"/>
        <v>0</v>
      </c>
      <c r="AJ65" s="93">
        <v>0.191</v>
      </c>
      <c r="AK65" s="40" t="s">
        <v>1857</v>
      </c>
      <c r="AL65" s="40" t="s">
        <v>1844</v>
      </c>
      <c r="AM65"/>
      <c r="AN65" s="37"/>
      <c r="AP65" s="1"/>
      <c r="AQ65" s="1"/>
    </row>
    <row r="66" spans="1:43" x14ac:dyDescent="0.3">
      <c r="A66" s="38">
        <v>1</v>
      </c>
      <c r="B66" s="38" t="s">
        <v>1957</v>
      </c>
      <c r="C66" s="38" t="s">
        <v>1986</v>
      </c>
      <c r="D66" s="39">
        <v>45958</v>
      </c>
      <c r="E66" s="38" t="s">
        <v>53</v>
      </c>
      <c r="F66" s="38" t="s">
        <v>199</v>
      </c>
      <c r="G66" s="40">
        <v>2561</v>
      </c>
      <c r="H66" s="84">
        <f>40881.65-G66</f>
        <v>38320.65</v>
      </c>
      <c r="I66" s="40">
        <v>6131.3</v>
      </c>
      <c r="J66" s="40">
        <f t="shared" si="6"/>
        <v>47012.950000000004</v>
      </c>
      <c r="K66" s="40">
        <v>54752</v>
      </c>
      <c r="L66" s="40">
        <f t="shared" ref="L66:L99" si="8">+J66-K66</f>
        <v>-7739.0499999999956</v>
      </c>
      <c r="M66" s="38" t="s">
        <v>35</v>
      </c>
      <c r="N66" s="54"/>
      <c r="O66" s="36"/>
      <c r="P66" s="40">
        <v>0</v>
      </c>
      <c r="Q66" s="40">
        <v>2561</v>
      </c>
      <c r="R66" s="41"/>
      <c r="S66" s="40">
        <v>7200</v>
      </c>
      <c r="T66" s="40">
        <v>0</v>
      </c>
      <c r="U66" s="40">
        <v>28120.65</v>
      </c>
      <c r="V66" s="40">
        <v>0</v>
      </c>
      <c r="W66" s="40">
        <v>0</v>
      </c>
      <c r="X66" s="40">
        <v>3000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si="7"/>
        <v>0</v>
      </c>
      <c r="AJ66" s="93">
        <v>0.20599999999999999</v>
      </c>
      <c r="AK66" s="40" t="s">
        <v>1858</v>
      </c>
      <c r="AL66" s="40" t="s">
        <v>1884</v>
      </c>
      <c r="AM66"/>
      <c r="AN66" s="37"/>
      <c r="AP66" s="1"/>
      <c r="AQ66" s="1"/>
    </row>
    <row r="67" spans="1:43" x14ac:dyDescent="0.3">
      <c r="A67" s="38">
        <v>1</v>
      </c>
      <c r="B67" s="38" t="s">
        <v>1958</v>
      </c>
      <c r="C67" s="38" t="s">
        <v>1987</v>
      </c>
      <c r="D67" s="39">
        <v>45958</v>
      </c>
      <c r="E67" s="38" t="s">
        <v>53</v>
      </c>
      <c r="F67" s="38" t="s">
        <v>199</v>
      </c>
      <c r="G67" s="40">
        <v>0</v>
      </c>
      <c r="H67" s="84">
        <v>17490.11</v>
      </c>
      <c r="I67" s="40">
        <v>2798.42</v>
      </c>
      <c r="J67" s="40">
        <f t="shared" si="6"/>
        <v>20288.53</v>
      </c>
      <c r="K67" s="40">
        <v>54752</v>
      </c>
      <c r="L67" s="40">
        <f t="shared" si="8"/>
        <v>-34463.47</v>
      </c>
      <c r="M67" s="38" t="s">
        <v>35</v>
      </c>
      <c r="N67" s="54"/>
      <c r="O67" s="36"/>
      <c r="P67" s="40">
        <v>0</v>
      </c>
      <c r="Q67" s="40">
        <v>0</v>
      </c>
      <c r="R67" s="41"/>
      <c r="S67" s="40">
        <v>7200</v>
      </c>
      <c r="T67" s="40">
        <v>0</v>
      </c>
      <c r="U67" s="40">
        <v>10290.11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7"/>
        <v>0</v>
      </c>
      <c r="AJ67" s="93">
        <v>0.185</v>
      </c>
      <c r="AK67" s="40" t="s">
        <v>1858</v>
      </c>
      <c r="AL67" s="40" t="s">
        <v>1884</v>
      </c>
      <c r="AM67"/>
      <c r="AN67" s="37"/>
      <c r="AP67" s="1"/>
      <c r="AQ67" s="1"/>
    </row>
    <row r="68" spans="1:43" x14ac:dyDescent="0.3">
      <c r="A68" s="38">
        <v>1</v>
      </c>
      <c r="B68" s="38" t="s">
        <v>1959</v>
      </c>
      <c r="C68" s="38" t="s">
        <v>1988</v>
      </c>
      <c r="D68" s="39">
        <v>45958</v>
      </c>
      <c r="E68" s="38" t="s">
        <v>53</v>
      </c>
      <c r="F68" s="38" t="s">
        <v>199</v>
      </c>
      <c r="G68" s="40">
        <v>0</v>
      </c>
      <c r="H68" s="84">
        <v>27809.16</v>
      </c>
      <c r="I68" s="40">
        <v>4449.47</v>
      </c>
      <c r="J68" s="40">
        <f t="shared" si="6"/>
        <v>32258.63</v>
      </c>
      <c r="K68" s="40">
        <v>54752</v>
      </c>
      <c r="L68" s="40">
        <f t="shared" si="8"/>
        <v>-22493.37</v>
      </c>
      <c r="M68" s="38" t="s">
        <v>35</v>
      </c>
      <c r="N68" s="54"/>
      <c r="O68" s="36"/>
      <c r="P68" s="40">
        <v>0</v>
      </c>
      <c r="Q68" s="40">
        <v>0</v>
      </c>
      <c r="R68" s="41"/>
      <c r="S68" s="40">
        <v>7200</v>
      </c>
      <c r="T68" s="40">
        <v>0</v>
      </c>
      <c r="U68" s="40">
        <v>20609.16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7"/>
        <v>0</v>
      </c>
      <c r="AJ68" s="93">
        <v>0.17899999999999999</v>
      </c>
      <c r="AK68" s="40" t="s">
        <v>1858</v>
      </c>
      <c r="AL68" s="40" t="s">
        <v>1884</v>
      </c>
      <c r="AM68"/>
      <c r="AN68" s="37"/>
      <c r="AP68" s="1"/>
      <c r="AQ68" s="1"/>
    </row>
    <row r="69" spans="1:43" x14ac:dyDescent="0.3">
      <c r="A69" s="38">
        <v>1</v>
      </c>
      <c r="B69" s="38" t="s">
        <v>1960</v>
      </c>
      <c r="C69" s="38" t="s">
        <v>1989</v>
      </c>
      <c r="D69" s="39">
        <v>45958</v>
      </c>
      <c r="E69" s="38" t="s">
        <v>53</v>
      </c>
      <c r="F69" s="38" t="s">
        <v>199</v>
      </c>
      <c r="G69" s="40">
        <v>1226</v>
      </c>
      <c r="H69" s="84">
        <f>7200+10290.13</f>
        <v>17490.129999999997</v>
      </c>
      <c r="I69" s="40">
        <v>2798.42</v>
      </c>
      <c r="J69" s="40">
        <f t="shared" si="6"/>
        <v>21514.549999999996</v>
      </c>
      <c r="K69" s="40">
        <v>54752</v>
      </c>
      <c r="L69" s="40">
        <f t="shared" si="8"/>
        <v>-33237.450000000004</v>
      </c>
      <c r="M69" s="38" t="s">
        <v>35</v>
      </c>
      <c r="N69" s="54"/>
      <c r="O69" s="36"/>
      <c r="P69" s="40">
        <v>0</v>
      </c>
      <c r="Q69" s="40">
        <v>1226</v>
      </c>
      <c r="R69" s="41"/>
      <c r="S69" s="40">
        <v>7200</v>
      </c>
      <c r="T69" s="40">
        <v>0</v>
      </c>
      <c r="U69" s="40">
        <v>10290.129999999999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7"/>
        <v>0</v>
      </c>
      <c r="AJ69" s="93">
        <v>0.20399999999999999</v>
      </c>
      <c r="AK69" s="40" t="s">
        <v>1858</v>
      </c>
      <c r="AL69" s="40" t="s">
        <v>1884</v>
      </c>
      <c r="AM69"/>
      <c r="AN69" s="37"/>
      <c r="AP69" s="1"/>
      <c r="AQ69" s="1"/>
    </row>
    <row r="70" spans="1:43" ht="15.6" customHeight="1" x14ac:dyDescent="0.3">
      <c r="A70" s="38">
        <v>2</v>
      </c>
      <c r="B70" s="38" t="s">
        <v>1961</v>
      </c>
      <c r="C70" s="38" t="s">
        <v>1990</v>
      </c>
      <c r="D70" s="39">
        <v>45958</v>
      </c>
      <c r="E70" s="38" t="s">
        <v>22</v>
      </c>
      <c r="F70" s="38" t="s">
        <v>45</v>
      </c>
      <c r="G70" s="40">
        <v>0</v>
      </c>
      <c r="H70" s="90">
        <v>4200</v>
      </c>
      <c r="I70" s="40">
        <v>672</v>
      </c>
      <c r="J70" s="40">
        <f t="shared" si="6"/>
        <v>4872</v>
      </c>
      <c r="K70" s="40">
        <v>4872</v>
      </c>
      <c r="L70" s="40">
        <f t="shared" si="8"/>
        <v>0</v>
      </c>
      <c r="M70" s="38" t="s">
        <v>35</v>
      </c>
      <c r="N70" s="54"/>
      <c r="O70" s="36"/>
      <c r="P70" s="40">
        <v>0</v>
      </c>
      <c r="Q70" s="40">
        <v>0</v>
      </c>
      <c r="R70" s="41"/>
      <c r="S70" s="40">
        <v>4200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36">
        <f t="shared" si="7"/>
        <v>0</v>
      </c>
      <c r="AJ70" s="93">
        <v>0.61899999999999999</v>
      </c>
      <c r="AK70" s="40" t="s">
        <v>1842</v>
      </c>
      <c r="AL70" s="40" t="s">
        <v>1839</v>
      </c>
      <c r="AM70"/>
      <c r="AN70" s="37"/>
      <c r="AP70" s="1"/>
      <c r="AQ70" s="1"/>
    </row>
    <row r="71" spans="1:43" ht="15.6" customHeight="1" x14ac:dyDescent="0.3">
      <c r="A71" s="38">
        <v>2</v>
      </c>
      <c r="B71" s="38" t="s">
        <v>1962</v>
      </c>
      <c r="C71" s="38" t="s">
        <v>1991</v>
      </c>
      <c r="D71" s="39">
        <v>45958</v>
      </c>
      <c r="E71" s="38" t="s">
        <v>22</v>
      </c>
      <c r="F71" s="38" t="s">
        <v>45</v>
      </c>
      <c r="G71" s="40">
        <v>336</v>
      </c>
      <c r="H71" s="84">
        <v>4200</v>
      </c>
      <c r="I71" s="40">
        <v>672</v>
      </c>
      <c r="J71" s="40">
        <f t="shared" si="6"/>
        <v>5208</v>
      </c>
      <c r="K71" s="40">
        <v>5208</v>
      </c>
      <c r="L71" s="40">
        <f t="shared" si="8"/>
        <v>0</v>
      </c>
      <c r="M71" s="38" t="s">
        <v>35</v>
      </c>
      <c r="N71" s="54"/>
      <c r="O71" s="36"/>
      <c r="P71" s="40">
        <v>0</v>
      </c>
      <c r="Q71" s="40">
        <v>336</v>
      </c>
      <c r="R71" s="41"/>
      <c r="S71" s="40">
        <v>4200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7"/>
        <v>0</v>
      </c>
      <c r="AJ71" s="93">
        <v>0.61899999999999999</v>
      </c>
      <c r="AK71" s="40" t="s">
        <v>1840</v>
      </c>
      <c r="AL71" s="40" t="s">
        <v>1839</v>
      </c>
      <c r="AM71"/>
      <c r="AN71" s="37"/>
      <c r="AP71" s="1"/>
      <c r="AQ71" s="1"/>
    </row>
    <row r="72" spans="1:43" ht="15.6" customHeight="1" x14ac:dyDescent="0.3">
      <c r="A72" s="38">
        <v>2</v>
      </c>
      <c r="B72" s="38" t="s">
        <v>1963</v>
      </c>
      <c r="C72" s="38" t="s">
        <v>1992</v>
      </c>
      <c r="D72" s="39">
        <v>45958</v>
      </c>
      <c r="E72" s="38" t="s">
        <v>22</v>
      </c>
      <c r="F72" s="38" t="s">
        <v>45</v>
      </c>
      <c r="G72" s="40">
        <v>336</v>
      </c>
      <c r="H72" s="84">
        <v>4200</v>
      </c>
      <c r="I72" s="40">
        <v>672</v>
      </c>
      <c r="J72" s="40">
        <f t="shared" si="6"/>
        <v>5208</v>
      </c>
      <c r="K72" s="40">
        <v>5208</v>
      </c>
      <c r="L72" s="40">
        <f t="shared" si="8"/>
        <v>0</v>
      </c>
      <c r="M72" s="38" t="s">
        <v>35</v>
      </c>
      <c r="N72" s="54"/>
      <c r="O72" s="36"/>
      <c r="P72" s="40">
        <v>0</v>
      </c>
      <c r="Q72" s="40">
        <v>336</v>
      </c>
      <c r="R72" s="41"/>
      <c r="S72" s="40">
        <v>4200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36">
        <f t="shared" si="7"/>
        <v>0</v>
      </c>
      <c r="AJ72" s="93">
        <v>0.61899999999999999</v>
      </c>
      <c r="AK72" s="40" t="s">
        <v>1840</v>
      </c>
      <c r="AL72" s="40" t="s">
        <v>1839</v>
      </c>
      <c r="AM72"/>
      <c r="AN72" s="37"/>
      <c r="AP72" s="1"/>
      <c r="AQ72" s="1"/>
    </row>
    <row r="73" spans="1:43" ht="15.6" customHeight="1" x14ac:dyDescent="0.3">
      <c r="A73" s="38">
        <v>1</v>
      </c>
      <c r="B73" s="38" t="s">
        <v>1964</v>
      </c>
      <c r="C73" s="38" t="s">
        <v>1943</v>
      </c>
      <c r="D73" s="39">
        <v>45959</v>
      </c>
      <c r="E73" s="38" t="s">
        <v>53</v>
      </c>
      <c r="F73" s="38" t="s">
        <v>199</v>
      </c>
      <c r="G73" s="40">
        <v>428</v>
      </c>
      <c r="H73" s="84">
        <v>3500</v>
      </c>
      <c r="I73" s="40">
        <v>560</v>
      </c>
      <c r="J73" s="40">
        <f t="shared" si="6"/>
        <v>4488</v>
      </c>
      <c r="K73" s="40">
        <v>4488</v>
      </c>
      <c r="L73" s="40">
        <f t="shared" si="8"/>
        <v>0</v>
      </c>
      <c r="M73" s="38" t="s">
        <v>35</v>
      </c>
      <c r="N73" s="54"/>
      <c r="O73" s="36"/>
      <c r="P73" s="40">
        <v>0</v>
      </c>
      <c r="Q73" s="40">
        <v>428</v>
      </c>
      <c r="R73" s="41"/>
      <c r="S73" s="40">
        <v>3500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7"/>
        <v>0</v>
      </c>
      <c r="AJ73" s="93">
        <v>0.28000000000000003</v>
      </c>
      <c r="AK73" s="40" t="s">
        <v>1858</v>
      </c>
      <c r="AL73" s="40" t="s">
        <v>1884</v>
      </c>
      <c r="AM73"/>
      <c r="AN73" s="37"/>
      <c r="AP73" s="1"/>
      <c r="AQ73" s="1"/>
    </row>
    <row r="74" spans="1:43" ht="15.6" customHeight="1" x14ac:dyDescent="0.3">
      <c r="A74" s="38">
        <v>1</v>
      </c>
      <c r="B74" s="38" t="s">
        <v>1965</v>
      </c>
      <c r="C74" s="38" t="s">
        <v>1993</v>
      </c>
      <c r="D74" s="39">
        <v>45959</v>
      </c>
      <c r="E74" s="38" t="s">
        <v>22</v>
      </c>
      <c r="F74" s="38" t="s">
        <v>45</v>
      </c>
      <c r="G74" s="40">
        <v>336</v>
      </c>
      <c r="H74" s="84">
        <f>6000+4000</f>
        <v>10000</v>
      </c>
      <c r="I74" s="40">
        <v>1600</v>
      </c>
      <c r="J74" s="40">
        <f t="shared" si="6"/>
        <v>11936</v>
      </c>
      <c r="K74" s="40">
        <v>11936</v>
      </c>
      <c r="L74" s="40">
        <f t="shared" si="8"/>
        <v>0</v>
      </c>
      <c r="M74" s="38" t="s">
        <v>35</v>
      </c>
      <c r="N74" s="54"/>
      <c r="O74" s="36"/>
      <c r="P74" s="40">
        <v>0</v>
      </c>
      <c r="Q74" s="40">
        <v>336</v>
      </c>
      <c r="R74" s="41"/>
      <c r="S74" s="40">
        <v>6000</v>
      </c>
      <c r="T74" s="40">
        <v>0</v>
      </c>
      <c r="U74" s="40">
        <v>4000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7"/>
        <v>0</v>
      </c>
      <c r="AJ74" s="93">
        <v>0.45700000000000002</v>
      </c>
      <c r="AK74" s="40" t="s">
        <v>1840</v>
      </c>
      <c r="AL74" s="40" t="s">
        <v>1884</v>
      </c>
      <c r="AM74"/>
      <c r="AN74" s="37"/>
      <c r="AP74" s="1"/>
      <c r="AQ74" s="1"/>
    </row>
    <row r="75" spans="1:43" ht="15.6" customHeight="1" x14ac:dyDescent="0.3">
      <c r="A75" s="38">
        <v>1</v>
      </c>
      <c r="B75" s="38" t="s">
        <v>1966</v>
      </c>
      <c r="C75" s="38" t="s">
        <v>1994</v>
      </c>
      <c r="D75" s="39">
        <v>45960</v>
      </c>
      <c r="E75" s="38" t="s">
        <v>22</v>
      </c>
      <c r="F75" s="38" t="s">
        <v>45</v>
      </c>
      <c r="G75" s="40">
        <v>336</v>
      </c>
      <c r="H75" s="84">
        <f>6000+2290</f>
        <v>8290</v>
      </c>
      <c r="I75" s="40">
        <v>1326.4</v>
      </c>
      <c r="J75" s="40">
        <f t="shared" si="6"/>
        <v>9952.4</v>
      </c>
      <c r="K75" s="40">
        <v>11936</v>
      </c>
      <c r="L75" s="40">
        <f t="shared" si="8"/>
        <v>-1983.6000000000004</v>
      </c>
      <c r="M75" s="38" t="s">
        <v>35</v>
      </c>
      <c r="N75" s="54"/>
      <c r="O75" s="36"/>
      <c r="P75" s="40">
        <v>0</v>
      </c>
      <c r="Q75" s="40">
        <v>336</v>
      </c>
      <c r="R75" s="41"/>
      <c r="S75" s="40">
        <v>6000</v>
      </c>
      <c r="T75" s="40">
        <v>0</v>
      </c>
      <c r="U75" s="40">
        <v>2290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7"/>
        <v>0</v>
      </c>
      <c r="AJ75" s="93">
        <v>0.51300000000000001</v>
      </c>
      <c r="AK75" s="40" t="s">
        <v>1840</v>
      </c>
      <c r="AL75" s="40" t="s">
        <v>1884</v>
      </c>
      <c r="AM75"/>
      <c r="AN75" s="37"/>
      <c r="AP75" s="1"/>
      <c r="AQ75" s="1"/>
    </row>
    <row r="76" spans="1:43" ht="15.6" customHeight="1" x14ac:dyDescent="0.3">
      <c r="A76" s="38">
        <v>1</v>
      </c>
      <c r="B76" s="38" t="s">
        <v>1967</v>
      </c>
      <c r="C76" s="38" t="s">
        <v>1995</v>
      </c>
      <c r="D76" s="39">
        <v>45960</v>
      </c>
      <c r="E76" s="38" t="s">
        <v>53</v>
      </c>
      <c r="F76" s="38" t="s">
        <v>199</v>
      </c>
      <c r="G76" s="40">
        <v>0</v>
      </c>
      <c r="H76" s="84">
        <v>139110.76999999999</v>
      </c>
      <c r="I76" s="40">
        <v>22257.72</v>
      </c>
      <c r="J76" s="40">
        <f t="shared" si="6"/>
        <v>161368.49</v>
      </c>
      <c r="K76" s="40">
        <v>161368.49</v>
      </c>
      <c r="L76" s="40">
        <f t="shared" si="8"/>
        <v>0</v>
      </c>
      <c r="M76" s="38" t="s">
        <v>35</v>
      </c>
      <c r="N76" s="54"/>
      <c r="O76" s="36"/>
      <c r="P76" s="40">
        <v>0</v>
      </c>
      <c r="Q76" s="40">
        <v>0</v>
      </c>
      <c r="R76" s="41"/>
      <c r="S76" s="40">
        <v>7200</v>
      </c>
      <c r="T76" s="40">
        <v>0</v>
      </c>
      <c r="U76" s="40">
        <f>40000+90110.77</f>
        <v>130110.77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1800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36">
        <f t="shared" si="7"/>
        <v>0</v>
      </c>
      <c r="AJ76" s="93">
        <v>0.14399999999999999</v>
      </c>
      <c r="AK76" s="40" t="s">
        <v>1858</v>
      </c>
      <c r="AL76" s="40" t="s">
        <v>1884</v>
      </c>
      <c r="AM76"/>
      <c r="AN76" s="37"/>
      <c r="AP76" s="1"/>
      <c r="AQ76" s="1"/>
    </row>
    <row r="77" spans="1:43" ht="15.6" customHeight="1" x14ac:dyDescent="0.3">
      <c r="A77" s="38">
        <v>2</v>
      </c>
      <c r="B77" s="38" t="s">
        <v>1968</v>
      </c>
      <c r="C77" s="38" t="s">
        <v>1996</v>
      </c>
      <c r="D77" s="39">
        <v>45960</v>
      </c>
      <c r="E77" s="38" t="s">
        <v>22</v>
      </c>
      <c r="F77" s="38" t="s">
        <v>45</v>
      </c>
      <c r="G77" s="40">
        <v>336</v>
      </c>
      <c r="H77" s="84">
        <v>4200</v>
      </c>
      <c r="I77" s="40">
        <v>672</v>
      </c>
      <c r="J77" s="40">
        <f t="shared" si="6"/>
        <v>5208</v>
      </c>
      <c r="K77" s="40">
        <v>5208</v>
      </c>
      <c r="L77" s="40">
        <f t="shared" si="8"/>
        <v>0</v>
      </c>
      <c r="M77" s="38" t="s">
        <v>35</v>
      </c>
      <c r="N77" s="54"/>
      <c r="O77" s="36"/>
      <c r="P77" s="40">
        <v>0</v>
      </c>
      <c r="Q77" s="40">
        <v>336</v>
      </c>
      <c r="R77" s="41"/>
      <c r="S77" s="40">
        <v>4200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36">
        <f t="shared" si="7"/>
        <v>0</v>
      </c>
      <c r="AJ77" s="93">
        <v>0.61899999999999999</v>
      </c>
      <c r="AK77" s="40" t="s">
        <v>1842</v>
      </c>
      <c r="AL77" s="40" t="s">
        <v>1839</v>
      </c>
      <c r="AM77"/>
      <c r="AN77" s="37"/>
      <c r="AP77" s="1"/>
      <c r="AQ77" s="1"/>
    </row>
    <row r="78" spans="1:43" ht="15.6" customHeight="1" x14ac:dyDescent="0.3">
      <c r="A78" s="38">
        <v>1</v>
      </c>
      <c r="B78" s="38" t="s">
        <v>1969</v>
      </c>
      <c r="C78" s="38" t="s">
        <v>1997</v>
      </c>
      <c r="D78" s="39">
        <v>45960</v>
      </c>
      <c r="E78" s="38" t="s">
        <v>22</v>
      </c>
      <c r="F78" s="38" t="s">
        <v>45</v>
      </c>
      <c r="G78" s="40">
        <v>336</v>
      </c>
      <c r="H78" s="84">
        <f>6000+1057</f>
        <v>7057</v>
      </c>
      <c r="I78" s="40">
        <v>1129.1199999999999</v>
      </c>
      <c r="J78" s="40">
        <f t="shared" si="6"/>
        <v>8522.119999999999</v>
      </c>
      <c r="K78" s="40">
        <v>11936</v>
      </c>
      <c r="L78" s="40">
        <f t="shared" si="8"/>
        <v>-3413.880000000001</v>
      </c>
      <c r="M78" s="38" t="s">
        <v>35</v>
      </c>
      <c r="N78" s="54"/>
      <c r="O78" s="36"/>
      <c r="P78" s="40">
        <v>0</v>
      </c>
      <c r="Q78" s="40">
        <v>336</v>
      </c>
      <c r="R78" s="41"/>
      <c r="S78" s="40">
        <v>6000</v>
      </c>
      <c r="T78" s="40">
        <v>0</v>
      </c>
      <c r="U78" s="40">
        <v>1057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7"/>
        <v>0</v>
      </c>
      <c r="AJ78" s="93">
        <v>0.56200000000000006</v>
      </c>
      <c r="AK78" s="40" t="s">
        <v>1842</v>
      </c>
      <c r="AL78" s="40" t="s">
        <v>1884</v>
      </c>
      <c r="AM78"/>
      <c r="AN78" s="37"/>
      <c r="AP78" s="1"/>
      <c r="AQ78" s="1"/>
    </row>
    <row r="79" spans="1:43" ht="15.6" customHeight="1" x14ac:dyDescent="0.3">
      <c r="A79" s="38">
        <v>2</v>
      </c>
      <c r="B79" s="38" t="s">
        <v>1970</v>
      </c>
      <c r="C79" s="38" t="s">
        <v>1998</v>
      </c>
      <c r="D79" s="39">
        <v>45960</v>
      </c>
      <c r="E79" s="38" t="s">
        <v>22</v>
      </c>
      <c r="F79" s="38" t="s">
        <v>45</v>
      </c>
      <c r="G79" s="40">
        <v>336</v>
      </c>
      <c r="H79" s="84">
        <v>4200</v>
      </c>
      <c r="I79" s="40">
        <v>672</v>
      </c>
      <c r="J79" s="40">
        <f t="shared" si="6"/>
        <v>5208</v>
      </c>
      <c r="K79" s="40">
        <v>5208</v>
      </c>
      <c r="L79" s="40">
        <f t="shared" si="8"/>
        <v>0</v>
      </c>
      <c r="M79" s="38" t="s">
        <v>35</v>
      </c>
      <c r="N79" s="54"/>
      <c r="O79" s="36"/>
      <c r="P79" s="40">
        <v>0</v>
      </c>
      <c r="Q79" s="40">
        <v>336</v>
      </c>
      <c r="R79" s="41"/>
      <c r="S79" s="40">
        <v>4200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7"/>
        <v>0</v>
      </c>
      <c r="AJ79" s="93">
        <v>0.61899999999999999</v>
      </c>
      <c r="AK79" s="40" t="s">
        <v>1842</v>
      </c>
      <c r="AL79" s="40" t="s">
        <v>1839</v>
      </c>
      <c r="AM79"/>
      <c r="AN79" s="37"/>
      <c r="AP79" s="1"/>
      <c r="AQ79" s="1"/>
    </row>
    <row r="80" spans="1:43" ht="15.6" customHeight="1" x14ac:dyDescent="0.3">
      <c r="A80" s="38">
        <v>1</v>
      </c>
      <c r="B80" s="38" t="s">
        <v>1971</v>
      </c>
      <c r="C80" s="38" t="s">
        <v>1999</v>
      </c>
      <c r="D80" s="39">
        <v>45960</v>
      </c>
      <c r="E80" s="38" t="s">
        <v>1972</v>
      </c>
      <c r="F80" s="38" t="s">
        <v>2000</v>
      </c>
      <c r="G80" s="40">
        <v>43063</v>
      </c>
      <c r="H80" s="84">
        <f>7200+9636.42+44120</f>
        <v>60956.42</v>
      </c>
      <c r="I80" s="40">
        <v>9753.0300000000007</v>
      </c>
      <c r="J80" s="40">
        <f t="shared" si="6"/>
        <v>113772.45</v>
      </c>
      <c r="K80" s="40">
        <v>125794.2</v>
      </c>
      <c r="L80" s="40">
        <f t="shared" si="8"/>
        <v>-12021.75</v>
      </c>
      <c r="M80" s="38" t="s">
        <v>35</v>
      </c>
      <c r="N80" s="54"/>
      <c r="O80" s="36"/>
      <c r="P80" s="40">
        <v>0</v>
      </c>
      <c r="Q80" s="40">
        <v>43063</v>
      </c>
      <c r="R80" s="41"/>
      <c r="S80" s="40">
        <v>7200</v>
      </c>
      <c r="T80" s="40">
        <v>0</v>
      </c>
      <c r="U80" s="40">
        <v>9636.42</v>
      </c>
      <c r="V80" s="40">
        <v>0</v>
      </c>
      <c r="W80" s="40">
        <v>44120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36">
        <f t="shared" si="7"/>
        <v>0</v>
      </c>
      <c r="AJ80" s="93">
        <v>0.22900000000000001</v>
      </c>
      <c r="AK80" s="40" t="s">
        <v>1858</v>
      </c>
      <c r="AL80" s="40" t="s">
        <v>1884</v>
      </c>
      <c r="AM80"/>
      <c r="AN80" s="37"/>
      <c r="AP80" s="1"/>
      <c r="AQ80" s="1"/>
    </row>
    <row r="81" spans="1:43" ht="15.6" customHeight="1" x14ac:dyDescent="0.3">
      <c r="A81" s="38">
        <v>1</v>
      </c>
      <c r="B81" s="38" t="s">
        <v>1973</v>
      </c>
      <c r="C81" s="38" t="s">
        <v>2001</v>
      </c>
      <c r="D81" s="39">
        <v>45960</v>
      </c>
      <c r="E81" s="38" t="s">
        <v>53</v>
      </c>
      <c r="F81" s="38" t="s">
        <v>199</v>
      </c>
      <c r="G81" s="40">
        <v>781</v>
      </c>
      <c r="H81" s="84">
        <f>102127.36-G81</f>
        <v>101346.36</v>
      </c>
      <c r="I81" s="40">
        <v>16215.43</v>
      </c>
      <c r="J81" s="40">
        <f t="shared" si="6"/>
        <v>118342.79000000001</v>
      </c>
      <c r="K81" s="40">
        <v>231806.6</v>
      </c>
      <c r="L81" s="40">
        <f t="shared" si="8"/>
        <v>-113463.81</v>
      </c>
      <c r="M81" s="38" t="s">
        <v>35</v>
      </c>
      <c r="N81" s="54"/>
      <c r="O81" s="36"/>
      <c r="P81" s="40">
        <v>0</v>
      </c>
      <c r="Q81" s="40">
        <v>781</v>
      </c>
      <c r="R81" s="41"/>
      <c r="S81" s="40">
        <v>13271.98</v>
      </c>
      <c r="T81" s="40">
        <v>0</v>
      </c>
      <c r="U81" s="40">
        <v>55076.72</v>
      </c>
      <c r="V81" s="40">
        <v>31647.66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1350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36">
        <f t="shared" si="7"/>
        <v>0</v>
      </c>
      <c r="AJ81" s="93">
        <v>0.151</v>
      </c>
      <c r="AK81" s="40" t="s">
        <v>1843</v>
      </c>
      <c r="AL81" s="40" t="s">
        <v>1844</v>
      </c>
      <c r="AM81"/>
      <c r="AN81" s="37"/>
      <c r="AP81" s="1"/>
      <c r="AQ81" s="1"/>
    </row>
    <row r="82" spans="1:43" ht="15.6" customHeight="1" x14ac:dyDescent="0.3">
      <c r="A82" s="38">
        <v>1</v>
      </c>
      <c r="B82" s="38" t="s">
        <v>1975</v>
      </c>
      <c r="C82" s="38" t="s">
        <v>1647</v>
      </c>
      <c r="D82" s="39">
        <v>45961</v>
      </c>
      <c r="E82" s="38" t="s">
        <v>157</v>
      </c>
      <c r="F82" s="38" t="s">
        <v>1378</v>
      </c>
      <c r="G82" s="40">
        <v>62239</v>
      </c>
      <c r="H82" s="84">
        <f>78034.55-G82</f>
        <v>15795.550000000003</v>
      </c>
      <c r="I82" s="40">
        <v>2527.29</v>
      </c>
      <c r="J82" s="40">
        <f t="shared" si="6"/>
        <v>80561.84</v>
      </c>
      <c r="K82" s="40">
        <v>62239</v>
      </c>
      <c r="L82" s="40">
        <f t="shared" si="8"/>
        <v>18322.839999999997</v>
      </c>
      <c r="M82" s="38" t="s">
        <v>35</v>
      </c>
      <c r="N82" s="54"/>
      <c r="O82" s="36"/>
      <c r="P82" s="40">
        <v>0</v>
      </c>
      <c r="Q82" s="40">
        <v>62239</v>
      </c>
      <c r="R82" s="41"/>
      <c r="S82" s="40">
        <v>0</v>
      </c>
      <c r="T82" s="40">
        <v>1302</v>
      </c>
      <c r="U82" s="40">
        <v>7002.11</v>
      </c>
      <c r="V82" s="40">
        <v>5299.54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2191.9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7"/>
        <v>0</v>
      </c>
      <c r="AJ82" s="93">
        <v>0.16200000000000001</v>
      </c>
      <c r="AK82" s="40" t="s">
        <v>1857</v>
      </c>
      <c r="AL82" s="40" t="s">
        <v>1844</v>
      </c>
      <c r="AM82"/>
      <c r="AN82" s="37"/>
      <c r="AP82" s="1"/>
      <c r="AQ82" s="1"/>
    </row>
    <row r="83" spans="1:43" ht="15.6" customHeight="1" x14ac:dyDescent="0.3">
      <c r="A83" s="38">
        <v>1</v>
      </c>
      <c r="B83" s="38" t="s">
        <v>1976</v>
      </c>
      <c r="C83" s="38" t="s">
        <v>2003</v>
      </c>
      <c r="D83" s="39">
        <v>45961</v>
      </c>
      <c r="E83" s="38" t="s">
        <v>53</v>
      </c>
      <c r="F83" s="38" t="s">
        <v>199</v>
      </c>
      <c r="G83" s="40">
        <v>309875</v>
      </c>
      <c r="H83" s="84">
        <f>416119.29-G83</f>
        <v>106244.28999999998</v>
      </c>
      <c r="I83" s="40">
        <v>16999.080000000002</v>
      </c>
      <c r="J83" s="40">
        <f t="shared" si="6"/>
        <v>433118.37</v>
      </c>
      <c r="K83" s="40">
        <v>465813.8</v>
      </c>
      <c r="L83" s="40">
        <f t="shared" si="8"/>
        <v>-32695.429999999993</v>
      </c>
      <c r="M83" s="38" t="s">
        <v>35</v>
      </c>
      <c r="N83" s="54"/>
      <c r="O83" s="36"/>
      <c r="P83" s="40">
        <v>0</v>
      </c>
      <c r="Q83" s="40">
        <v>309875</v>
      </c>
      <c r="R83" s="41"/>
      <c r="S83" s="40">
        <v>6640.45</v>
      </c>
      <c r="T83" s="40">
        <v>0</v>
      </c>
      <c r="U83" s="40">
        <v>70456.34</v>
      </c>
      <c r="V83" s="40">
        <v>29147.5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7"/>
        <v>0</v>
      </c>
      <c r="AJ83" s="93">
        <v>0.14399999999999999</v>
      </c>
      <c r="AK83" s="40" t="s">
        <v>1843</v>
      </c>
      <c r="AL83" s="40" t="s">
        <v>1844</v>
      </c>
      <c r="AM83"/>
      <c r="AN83" s="37"/>
      <c r="AP83" s="1"/>
      <c r="AQ83" s="1"/>
    </row>
    <row r="84" spans="1:43" ht="15.6" customHeight="1" x14ac:dyDescent="0.3">
      <c r="A84" s="38">
        <v>1</v>
      </c>
      <c r="B84" s="38" t="s">
        <v>1977</v>
      </c>
      <c r="C84" s="38" t="s">
        <v>2004</v>
      </c>
      <c r="D84" s="39">
        <v>45961</v>
      </c>
      <c r="E84" s="38" t="s">
        <v>53</v>
      </c>
      <c r="F84" s="38" t="s">
        <v>199</v>
      </c>
      <c r="G84" s="40">
        <f>781+28896+3549</f>
        <v>33226</v>
      </c>
      <c r="H84" s="84">
        <f>147132.38-G84</f>
        <v>113906.38</v>
      </c>
      <c r="I84" s="40">
        <v>18225.02</v>
      </c>
      <c r="J84" s="40">
        <f t="shared" si="6"/>
        <v>165357.4</v>
      </c>
      <c r="K84" s="40">
        <v>251690.8</v>
      </c>
      <c r="L84" s="40">
        <f t="shared" si="8"/>
        <v>-86333.4</v>
      </c>
      <c r="M84" s="38" t="s">
        <v>35</v>
      </c>
      <c r="N84" s="54"/>
      <c r="O84" s="36"/>
      <c r="P84" s="40">
        <f>28896+3549</f>
        <v>32445</v>
      </c>
      <c r="Q84" s="40">
        <v>781</v>
      </c>
      <c r="R84" s="41"/>
      <c r="S84" s="40">
        <f>6633.07+3000</f>
        <v>9633.07</v>
      </c>
      <c r="T84" s="40">
        <v>0</v>
      </c>
      <c r="U84" s="40">
        <v>25788.81</v>
      </c>
      <c r="V84" s="40">
        <v>60324.35</v>
      </c>
      <c r="W84" s="40">
        <v>0</v>
      </c>
      <c r="X84" s="40">
        <v>2645</v>
      </c>
      <c r="Y84" s="40">
        <v>0</v>
      </c>
      <c r="Z84" s="40">
        <v>0</v>
      </c>
      <c r="AA84" s="40">
        <v>0</v>
      </c>
      <c r="AB84" s="40">
        <v>5015.1499999999996</v>
      </c>
      <c r="AC84" s="40">
        <v>0</v>
      </c>
      <c r="AD84" s="40">
        <v>3150</v>
      </c>
      <c r="AE84" s="40">
        <v>7350</v>
      </c>
      <c r="AF84" s="40">
        <v>0</v>
      </c>
      <c r="AG84" s="40">
        <v>0</v>
      </c>
      <c r="AH84" s="40">
        <v>0</v>
      </c>
      <c r="AI84" s="36">
        <f t="shared" si="7"/>
        <v>0</v>
      </c>
      <c r="AJ84" s="93">
        <v>0.24299999999999999</v>
      </c>
      <c r="AK84" s="40" t="s">
        <v>1843</v>
      </c>
      <c r="AL84" s="40" t="s">
        <v>1844</v>
      </c>
      <c r="AM84"/>
      <c r="AN84" s="37"/>
      <c r="AP84" s="1"/>
      <c r="AQ84" s="1"/>
    </row>
    <row r="85" spans="1:43" ht="15.6" customHeight="1" x14ac:dyDescent="0.3">
      <c r="A85" s="38">
        <v>2</v>
      </c>
      <c r="B85" s="38" t="s">
        <v>2005</v>
      </c>
      <c r="C85" s="38" t="s">
        <v>2006</v>
      </c>
      <c r="D85" s="39">
        <v>45961</v>
      </c>
      <c r="E85" s="38" t="s">
        <v>53</v>
      </c>
      <c r="F85" s="38" t="s">
        <v>199</v>
      </c>
      <c r="G85" s="40">
        <v>336</v>
      </c>
      <c r="H85" s="84">
        <v>7400</v>
      </c>
      <c r="I85" s="40">
        <v>1184</v>
      </c>
      <c r="J85" s="40">
        <f t="shared" si="6"/>
        <v>8920</v>
      </c>
      <c r="K85" s="40">
        <v>8920</v>
      </c>
      <c r="L85" s="40">
        <f t="shared" si="8"/>
        <v>0</v>
      </c>
      <c r="M85" s="38" t="s">
        <v>35</v>
      </c>
      <c r="N85" s="54"/>
      <c r="O85" s="36"/>
      <c r="P85" s="40">
        <v>0</v>
      </c>
      <c r="Q85" s="40">
        <v>336</v>
      </c>
      <c r="R85" s="41"/>
      <c r="S85" s="40">
        <v>7400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7"/>
        <v>0</v>
      </c>
      <c r="AJ85" s="93">
        <v>0.28199999999999997</v>
      </c>
      <c r="AK85" s="40" t="s">
        <v>1858</v>
      </c>
      <c r="AL85" s="40" t="s">
        <v>1839</v>
      </c>
      <c r="AM85"/>
      <c r="AN85" s="37"/>
      <c r="AP85" s="1"/>
      <c r="AQ85" s="1"/>
    </row>
    <row r="86" spans="1:43" ht="15.6" customHeight="1" x14ac:dyDescent="0.3">
      <c r="A86" s="38">
        <v>2</v>
      </c>
      <c r="B86" s="38" t="s">
        <v>2007</v>
      </c>
      <c r="C86" s="38" t="s">
        <v>2008</v>
      </c>
      <c r="D86" s="39">
        <v>45961</v>
      </c>
      <c r="E86" s="38" t="s">
        <v>53</v>
      </c>
      <c r="F86" s="38" t="s">
        <v>199</v>
      </c>
      <c r="G86" s="40">
        <v>0</v>
      </c>
      <c r="H86" s="84">
        <v>7400</v>
      </c>
      <c r="I86" s="40">
        <v>1184</v>
      </c>
      <c r="J86" s="40">
        <f t="shared" si="6"/>
        <v>8584</v>
      </c>
      <c r="K86" s="40">
        <v>8920</v>
      </c>
      <c r="L86" s="40">
        <f t="shared" si="8"/>
        <v>-336</v>
      </c>
      <c r="M86" s="38" t="s">
        <v>35</v>
      </c>
      <c r="N86" s="54"/>
      <c r="O86" s="36"/>
      <c r="P86" s="40">
        <v>0</v>
      </c>
      <c r="Q86" s="40">
        <v>0</v>
      </c>
      <c r="R86" s="41"/>
      <c r="S86" s="40">
        <v>7400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7"/>
        <v>0</v>
      </c>
      <c r="AJ86" s="93">
        <v>0.41699999999999998</v>
      </c>
      <c r="AK86" s="40" t="s">
        <v>1858</v>
      </c>
      <c r="AL86" s="40" t="s">
        <v>1839</v>
      </c>
      <c r="AM86"/>
      <c r="AN86" s="37"/>
      <c r="AP86" s="1"/>
      <c r="AQ86" s="1"/>
    </row>
    <row r="87" spans="1:43" ht="15.6" customHeight="1" x14ac:dyDescent="0.3">
      <c r="A87" s="38">
        <v>1</v>
      </c>
      <c r="B87" s="38" t="s">
        <v>2009</v>
      </c>
      <c r="C87" s="38" t="s">
        <v>2010</v>
      </c>
      <c r="D87" s="39">
        <v>45961</v>
      </c>
      <c r="E87" s="38" t="s">
        <v>53</v>
      </c>
      <c r="F87" s="38" t="s">
        <v>199</v>
      </c>
      <c r="G87" s="40">
        <v>781</v>
      </c>
      <c r="H87" s="84">
        <f>7200+11988.7</f>
        <v>19188.7</v>
      </c>
      <c r="I87" s="40">
        <v>3070.19</v>
      </c>
      <c r="J87" s="40">
        <f t="shared" si="6"/>
        <v>23039.89</v>
      </c>
      <c r="K87" s="40">
        <v>55533</v>
      </c>
      <c r="L87" s="40">
        <f t="shared" si="8"/>
        <v>-32493.11</v>
      </c>
      <c r="M87" s="38" t="s">
        <v>35</v>
      </c>
      <c r="N87" s="54"/>
      <c r="O87" s="36"/>
      <c r="P87" s="40">
        <v>0</v>
      </c>
      <c r="Q87" s="40">
        <v>781</v>
      </c>
      <c r="R87" s="41"/>
      <c r="S87" s="40">
        <v>7200</v>
      </c>
      <c r="T87" s="40">
        <v>0</v>
      </c>
      <c r="U87" s="40">
        <v>11988.7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7"/>
        <v>0</v>
      </c>
      <c r="AJ87" s="93">
        <v>0.26200000000000001</v>
      </c>
      <c r="AK87" s="40" t="s">
        <v>1858</v>
      </c>
      <c r="AL87" s="40" t="s">
        <v>1884</v>
      </c>
      <c r="AM87"/>
      <c r="AN87" s="37"/>
      <c r="AP87" s="1"/>
      <c r="AQ87" s="1"/>
    </row>
    <row r="88" spans="1:43" ht="15.6" customHeight="1" x14ac:dyDescent="0.3">
      <c r="A88" s="38">
        <v>1</v>
      </c>
      <c r="B88" s="38" t="s">
        <v>2011</v>
      </c>
      <c r="C88" s="38" t="s">
        <v>2012</v>
      </c>
      <c r="D88" s="39">
        <v>45961</v>
      </c>
      <c r="E88" s="38" t="s">
        <v>53</v>
      </c>
      <c r="F88" s="38" t="s">
        <v>199</v>
      </c>
      <c r="G88" s="40">
        <v>1226</v>
      </c>
      <c r="H88" s="90">
        <f>7200+1800+10087.9</f>
        <v>19087.900000000001</v>
      </c>
      <c r="I88" s="40">
        <v>3054.06</v>
      </c>
      <c r="J88" s="40">
        <f t="shared" si="6"/>
        <v>23367.960000000003</v>
      </c>
      <c r="K88" s="40">
        <v>54752</v>
      </c>
      <c r="L88" s="40">
        <f t="shared" si="8"/>
        <v>-31384.039999999997</v>
      </c>
      <c r="M88" s="38" t="s">
        <v>35</v>
      </c>
      <c r="N88" s="54"/>
      <c r="O88" s="36"/>
      <c r="P88" s="40">
        <v>0</v>
      </c>
      <c r="Q88" s="40">
        <v>1226</v>
      </c>
      <c r="R88" s="41"/>
      <c r="S88" s="40">
        <v>7200</v>
      </c>
      <c r="T88" s="40">
        <v>0</v>
      </c>
      <c r="U88" s="40">
        <v>10087.9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1800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7"/>
        <v>0</v>
      </c>
      <c r="AJ88" s="93">
        <v>0.22800000000000001</v>
      </c>
      <c r="AK88" s="40" t="s">
        <v>1858</v>
      </c>
      <c r="AL88" s="40" t="s">
        <v>1884</v>
      </c>
      <c r="AM88"/>
      <c r="AN88" s="37"/>
      <c r="AP88" s="1"/>
      <c r="AQ88" s="1"/>
    </row>
    <row r="89" spans="1:43" ht="15.6" customHeight="1" x14ac:dyDescent="0.3">
      <c r="A89" s="38">
        <v>1</v>
      </c>
      <c r="B89" s="38" t="s">
        <v>2013</v>
      </c>
      <c r="C89" s="38" t="s">
        <v>2014</v>
      </c>
      <c r="D89" s="39">
        <v>45961</v>
      </c>
      <c r="E89" s="38" t="s">
        <v>53</v>
      </c>
      <c r="F89" s="38" t="s">
        <v>199</v>
      </c>
      <c r="G89" s="40">
        <v>0</v>
      </c>
      <c r="H89" s="90">
        <v>19290.11</v>
      </c>
      <c r="I89" s="40">
        <v>3086.42</v>
      </c>
      <c r="J89" s="40">
        <f t="shared" si="6"/>
        <v>22376.53</v>
      </c>
      <c r="K89" s="40">
        <v>54752</v>
      </c>
      <c r="L89" s="40">
        <f t="shared" si="8"/>
        <v>-32375.47</v>
      </c>
      <c r="M89" s="38" t="s">
        <v>35</v>
      </c>
      <c r="N89" s="54"/>
      <c r="O89" s="36"/>
      <c r="P89" s="40">
        <v>0</v>
      </c>
      <c r="Q89" s="40">
        <v>0</v>
      </c>
      <c r="R89" s="41"/>
      <c r="S89" s="40">
        <v>7200</v>
      </c>
      <c r="T89" s="40">
        <v>0</v>
      </c>
      <c r="U89" s="40">
        <v>10290.11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1800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7"/>
        <v>0</v>
      </c>
      <c r="AJ89" s="93">
        <v>0.23</v>
      </c>
      <c r="AK89" s="40" t="s">
        <v>1858</v>
      </c>
      <c r="AL89" s="40" t="s">
        <v>1884</v>
      </c>
      <c r="AM89"/>
      <c r="AN89" s="37"/>
      <c r="AP89" s="1"/>
      <c r="AQ89" s="1"/>
    </row>
    <row r="90" spans="1:43" ht="15.6" customHeight="1" x14ac:dyDescent="0.3">
      <c r="A90" s="38">
        <v>2</v>
      </c>
      <c r="B90" s="38" t="s">
        <v>2015</v>
      </c>
      <c r="C90" s="38" t="s">
        <v>2016</v>
      </c>
      <c r="D90" s="39">
        <v>45961</v>
      </c>
      <c r="E90" s="38" t="s">
        <v>22</v>
      </c>
      <c r="F90" s="38" t="s">
        <v>45</v>
      </c>
      <c r="G90" s="40">
        <v>781</v>
      </c>
      <c r="H90" s="90">
        <v>4500</v>
      </c>
      <c r="I90" s="40">
        <v>720</v>
      </c>
      <c r="J90" s="40">
        <f t="shared" si="6"/>
        <v>6001</v>
      </c>
      <c r="K90" s="40">
        <v>6001</v>
      </c>
      <c r="L90" s="40">
        <f t="shared" si="8"/>
        <v>0</v>
      </c>
      <c r="M90" s="38" t="s">
        <v>35</v>
      </c>
      <c r="N90" s="54"/>
      <c r="O90" s="36"/>
      <c r="P90" s="40">
        <v>0</v>
      </c>
      <c r="Q90" s="40">
        <v>781</v>
      </c>
      <c r="R90" s="41"/>
      <c r="S90" s="40">
        <v>4500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7"/>
        <v>0</v>
      </c>
      <c r="AJ90" s="93">
        <v>0.33800000000000002</v>
      </c>
      <c r="AK90" s="40" t="s">
        <v>1840</v>
      </c>
      <c r="AL90" s="40" t="s">
        <v>1839</v>
      </c>
      <c r="AM90"/>
      <c r="AN90" s="37"/>
      <c r="AP90" s="1"/>
      <c r="AQ90" s="1"/>
    </row>
    <row r="91" spans="1:43" ht="15.6" customHeight="1" x14ac:dyDescent="0.3">
      <c r="A91" s="38"/>
      <c r="B91" s="38"/>
      <c r="C91" s="38"/>
      <c r="D91" s="39"/>
      <c r="E91" s="38"/>
      <c r="F91" s="38"/>
      <c r="G91" s="40"/>
      <c r="H91" s="90"/>
      <c r="I91" s="40"/>
      <c r="J91" s="40">
        <f t="shared" si="6"/>
        <v>0</v>
      </c>
      <c r="K91" s="40"/>
      <c r="L91" s="40">
        <f t="shared" si="8"/>
        <v>0</v>
      </c>
      <c r="M91" s="38" t="s">
        <v>35</v>
      </c>
      <c r="N91" s="54"/>
      <c r="O91" s="36"/>
      <c r="P91" s="40">
        <v>0</v>
      </c>
      <c r="Q91" s="40">
        <v>0</v>
      </c>
      <c r="R91" s="41"/>
      <c r="S91" s="40">
        <v>0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36">
        <f t="shared" si="7"/>
        <v>0</v>
      </c>
      <c r="AJ91" s="93"/>
      <c r="AK91" s="40"/>
      <c r="AL91" s="40"/>
      <c r="AM91"/>
      <c r="AN91" s="37"/>
      <c r="AP91" s="1"/>
      <c r="AQ91" s="1"/>
    </row>
    <row r="92" spans="1:43" ht="15.6" customHeight="1" x14ac:dyDescent="0.3">
      <c r="A92" s="38"/>
      <c r="B92" s="38"/>
      <c r="C92" s="38"/>
      <c r="D92" s="39"/>
      <c r="E92" s="38"/>
      <c r="F92" s="38"/>
      <c r="G92" s="40"/>
      <c r="H92" s="90"/>
      <c r="I92" s="40"/>
      <c r="J92" s="40">
        <f t="shared" si="6"/>
        <v>0</v>
      </c>
      <c r="K92" s="40"/>
      <c r="L92" s="40">
        <f t="shared" si="8"/>
        <v>0</v>
      </c>
      <c r="M92" s="38" t="s">
        <v>35</v>
      </c>
      <c r="N92" s="54"/>
      <c r="O92" s="36"/>
      <c r="P92" s="40">
        <v>0</v>
      </c>
      <c r="Q92" s="40">
        <v>0</v>
      </c>
      <c r="R92" s="41"/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36">
        <f t="shared" si="7"/>
        <v>0</v>
      </c>
      <c r="AJ92" s="93"/>
      <c r="AK92" s="40"/>
      <c r="AL92" s="40"/>
      <c r="AM92"/>
      <c r="AN92" s="37"/>
      <c r="AP92" s="1"/>
      <c r="AQ92" s="1"/>
    </row>
    <row r="93" spans="1:43" ht="15.6" customHeight="1" x14ac:dyDescent="0.3">
      <c r="A93" s="38"/>
      <c r="B93" s="38"/>
      <c r="C93" s="38"/>
      <c r="D93" s="39"/>
      <c r="E93" s="38"/>
      <c r="F93" s="38"/>
      <c r="G93" s="40"/>
      <c r="H93" s="90"/>
      <c r="I93" s="40"/>
      <c r="J93" s="40">
        <f t="shared" si="6"/>
        <v>0</v>
      </c>
      <c r="K93" s="40"/>
      <c r="L93" s="40">
        <f t="shared" si="8"/>
        <v>0</v>
      </c>
      <c r="M93" s="38" t="s">
        <v>35</v>
      </c>
      <c r="N93" s="54"/>
      <c r="O93" s="36"/>
      <c r="P93" s="40">
        <v>0</v>
      </c>
      <c r="Q93" s="40">
        <v>0</v>
      </c>
      <c r="R93" s="41"/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36">
        <f t="shared" si="7"/>
        <v>0</v>
      </c>
      <c r="AJ93" s="93"/>
      <c r="AK93" s="40"/>
      <c r="AL93" s="40"/>
      <c r="AM93"/>
      <c r="AN93" s="37"/>
      <c r="AP93" s="1"/>
      <c r="AQ93" s="1"/>
    </row>
    <row r="94" spans="1:43" ht="15.6" customHeight="1" x14ac:dyDescent="0.3">
      <c r="A94" s="38"/>
      <c r="B94" s="38"/>
      <c r="C94" s="38"/>
      <c r="D94" s="39"/>
      <c r="E94" s="38"/>
      <c r="F94" s="38"/>
      <c r="G94" s="40"/>
      <c r="H94" s="90"/>
      <c r="I94" s="40"/>
      <c r="J94" s="40">
        <f t="shared" si="6"/>
        <v>0</v>
      </c>
      <c r="K94" s="40"/>
      <c r="L94" s="40">
        <f t="shared" si="8"/>
        <v>0</v>
      </c>
      <c r="M94" s="38" t="s">
        <v>35</v>
      </c>
      <c r="N94" s="54"/>
      <c r="O94" s="36"/>
      <c r="P94" s="40">
        <v>0</v>
      </c>
      <c r="Q94" s="40">
        <v>0</v>
      </c>
      <c r="R94" s="41"/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6">
        <f t="shared" si="7"/>
        <v>0</v>
      </c>
      <c r="AJ94" s="93"/>
      <c r="AK94" s="40"/>
      <c r="AL94" s="40"/>
      <c r="AM94"/>
      <c r="AN94" s="37"/>
      <c r="AP94" s="1"/>
      <c r="AQ94" s="1"/>
    </row>
    <row r="95" spans="1:43" ht="15.6" customHeight="1" x14ac:dyDescent="0.3">
      <c r="A95" s="38"/>
      <c r="B95" s="38"/>
      <c r="C95" s="38"/>
      <c r="D95" s="39"/>
      <c r="E95" s="38"/>
      <c r="F95" s="38"/>
      <c r="G95" s="40"/>
      <c r="H95" s="90"/>
      <c r="I95" s="40"/>
      <c r="J95" s="40">
        <f t="shared" si="6"/>
        <v>0</v>
      </c>
      <c r="K95" s="40"/>
      <c r="L95" s="40">
        <f t="shared" si="8"/>
        <v>0</v>
      </c>
      <c r="M95" s="38" t="s">
        <v>35</v>
      </c>
      <c r="N95" s="54"/>
      <c r="O95" s="36"/>
      <c r="P95" s="40">
        <v>0</v>
      </c>
      <c r="Q95" s="40">
        <v>0</v>
      </c>
      <c r="R95" s="41"/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36">
        <f t="shared" si="7"/>
        <v>0</v>
      </c>
      <c r="AJ95" s="93"/>
      <c r="AK95" s="40"/>
      <c r="AL95" s="40"/>
      <c r="AM95"/>
      <c r="AN95" s="37"/>
      <c r="AP95" s="1"/>
      <c r="AQ95" s="1"/>
    </row>
    <row r="96" spans="1:43" ht="15.6" customHeight="1" x14ac:dyDescent="0.3">
      <c r="A96" s="38"/>
      <c r="B96" s="38"/>
      <c r="C96" s="38"/>
      <c r="D96" s="39"/>
      <c r="E96" s="38"/>
      <c r="F96" s="38"/>
      <c r="G96" s="40"/>
      <c r="H96" s="90"/>
      <c r="I96" s="40"/>
      <c r="J96" s="40">
        <f t="shared" si="6"/>
        <v>0</v>
      </c>
      <c r="K96" s="40"/>
      <c r="L96" s="40">
        <f t="shared" si="8"/>
        <v>0</v>
      </c>
      <c r="M96" s="38" t="s">
        <v>35</v>
      </c>
      <c r="N96" s="54"/>
      <c r="O96" s="36"/>
      <c r="P96" s="40">
        <v>0</v>
      </c>
      <c r="Q96" s="40">
        <v>0</v>
      </c>
      <c r="R96" s="41"/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36">
        <f t="shared" si="7"/>
        <v>0</v>
      </c>
      <c r="AJ96" s="93"/>
      <c r="AK96" s="40"/>
      <c r="AL96" s="40"/>
      <c r="AM96"/>
      <c r="AN96" s="37"/>
      <c r="AP96" s="1"/>
      <c r="AQ96" s="1"/>
    </row>
    <row r="97" spans="1:45" ht="15.6" customHeight="1" x14ac:dyDescent="0.3">
      <c r="A97" s="38"/>
      <c r="B97" s="38"/>
      <c r="C97" s="38"/>
      <c r="D97" s="39"/>
      <c r="E97" s="38"/>
      <c r="F97" s="38"/>
      <c r="G97" s="40"/>
      <c r="H97" s="90"/>
      <c r="I97" s="40"/>
      <c r="J97" s="40">
        <f t="shared" si="6"/>
        <v>0</v>
      </c>
      <c r="K97" s="40"/>
      <c r="L97" s="40">
        <f t="shared" si="8"/>
        <v>0</v>
      </c>
      <c r="M97" s="38" t="s">
        <v>35</v>
      </c>
      <c r="N97" s="54"/>
      <c r="O97" s="36"/>
      <c r="P97" s="40">
        <v>0</v>
      </c>
      <c r="Q97" s="40">
        <v>0</v>
      </c>
      <c r="R97" s="41"/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36">
        <f t="shared" si="7"/>
        <v>0</v>
      </c>
      <c r="AJ97" s="93"/>
      <c r="AK97" s="40"/>
      <c r="AL97" s="40"/>
      <c r="AM97"/>
      <c r="AN97" s="37"/>
      <c r="AP97" s="1"/>
      <c r="AQ97" s="1"/>
    </row>
    <row r="98" spans="1:45" ht="15.6" customHeight="1" x14ac:dyDescent="0.3">
      <c r="A98" s="38"/>
      <c r="B98" s="38"/>
      <c r="C98" s="38"/>
      <c r="D98" s="39"/>
      <c r="E98" s="38"/>
      <c r="F98" s="38"/>
      <c r="G98" s="40"/>
      <c r="H98" s="90"/>
      <c r="I98" s="40"/>
      <c r="J98" s="40">
        <f t="shared" si="6"/>
        <v>0</v>
      </c>
      <c r="K98" s="40"/>
      <c r="L98" s="40">
        <f t="shared" si="8"/>
        <v>0</v>
      </c>
      <c r="M98" s="38" t="s">
        <v>35</v>
      </c>
      <c r="N98" s="54"/>
      <c r="O98" s="36"/>
      <c r="P98" s="40">
        <v>0</v>
      </c>
      <c r="Q98" s="40">
        <v>0</v>
      </c>
      <c r="R98" s="41"/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36">
        <f t="shared" si="7"/>
        <v>0</v>
      </c>
      <c r="AJ98" s="93"/>
      <c r="AK98" s="40"/>
      <c r="AL98" s="40"/>
      <c r="AM98"/>
      <c r="AN98" s="37"/>
      <c r="AP98" s="1"/>
      <c r="AQ98" s="1"/>
    </row>
    <row r="99" spans="1:45" ht="15.6" customHeight="1" x14ac:dyDescent="0.3">
      <c r="A99" s="38"/>
      <c r="B99" s="38"/>
      <c r="C99" s="38"/>
      <c r="D99" s="39"/>
      <c r="E99" s="38"/>
      <c r="F99" s="38"/>
      <c r="G99" s="40"/>
      <c r="H99" s="84"/>
      <c r="I99" s="40"/>
      <c r="J99" s="40">
        <f t="shared" si="6"/>
        <v>0</v>
      </c>
      <c r="K99" s="40"/>
      <c r="L99" s="40">
        <f t="shared" si="8"/>
        <v>0</v>
      </c>
      <c r="M99" s="38" t="s">
        <v>35</v>
      </c>
      <c r="N99" s="54"/>
      <c r="O99" s="36"/>
      <c r="P99" s="40">
        <v>0</v>
      </c>
      <c r="Q99" s="40">
        <v>0</v>
      </c>
      <c r="R99" s="41"/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36">
        <f t="shared" si="7"/>
        <v>0</v>
      </c>
      <c r="AJ99" s="40"/>
      <c r="AK99" s="40"/>
      <c r="AL99" s="40"/>
      <c r="AM99"/>
      <c r="AN99" s="37"/>
      <c r="AP99" s="1"/>
      <c r="AQ99" s="1"/>
    </row>
    <row r="100" spans="1:45" ht="15" thickBot="1" x14ac:dyDescent="0.35">
      <c r="G100" s="16">
        <f t="shared" ref="G100:L100" si="9">+SUM(G2:G99)</f>
        <v>1045097.9199999999</v>
      </c>
      <c r="H100" s="16">
        <f t="shared" si="9"/>
        <v>2491581.6099999994</v>
      </c>
      <c r="I100" s="16">
        <f t="shared" si="9"/>
        <v>398317.03</v>
      </c>
      <c r="J100" s="16">
        <f t="shared" si="9"/>
        <v>3934996.5599999982</v>
      </c>
      <c r="K100" s="16">
        <f t="shared" si="9"/>
        <v>4207166.0600000005</v>
      </c>
      <c r="L100" s="16">
        <f t="shared" si="9"/>
        <v>-272169.49999999994</v>
      </c>
      <c r="P100" s="16">
        <f>+SUM(P2:P99)</f>
        <v>43116.92</v>
      </c>
      <c r="Q100" s="16">
        <f>+SUM(Q2:Q99)</f>
        <v>1001981</v>
      </c>
      <c r="S100" s="16">
        <f t="shared" ref="S100:AI100" si="10">+SUM(S2:S99)</f>
        <v>440861.02999999997</v>
      </c>
      <c r="T100" s="16">
        <f t="shared" si="10"/>
        <v>17681.8</v>
      </c>
      <c r="U100" s="16">
        <f t="shared" si="10"/>
        <v>993755.76000000013</v>
      </c>
      <c r="V100" s="16">
        <f t="shared" si="10"/>
        <v>407784.80999999994</v>
      </c>
      <c r="W100" s="16">
        <f t="shared" si="10"/>
        <v>525929.85</v>
      </c>
      <c r="X100" s="16">
        <f t="shared" si="10"/>
        <v>10145</v>
      </c>
      <c r="Y100" s="16">
        <f t="shared" si="10"/>
        <v>25000</v>
      </c>
      <c r="Z100" s="16">
        <f t="shared" si="10"/>
        <v>0</v>
      </c>
      <c r="AA100" s="16">
        <f t="shared" si="10"/>
        <v>24100</v>
      </c>
      <c r="AB100" s="16">
        <f t="shared" si="10"/>
        <v>6275.15</v>
      </c>
      <c r="AC100" s="16">
        <f t="shared" si="10"/>
        <v>12028.210000000001</v>
      </c>
      <c r="AD100" s="16">
        <f t="shared" si="10"/>
        <v>3150</v>
      </c>
      <c r="AE100" s="16">
        <f t="shared" si="10"/>
        <v>11250</v>
      </c>
      <c r="AF100" s="16">
        <f t="shared" si="10"/>
        <v>10620</v>
      </c>
      <c r="AG100" s="16">
        <f t="shared" si="10"/>
        <v>0</v>
      </c>
      <c r="AH100" s="16">
        <f t="shared" si="10"/>
        <v>3000</v>
      </c>
      <c r="AI100" s="47">
        <f t="shared" si="10"/>
        <v>0</v>
      </c>
      <c r="AJ100" s="91"/>
      <c r="AK100" s="91"/>
      <c r="AL100"/>
      <c r="AM100"/>
      <c r="AN100" s="37"/>
      <c r="AP100" s="1"/>
      <c r="AQ100" s="1"/>
    </row>
    <row r="101" spans="1:45" ht="15" thickTop="1" x14ac:dyDescent="0.3">
      <c r="AN101" s="37"/>
      <c r="AP101" s="1"/>
      <c r="AQ101" s="1"/>
    </row>
    <row r="102" spans="1:45" x14ac:dyDescent="0.3">
      <c r="Q102" s="1">
        <f>+G100-P100-Q100</f>
        <v>0</v>
      </c>
      <c r="AN102" s="37"/>
      <c r="AP102" s="1"/>
      <c r="AQ102" s="1"/>
    </row>
    <row r="103" spans="1:45" x14ac:dyDescent="0.3">
      <c r="M103" s="46"/>
    </row>
    <row r="104" spans="1:45" x14ac:dyDescent="0.3">
      <c r="D104"/>
      <c r="E104" s="49"/>
      <c r="F104" s="14"/>
      <c r="H104" s="21" t="s">
        <v>25</v>
      </c>
      <c r="I104" s="21" t="s">
        <v>26</v>
      </c>
      <c r="J104" s="21" t="s">
        <v>27</v>
      </c>
      <c r="K104" s="21" t="s">
        <v>28</v>
      </c>
    </row>
    <row r="105" spans="1:45" x14ac:dyDescent="0.3">
      <c r="B105" s="14" t="s">
        <v>30</v>
      </c>
      <c r="D105" s="15">
        <v>0</v>
      </c>
      <c r="G105" s="14" t="s">
        <v>23</v>
      </c>
      <c r="H105" s="1">
        <f>+H100-I105</f>
        <v>2489481.6099999994</v>
      </c>
      <c r="I105" s="1">
        <f>+H26</f>
        <v>2100</v>
      </c>
      <c r="J105" s="1">
        <f>+H105*0.16</f>
        <v>398317.05759999994</v>
      </c>
      <c r="K105" s="1">
        <f>+SUM(H105:J105)</f>
        <v>2889898.6675999993</v>
      </c>
      <c r="M105" s="46"/>
    </row>
    <row r="106" spans="1:45" x14ac:dyDescent="0.3">
      <c r="A106" s="22" t="s">
        <v>32</v>
      </c>
      <c r="B106" s="14" t="s">
        <v>31</v>
      </c>
      <c r="D106" s="15">
        <v>0</v>
      </c>
      <c r="G106" s="14" t="s">
        <v>24</v>
      </c>
      <c r="H106" s="1">
        <f>+'OCT USD'!Q22</f>
        <v>84607.432000000001</v>
      </c>
      <c r="I106" s="1">
        <f>+'OCT USD'!Q23</f>
        <v>340052.59600000002</v>
      </c>
      <c r="J106" s="1">
        <f>+H106*0.16</f>
        <v>13537.189120000001</v>
      </c>
      <c r="K106" s="1">
        <f>+SUM(H106:J106)</f>
        <v>438197.21712000004</v>
      </c>
    </row>
    <row r="107" spans="1:45" ht="15" thickBot="1" x14ac:dyDescent="0.35">
      <c r="A107" s="22" t="s">
        <v>33</v>
      </c>
      <c r="B107" s="14" t="s">
        <v>34</v>
      </c>
      <c r="D107" s="20">
        <f>+D105-D106</f>
        <v>0</v>
      </c>
      <c r="E107" s="35"/>
      <c r="H107" s="20">
        <f>+SUM(H105:H106)</f>
        <v>2574089.0419999994</v>
      </c>
      <c r="I107" s="20">
        <f t="shared" ref="I107:J107" si="11">+SUM(I105:I106)</f>
        <v>342152.59600000002</v>
      </c>
      <c r="J107" s="20">
        <f t="shared" si="11"/>
        <v>411854.24671999994</v>
      </c>
      <c r="K107" s="20">
        <f>+SUM(K105:K106)</f>
        <v>3328095.8847199995</v>
      </c>
    </row>
    <row r="108" spans="1:45" ht="15" thickTop="1" x14ac:dyDescent="0.3">
      <c r="D108"/>
    </row>
    <row r="109" spans="1:45" x14ac:dyDescent="0.3">
      <c r="D109" s="33"/>
      <c r="G109" s="14" t="s">
        <v>29</v>
      </c>
      <c r="H109" s="15">
        <f>+H107+I107</f>
        <v>2916241.6379999993</v>
      </c>
    </row>
    <row r="110" spans="1:45" x14ac:dyDescent="0.3">
      <c r="D110" s="33"/>
      <c r="G110" s="14"/>
      <c r="H110" s="15"/>
      <c r="AS110" s="1"/>
    </row>
    <row r="111" spans="1:45" x14ac:dyDescent="0.3">
      <c r="D111" s="33"/>
      <c r="G111" s="14"/>
      <c r="H111" s="15"/>
      <c r="AS111" s="1"/>
    </row>
    <row r="112" spans="1:45" x14ac:dyDescent="0.3">
      <c r="D112" s="33"/>
      <c r="G112" s="14"/>
      <c r="H112" s="15"/>
      <c r="AS112" s="1"/>
    </row>
    <row r="113" spans="1:45" x14ac:dyDescent="0.3">
      <c r="D113" s="33"/>
      <c r="G113" s="14"/>
      <c r="H113" s="15"/>
      <c r="AS113" s="1"/>
    </row>
    <row r="114" spans="1:45" s="1" customFormat="1" x14ac:dyDescent="0.3">
      <c r="A114"/>
      <c r="B114"/>
      <c r="C114"/>
      <c r="D114" s="33"/>
      <c r="E114"/>
      <c r="F114"/>
      <c r="G114" s="14"/>
      <c r="H114" s="15"/>
      <c r="M114"/>
      <c r="N114"/>
      <c r="O114"/>
      <c r="R114"/>
      <c r="AP114"/>
      <c r="AQ114"/>
      <c r="AR114"/>
      <c r="AS114"/>
    </row>
    <row r="115" spans="1:45" s="1" customFormat="1" x14ac:dyDescent="0.3">
      <c r="A115"/>
      <c r="B115"/>
      <c r="C115"/>
      <c r="D115" s="33"/>
      <c r="E115"/>
      <c r="F115"/>
      <c r="G115" s="14"/>
      <c r="H115" s="15"/>
      <c r="M115"/>
      <c r="N115"/>
      <c r="O115"/>
      <c r="R115"/>
      <c r="AP115"/>
      <c r="AQ115"/>
      <c r="AR115"/>
      <c r="AS115"/>
    </row>
    <row r="116" spans="1:45" s="1" customFormat="1" x14ac:dyDescent="0.3">
      <c r="A116"/>
      <c r="B116"/>
      <c r="C116"/>
      <c r="D116" s="33"/>
      <c r="E116"/>
      <c r="F116"/>
      <c r="G116" s="14"/>
      <c r="H116" s="15"/>
      <c r="M116"/>
      <c r="N116"/>
      <c r="O116"/>
      <c r="R116"/>
      <c r="AP116"/>
      <c r="AQ116"/>
      <c r="AR116"/>
      <c r="AS116"/>
    </row>
    <row r="117" spans="1:45" s="1" customFormat="1" x14ac:dyDescent="0.3">
      <c r="A117"/>
      <c r="B117"/>
      <c r="C117"/>
      <c r="D117" s="33"/>
      <c r="E117"/>
      <c r="F117"/>
      <c r="G117" s="14"/>
      <c r="H117" s="15"/>
      <c r="M117"/>
      <c r="N117"/>
      <c r="O117"/>
      <c r="R117"/>
      <c r="AP117"/>
      <c r="AQ117"/>
      <c r="AR117"/>
      <c r="AS117"/>
    </row>
  </sheetData>
  <autoFilter ref="A1:AP100" xr:uid="{6D9A6E66-117A-42D1-8872-A55637CA45F1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2738-A611-4F0E-AA54-56023E167A59}">
  <sheetPr>
    <tabColor rgb="FF0070C0"/>
  </sheetPr>
  <dimension ref="A1:AQ27"/>
  <sheetViews>
    <sheetView zoomScale="90" zoomScaleNormal="90" workbookViewId="0">
      <pane xSplit="5" ySplit="2" topLeftCell="F4" activePane="bottomRight" state="frozen"/>
      <selection pane="topRight" activeCell="C1" sqref="C1"/>
      <selection pane="bottomLeft" activeCell="A3" sqref="A3"/>
      <selection pane="bottomRight" activeCell="H6" sqref="H6:I6"/>
    </sheetView>
  </sheetViews>
  <sheetFormatPr baseColWidth="10" defaultColWidth="15.6640625" defaultRowHeight="14.4" x14ac:dyDescent="0.3"/>
  <cols>
    <col min="4" max="4" width="9.5546875" customWidth="1"/>
    <col min="5" max="5" width="14.109375" bestFit="1" customWidth="1"/>
    <col min="6" max="6" width="21.44140625" bestFit="1" customWidth="1"/>
    <col min="7" max="7" width="11.6640625" style="25" customWidth="1"/>
    <col min="8" max="8" width="13" customWidth="1"/>
    <col min="9" max="9" width="46.44140625" customWidth="1"/>
    <col min="10" max="10" width="20.109375" customWidth="1"/>
    <col min="11" max="15" width="15.6640625" customWidth="1"/>
    <col min="18" max="21" width="15.6640625" customWidth="1"/>
    <col min="22" max="22" width="4.5546875" customWidth="1"/>
    <col min="23" max="23" width="1.6640625" customWidth="1"/>
    <col min="24" max="24" width="25.6640625" customWidth="1"/>
    <col min="25" max="31" width="20.33203125" customWidth="1"/>
    <col min="32" max="32" width="15.6640625" customWidth="1"/>
    <col min="33" max="33" width="1.6640625" customWidth="1"/>
    <col min="42" max="42" width="15.6640625" customWidth="1"/>
  </cols>
  <sheetData>
    <row r="1" spans="1:43" x14ac:dyDescent="0.3">
      <c r="J1" s="29" t="s">
        <v>38</v>
      </c>
      <c r="K1" s="30"/>
      <c r="L1" s="30"/>
      <c r="M1" s="30"/>
      <c r="N1" s="30"/>
      <c r="O1" s="31"/>
      <c r="Q1" s="29" t="s">
        <v>39</v>
      </c>
      <c r="R1" s="30"/>
      <c r="S1" s="30"/>
      <c r="T1" s="30"/>
      <c r="U1" s="31"/>
    </row>
    <row r="2" spans="1:43" ht="28.8" x14ac:dyDescent="0.3">
      <c r="A2" s="10" t="s">
        <v>1815</v>
      </c>
      <c r="B2" s="10" t="s">
        <v>1816</v>
      </c>
      <c r="C2" s="10" t="s">
        <v>1817</v>
      </c>
      <c r="D2" s="10" t="s">
        <v>6</v>
      </c>
      <c r="E2" s="10" t="s">
        <v>7</v>
      </c>
      <c r="F2" s="10" t="s">
        <v>794</v>
      </c>
      <c r="G2" s="26" t="s">
        <v>9</v>
      </c>
      <c r="H2" s="10" t="s">
        <v>10</v>
      </c>
      <c r="I2" s="10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0" t="s">
        <v>18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9"/>
      <c r="W2" s="9"/>
      <c r="X2" s="5" t="s">
        <v>60</v>
      </c>
      <c r="Y2" s="5" t="s">
        <v>1</v>
      </c>
      <c r="Z2" s="5" t="s">
        <v>514</v>
      </c>
      <c r="AA2" s="5" t="s">
        <v>54</v>
      </c>
      <c r="AB2" s="5" t="s">
        <v>52</v>
      </c>
      <c r="AC2" s="5" t="s">
        <v>3</v>
      </c>
      <c r="AD2" s="5" t="s">
        <v>974</v>
      </c>
      <c r="AE2" s="5" t="s">
        <v>47</v>
      </c>
      <c r="AF2" s="5" t="s">
        <v>1230</v>
      </c>
      <c r="AG2" s="8"/>
      <c r="AH2" s="5" t="s">
        <v>60</v>
      </c>
      <c r="AI2" s="5" t="s">
        <v>1</v>
      </c>
      <c r="AJ2" s="5" t="s">
        <v>514</v>
      </c>
      <c r="AK2" s="5" t="s">
        <v>54</v>
      </c>
      <c r="AL2" s="5" t="s">
        <v>52</v>
      </c>
      <c r="AM2" s="5" t="s">
        <v>3</v>
      </c>
      <c r="AN2" s="5" t="s">
        <v>974</v>
      </c>
      <c r="AO2" s="5" t="s">
        <v>47</v>
      </c>
      <c r="AP2" s="5" t="s">
        <v>1775</v>
      </c>
    </row>
    <row r="3" spans="1:43" x14ac:dyDescent="0.3">
      <c r="A3" s="94">
        <v>0.182</v>
      </c>
      <c r="B3" s="82" t="s">
        <v>1862</v>
      </c>
      <c r="C3" s="82" t="s">
        <v>1839</v>
      </c>
      <c r="D3" s="82">
        <v>2</v>
      </c>
      <c r="E3" s="19" t="s">
        <v>1860</v>
      </c>
      <c r="F3" s="2" t="s">
        <v>1861</v>
      </c>
      <c r="G3" s="27">
        <v>45939</v>
      </c>
      <c r="H3" s="19" t="s">
        <v>61</v>
      </c>
      <c r="I3" s="2" t="s">
        <v>156</v>
      </c>
      <c r="J3" s="13">
        <v>0</v>
      </c>
      <c r="K3" s="13">
        <v>6000</v>
      </c>
      <c r="L3" s="13">
        <v>0</v>
      </c>
      <c r="M3" s="13">
        <f>SUM(J3:L3)</f>
        <v>6000</v>
      </c>
      <c r="N3" s="13">
        <v>0</v>
      </c>
      <c r="O3" s="13">
        <f>M3-N3</f>
        <v>6000</v>
      </c>
      <c r="P3" s="18">
        <v>18.3477</v>
      </c>
      <c r="Q3" s="3">
        <f t="shared" ref="Q3:Q18" si="0">K3*P3</f>
        <v>110086.2</v>
      </c>
      <c r="R3" s="3">
        <f>L3*P3</f>
        <v>0</v>
      </c>
      <c r="S3" s="3">
        <f>M3*P3</f>
        <v>110086.2</v>
      </c>
      <c r="T3" s="3">
        <f>P3*N3</f>
        <v>0</v>
      </c>
      <c r="U3" s="3">
        <f>O3*P3</f>
        <v>110086.2</v>
      </c>
      <c r="V3" s="48"/>
      <c r="W3" s="44"/>
      <c r="X3" s="3">
        <v>6000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H3" s="3">
        <f>X3*P3</f>
        <v>110086.2</v>
      </c>
      <c r="AI3" s="3">
        <f>+Y3*P3</f>
        <v>0</v>
      </c>
      <c r="AJ3" s="60">
        <f>+P3*Z3</f>
        <v>0</v>
      </c>
      <c r="AK3" s="3">
        <f>+AA3*P3</f>
        <v>0</v>
      </c>
      <c r="AL3" s="3">
        <f>+AB3*P3</f>
        <v>0</v>
      </c>
      <c r="AM3" s="3">
        <f>+AC3*P3</f>
        <v>0</v>
      </c>
      <c r="AN3" s="3">
        <f>+AD3*P3</f>
        <v>0</v>
      </c>
      <c r="AO3" s="3">
        <f>+AE3*P3</f>
        <v>0</v>
      </c>
      <c r="AP3" s="3">
        <f>+AF3*P3</f>
        <v>0</v>
      </c>
      <c r="AQ3" s="46"/>
    </row>
    <row r="4" spans="1:43" x14ac:dyDescent="0.3">
      <c r="A4" s="94">
        <v>0.27300000000000002</v>
      </c>
      <c r="B4" s="82" t="s">
        <v>1857</v>
      </c>
      <c r="C4" s="82" t="s">
        <v>1844</v>
      </c>
      <c r="D4" s="82">
        <v>1</v>
      </c>
      <c r="E4" s="19" t="s">
        <v>1875</v>
      </c>
      <c r="F4" s="2" t="s">
        <v>1876</v>
      </c>
      <c r="G4" s="27">
        <v>45944</v>
      </c>
      <c r="H4" s="19" t="s">
        <v>40</v>
      </c>
      <c r="I4" s="38" t="s">
        <v>41</v>
      </c>
      <c r="J4" s="13">
        <v>0</v>
      </c>
      <c r="K4" s="13">
        <v>3517</v>
      </c>
      <c r="L4" s="13">
        <v>0</v>
      </c>
      <c r="M4" s="13">
        <f t="shared" ref="M4:M18" si="1">SUM(J4:L4)</f>
        <v>3517</v>
      </c>
      <c r="N4" s="13">
        <v>0</v>
      </c>
      <c r="O4" s="13">
        <f>M4-N4</f>
        <v>3517</v>
      </c>
      <c r="P4" s="18">
        <v>18.440000000000001</v>
      </c>
      <c r="Q4" s="3">
        <f t="shared" si="0"/>
        <v>64853.48</v>
      </c>
      <c r="R4" s="3">
        <f>L4*P4</f>
        <v>0</v>
      </c>
      <c r="S4" s="3">
        <f>M4*P4</f>
        <v>64853.48</v>
      </c>
      <c r="T4" s="3">
        <f>P4*N4</f>
        <v>0</v>
      </c>
      <c r="U4" s="3">
        <f>O4*P4</f>
        <v>64853.48</v>
      </c>
      <c r="V4" s="48"/>
      <c r="W4" s="44"/>
      <c r="X4" s="3">
        <f>2032+810</f>
        <v>2842</v>
      </c>
      <c r="Y4" s="3">
        <v>0</v>
      </c>
      <c r="Z4" s="3">
        <v>675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H4" s="3">
        <f>X4*P4</f>
        <v>52406.48</v>
      </c>
      <c r="AI4" s="3">
        <f t="shared" ref="AI4:AI18" si="2">+Y4*P4</f>
        <v>0</v>
      </c>
      <c r="AJ4" s="60">
        <f t="shared" ref="AJ4:AJ18" si="3">+P4*Z4</f>
        <v>12447</v>
      </c>
      <c r="AK4" s="3">
        <f>+AA4*P4</f>
        <v>0</v>
      </c>
      <c r="AL4" s="3">
        <f t="shared" ref="AL4:AL18" si="4">+AB4*P4</f>
        <v>0</v>
      </c>
      <c r="AM4" s="3">
        <f t="shared" ref="AM4:AM18" si="5">+AC4*P4</f>
        <v>0</v>
      </c>
      <c r="AN4" s="3">
        <f t="shared" ref="AN4:AN18" si="6">+AD4*P4</f>
        <v>0</v>
      </c>
      <c r="AO4" s="3">
        <f t="shared" ref="AO4:AO18" si="7">+AE4*P4</f>
        <v>0</v>
      </c>
      <c r="AP4" s="3">
        <f>+AF4*P4</f>
        <v>0</v>
      </c>
      <c r="AQ4" s="46"/>
    </row>
    <row r="5" spans="1:43" x14ac:dyDescent="0.3">
      <c r="A5" s="94">
        <v>0.182</v>
      </c>
      <c r="B5" s="82" t="s">
        <v>1862</v>
      </c>
      <c r="C5" s="82" t="s">
        <v>1839</v>
      </c>
      <c r="D5" s="82">
        <v>2</v>
      </c>
      <c r="E5" s="19" t="s">
        <v>1951</v>
      </c>
      <c r="F5" s="2" t="s">
        <v>1981</v>
      </c>
      <c r="G5" s="27">
        <v>45957</v>
      </c>
      <c r="H5" s="19" t="s">
        <v>61</v>
      </c>
      <c r="I5" s="2" t="s">
        <v>156</v>
      </c>
      <c r="J5" s="13">
        <v>0</v>
      </c>
      <c r="K5" s="13">
        <v>6000</v>
      </c>
      <c r="L5" s="13">
        <v>0</v>
      </c>
      <c r="M5" s="13">
        <f t="shared" si="1"/>
        <v>6000</v>
      </c>
      <c r="N5" s="13">
        <v>0</v>
      </c>
      <c r="O5" s="13">
        <f t="shared" ref="O5:O18" si="8">M5-N5</f>
        <v>6000</v>
      </c>
      <c r="P5" s="18">
        <v>18.3948</v>
      </c>
      <c r="Q5" s="3">
        <f t="shared" si="0"/>
        <v>110368.8</v>
      </c>
      <c r="R5" s="3">
        <f>L5*P5</f>
        <v>0</v>
      </c>
      <c r="S5" s="3">
        <f>M5*P5</f>
        <v>110368.8</v>
      </c>
      <c r="T5" s="3">
        <f>P5*N5</f>
        <v>0</v>
      </c>
      <c r="U5" s="3">
        <f>O5*P5</f>
        <v>110368.8</v>
      </c>
      <c r="V5" s="48"/>
      <c r="W5" s="44"/>
      <c r="X5" s="3">
        <v>6000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H5" s="3">
        <f>X5*P5</f>
        <v>110368.8</v>
      </c>
      <c r="AI5" s="3">
        <f t="shared" si="2"/>
        <v>0</v>
      </c>
      <c r="AJ5" s="3">
        <f t="shared" si="3"/>
        <v>0</v>
      </c>
      <c r="AK5" s="3">
        <f>+AA5*P5</f>
        <v>0</v>
      </c>
      <c r="AL5" s="3">
        <f t="shared" si="4"/>
        <v>0</v>
      </c>
      <c r="AM5" s="3">
        <f t="shared" si="5"/>
        <v>0</v>
      </c>
      <c r="AN5" s="3">
        <f t="shared" si="6"/>
        <v>0</v>
      </c>
      <c r="AO5" s="3">
        <f t="shared" si="7"/>
        <v>0</v>
      </c>
      <c r="AP5" s="3">
        <f>+AF5*P5</f>
        <v>0</v>
      </c>
      <c r="AQ5" s="46"/>
    </row>
    <row r="6" spans="1:43" x14ac:dyDescent="0.3">
      <c r="A6" s="94">
        <v>1</v>
      </c>
      <c r="B6" s="82" t="s">
        <v>1857</v>
      </c>
      <c r="C6" s="82" t="s">
        <v>1844</v>
      </c>
      <c r="D6" s="82">
        <v>1</v>
      </c>
      <c r="E6" s="19" t="s">
        <v>1953</v>
      </c>
      <c r="F6" s="2" t="s">
        <v>1983</v>
      </c>
      <c r="G6" s="27">
        <v>45958</v>
      </c>
      <c r="H6" s="19" t="s">
        <v>1187</v>
      </c>
      <c r="I6" s="2" t="s">
        <v>1464</v>
      </c>
      <c r="J6" s="13">
        <v>0</v>
      </c>
      <c r="K6" s="13">
        <v>280</v>
      </c>
      <c r="L6" s="13">
        <v>0</v>
      </c>
      <c r="M6" s="13">
        <f t="shared" si="1"/>
        <v>280</v>
      </c>
      <c r="N6" s="13">
        <v>0</v>
      </c>
      <c r="O6" s="13">
        <f t="shared" si="8"/>
        <v>280</v>
      </c>
      <c r="P6" s="18">
        <v>18.389199999999999</v>
      </c>
      <c r="Q6" s="3">
        <f t="shared" si="0"/>
        <v>5148.9759999999997</v>
      </c>
      <c r="R6" s="3">
        <f t="shared" ref="R6:R18" si="9">L6*P6</f>
        <v>0</v>
      </c>
      <c r="S6" s="3">
        <f t="shared" ref="S6:S18" si="10">M6*P6</f>
        <v>5148.9759999999997</v>
      </c>
      <c r="T6" s="3">
        <f t="shared" ref="T6:T18" si="11">P6*N6</f>
        <v>0</v>
      </c>
      <c r="U6" s="3">
        <f t="shared" ref="U6:U18" si="12">O6*P6</f>
        <v>5148.9759999999997</v>
      </c>
      <c r="V6" s="48"/>
      <c r="W6" s="44"/>
      <c r="X6" s="3">
        <v>0</v>
      </c>
      <c r="Y6" s="3">
        <v>0</v>
      </c>
      <c r="Z6" s="3">
        <v>0</v>
      </c>
      <c r="AA6" s="3">
        <f>140+140</f>
        <v>280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H6" s="3">
        <f>X6*P6</f>
        <v>0</v>
      </c>
      <c r="AI6" s="3">
        <f t="shared" si="2"/>
        <v>0</v>
      </c>
      <c r="AJ6" s="3">
        <f t="shared" si="3"/>
        <v>0</v>
      </c>
      <c r="AK6" s="3">
        <f>+AA6*P6</f>
        <v>5148.9759999999997</v>
      </c>
      <c r="AL6" s="3">
        <f t="shared" si="4"/>
        <v>0</v>
      </c>
      <c r="AM6" s="3">
        <f t="shared" si="5"/>
        <v>0</v>
      </c>
      <c r="AN6" s="3">
        <f t="shared" si="6"/>
        <v>0</v>
      </c>
      <c r="AO6" s="3">
        <f t="shared" si="7"/>
        <v>0</v>
      </c>
      <c r="AP6" s="3">
        <f>+AF6*P6</f>
        <v>0</v>
      </c>
      <c r="AQ6" s="46"/>
    </row>
    <row r="7" spans="1:43" x14ac:dyDescent="0.3">
      <c r="A7" s="94">
        <v>0.183</v>
      </c>
      <c r="B7" s="82" t="s">
        <v>1862</v>
      </c>
      <c r="C7" s="82" t="s">
        <v>1839</v>
      </c>
      <c r="D7" s="82">
        <v>2</v>
      </c>
      <c r="E7" s="19" t="s">
        <v>1956</v>
      </c>
      <c r="F7" s="2" t="s">
        <v>2002</v>
      </c>
      <c r="G7" s="27">
        <v>45958</v>
      </c>
      <c r="H7" s="19" t="s">
        <v>61</v>
      </c>
      <c r="I7" s="2" t="s">
        <v>156</v>
      </c>
      <c r="J7" s="13">
        <v>0</v>
      </c>
      <c r="K7" s="13">
        <v>1900</v>
      </c>
      <c r="L7" s="13">
        <v>0</v>
      </c>
      <c r="M7" s="13">
        <f t="shared" si="1"/>
        <v>1900</v>
      </c>
      <c r="N7" s="13">
        <v>0</v>
      </c>
      <c r="O7" s="13">
        <f t="shared" si="8"/>
        <v>1900</v>
      </c>
      <c r="P7" s="18">
        <v>18.3948</v>
      </c>
      <c r="Q7" s="3">
        <f t="shared" si="0"/>
        <v>34950.120000000003</v>
      </c>
      <c r="R7" s="3">
        <f t="shared" si="9"/>
        <v>0</v>
      </c>
      <c r="S7" s="3">
        <f t="shared" si="10"/>
        <v>34950.120000000003</v>
      </c>
      <c r="T7" s="3">
        <f t="shared" si="11"/>
        <v>0</v>
      </c>
      <c r="U7" s="3">
        <f t="shared" si="12"/>
        <v>34950.120000000003</v>
      </c>
      <c r="V7" s="48"/>
      <c r="W7" s="44"/>
      <c r="X7" s="3">
        <v>1900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H7" s="3">
        <f>X7*P7</f>
        <v>34950.120000000003</v>
      </c>
      <c r="AI7" s="3">
        <f t="shared" si="2"/>
        <v>0</v>
      </c>
      <c r="AJ7" s="3">
        <f t="shared" si="3"/>
        <v>0</v>
      </c>
      <c r="AK7" s="3">
        <f>+AA7*P7</f>
        <v>0</v>
      </c>
      <c r="AL7" s="3">
        <f t="shared" si="4"/>
        <v>0</v>
      </c>
      <c r="AM7" s="3">
        <f t="shared" si="5"/>
        <v>0</v>
      </c>
      <c r="AN7" s="3">
        <f t="shared" si="6"/>
        <v>0</v>
      </c>
      <c r="AO7" s="3">
        <f t="shared" si="7"/>
        <v>0</v>
      </c>
      <c r="AP7" s="3">
        <f>+AF7*P7</f>
        <v>0</v>
      </c>
      <c r="AQ7" s="46"/>
    </row>
    <row r="8" spans="1:43" x14ac:dyDescent="0.3">
      <c r="A8" s="94">
        <v>0.16200000000000001</v>
      </c>
      <c r="B8" s="82" t="s">
        <v>1857</v>
      </c>
      <c r="C8" s="82" t="s">
        <v>1844</v>
      </c>
      <c r="D8" s="82">
        <v>1</v>
      </c>
      <c r="E8" s="19" t="s">
        <v>1974</v>
      </c>
      <c r="F8" s="2" t="s">
        <v>1647</v>
      </c>
      <c r="G8" s="27">
        <v>45961</v>
      </c>
      <c r="H8" s="19" t="s">
        <v>157</v>
      </c>
      <c r="I8" s="2" t="s">
        <v>1378</v>
      </c>
      <c r="J8" s="13">
        <v>0</v>
      </c>
      <c r="K8" s="13">
        <v>4564</v>
      </c>
      <c r="L8" s="13">
        <v>730.24</v>
      </c>
      <c r="M8" s="13">
        <f t="shared" si="1"/>
        <v>5294.24</v>
      </c>
      <c r="N8" s="13">
        <v>5294.24</v>
      </c>
      <c r="O8" s="13">
        <f t="shared" si="8"/>
        <v>0</v>
      </c>
      <c r="P8" s="18">
        <v>18.538</v>
      </c>
      <c r="Q8" s="3">
        <f t="shared" si="0"/>
        <v>84607.432000000001</v>
      </c>
      <c r="R8" s="3">
        <f t="shared" si="9"/>
        <v>13537.189120000001</v>
      </c>
      <c r="S8" s="3">
        <f t="shared" si="10"/>
        <v>98144.621119999996</v>
      </c>
      <c r="T8" s="3">
        <f t="shared" si="11"/>
        <v>98144.621119999996</v>
      </c>
      <c r="U8" s="3">
        <f t="shared" si="12"/>
        <v>0</v>
      </c>
      <c r="V8" s="48"/>
      <c r="W8" s="44"/>
      <c r="X8" s="3">
        <v>3184</v>
      </c>
      <c r="Y8" s="3">
        <v>380</v>
      </c>
      <c r="Z8" s="3">
        <v>0</v>
      </c>
      <c r="AA8" s="3">
        <v>1000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H8" s="3">
        <f t="shared" ref="AH8:AH18" si="13">X8*P8</f>
        <v>59024.991999999998</v>
      </c>
      <c r="AI8" s="3">
        <f t="shared" si="2"/>
        <v>7044.4400000000005</v>
      </c>
      <c r="AJ8" s="3">
        <f t="shared" si="3"/>
        <v>0</v>
      </c>
      <c r="AK8" s="3">
        <f t="shared" ref="AK8:AK18" si="14">+AA8*P8</f>
        <v>18538</v>
      </c>
      <c r="AL8" s="3">
        <f t="shared" si="4"/>
        <v>0</v>
      </c>
      <c r="AM8" s="3">
        <f t="shared" si="5"/>
        <v>0</v>
      </c>
      <c r="AN8" s="3">
        <f t="shared" si="6"/>
        <v>0</v>
      </c>
      <c r="AO8" s="3">
        <f t="shared" si="7"/>
        <v>0</v>
      </c>
      <c r="AP8" s="3">
        <f t="shared" ref="AP8:AP18" si="15">+AF8*P8</f>
        <v>0</v>
      </c>
      <c r="AQ8" s="46"/>
    </row>
    <row r="9" spans="1:43" x14ac:dyDescent="0.3">
      <c r="A9" s="94">
        <v>19.7</v>
      </c>
      <c r="B9" s="82" t="s">
        <v>1862</v>
      </c>
      <c r="C9" s="82" t="s">
        <v>1839</v>
      </c>
      <c r="D9" s="82">
        <v>2</v>
      </c>
      <c r="E9" s="19" t="s">
        <v>2017</v>
      </c>
      <c r="F9" s="2" t="s">
        <v>2018</v>
      </c>
      <c r="G9" s="27">
        <v>45961</v>
      </c>
      <c r="H9" s="19" t="s">
        <v>61</v>
      </c>
      <c r="I9" s="2" t="s">
        <v>156</v>
      </c>
      <c r="J9" s="13">
        <v>0</v>
      </c>
      <c r="K9" s="13">
        <v>790</v>
      </c>
      <c r="L9" s="13">
        <v>0</v>
      </c>
      <c r="M9" s="13">
        <f t="shared" si="1"/>
        <v>790</v>
      </c>
      <c r="N9" s="13">
        <v>0</v>
      </c>
      <c r="O9" s="13">
        <f t="shared" si="8"/>
        <v>790</v>
      </c>
      <c r="P9" s="18">
        <v>18.538</v>
      </c>
      <c r="Q9" s="3">
        <f t="shared" si="0"/>
        <v>14645.02</v>
      </c>
      <c r="R9" s="3">
        <f t="shared" si="9"/>
        <v>0</v>
      </c>
      <c r="S9" s="3">
        <f t="shared" si="10"/>
        <v>14645.02</v>
      </c>
      <c r="T9" s="3">
        <f t="shared" si="11"/>
        <v>0</v>
      </c>
      <c r="U9" s="3">
        <f t="shared" si="12"/>
        <v>14645.02</v>
      </c>
      <c r="V9" s="48"/>
      <c r="W9" s="44"/>
      <c r="X9" s="3">
        <v>790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H9" s="3">
        <f t="shared" si="13"/>
        <v>14645.02</v>
      </c>
      <c r="AI9" s="3">
        <f t="shared" si="2"/>
        <v>0</v>
      </c>
      <c r="AJ9" s="3">
        <f t="shared" si="3"/>
        <v>0</v>
      </c>
      <c r="AK9" s="3">
        <f t="shared" si="14"/>
        <v>0</v>
      </c>
      <c r="AL9" s="3">
        <f t="shared" si="4"/>
        <v>0</v>
      </c>
      <c r="AM9" s="3">
        <f t="shared" si="5"/>
        <v>0</v>
      </c>
      <c r="AN9" s="3">
        <f t="shared" si="6"/>
        <v>0</v>
      </c>
      <c r="AO9" s="3">
        <f t="shared" si="7"/>
        <v>0</v>
      </c>
      <c r="AP9" s="3">
        <f t="shared" si="15"/>
        <v>0</v>
      </c>
      <c r="AQ9" s="46"/>
    </row>
    <row r="10" spans="1:43" x14ac:dyDescent="0.3">
      <c r="A10" s="94"/>
      <c r="B10" s="82"/>
      <c r="C10" s="82"/>
      <c r="D10" s="82"/>
      <c r="E10" s="19"/>
      <c r="F10" s="2"/>
      <c r="G10" s="27"/>
      <c r="H10" s="19"/>
      <c r="I10" s="2"/>
      <c r="J10" s="13"/>
      <c r="K10" s="13"/>
      <c r="L10" s="13"/>
      <c r="M10" s="13">
        <f t="shared" si="1"/>
        <v>0</v>
      </c>
      <c r="N10" s="13"/>
      <c r="O10" s="13">
        <f t="shared" si="8"/>
        <v>0</v>
      </c>
      <c r="P10" s="18"/>
      <c r="Q10" s="3">
        <f t="shared" si="0"/>
        <v>0</v>
      </c>
      <c r="R10" s="3">
        <f t="shared" si="9"/>
        <v>0</v>
      </c>
      <c r="S10" s="3">
        <f t="shared" si="10"/>
        <v>0</v>
      </c>
      <c r="T10" s="3">
        <f t="shared" si="11"/>
        <v>0</v>
      </c>
      <c r="U10" s="3">
        <f t="shared" si="12"/>
        <v>0</v>
      </c>
      <c r="V10" s="48"/>
      <c r="W10" s="44"/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H10" s="3">
        <f t="shared" si="13"/>
        <v>0</v>
      </c>
      <c r="AI10" s="3">
        <f t="shared" si="2"/>
        <v>0</v>
      </c>
      <c r="AJ10" s="3">
        <f t="shared" si="3"/>
        <v>0</v>
      </c>
      <c r="AK10" s="3">
        <f t="shared" si="14"/>
        <v>0</v>
      </c>
      <c r="AL10" s="3">
        <f t="shared" si="4"/>
        <v>0</v>
      </c>
      <c r="AM10" s="3">
        <f t="shared" si="5"/>
        <v>0</v>
      </c>
      <c r="AN10" s="3">
        <f t="shared" si="6"/>
        <v>0</v>
      </c>
      <c r="AO10" s="3">
        <f t="shared" si="7"/>
        <v>0</v>
      </c>
      <c r="AP10" s="3">
        <f t="shared" si="15"/>
        <v>0</v>
      </c>
      <c r="AQ10" s="46"/>
    </row>
    <row r="11" spans="1:43" x14ac:dyDescent="0.3">
      <c r="A11" s="94"/>
      <c r="B11" s="82"/>
      <c r="C11" s="82"/>
      <c r="D11" s="82"/>
      <c r="E11" s="19"/>
      <c r="F11" s="2"/>
      <c r="G11" s="27"/>
      <c r="H11" s="19"/>
      <c r="I11" s="2"/>
      <c r="J11" s="13"/>
      <c r="K11" s="13"/>
      <c r="L11" s="13"/>
      <c r="M11" s="13">
        <f t="shared" si="1"/>
        <v>0</v>
      </c>
      <c r="N11" s="13"/>
      <c r="O11" s="13">
        <f t="shared" si="8"/>
        <v>0</v>
      </c>
      <c r="P11" s="18"/>
      <c r="Q11" s="3">
        <f t="shared" si="0"/>
        <v>0</v>
      </c>
      <c r="R11" s="3">
        <f t="shared" si="9"/>
        <v>0</v>
      </c>
      <c r="S11" s="3">
        <f t="shared" si="10"/>
        <v>0</v>
      </c>
      <c r="T11" s="3">
        <f t="shared" si="11"/>
        <v>0</v>
      </c>
      <c r="U11" s="3">
        <f t="shared" si="12"/>
        <v>0</v>
      </c>
      <c r="V11" s="48"/>
      <c r="W11" s="44"/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H11" s="3">
        <f t="shared" si="13"/>
        <v>0</v>
      </c>
      <c r="AI11" s="3">
        <f t="shared" si="2"/>
        <v>0</v>
      </c>
      <c r="AJ11" s="3">
        <f t="shared" si="3"/>
        <v>0</v>
      </c>
      <c r="AK11" s="3">
        <f t="shared" si="14"/>
        <v>0</v>
      </c>
      <c r="AL11" s="3">
        <f t="shared" si="4"/>
        <v>0</v>
      </c>
      <c r="AM11" s="3">
        <f t="shared" si="5"/>
        <v>0</v>
      </c>
      <c r="AN11" s="3">
        <f t="shared" si="6"/>
        <v>0</v>
      </c>
      <c r="AO11" s="3">
        <f t="shared" si="7"/>
        <v>0</v>
      </c>
      <c r="AP11" s="3">
        <f t="shared" si="15"/>
        <v>0</v>
      </c>
      <c r="AQ11" s="46"/>
    </row>
    <row r="12" spans="1:43" x14ac:dyDescent="0.3">
      <c r="A12" s="94"/>
      <c r="B12" s="82"/>
      <c r="C12" s="82"/>
      <c r="D12" s="82"/>
      <c r="E12" s="19"/>
      <c r="F12" s="2"/>
      <c r="G12" s="27"/>
      <c r="H12" s="19"/>
      <c r="I12" s="2"/>
      <c r="J12" s="13"/>
      <c r="K12" s="13"/>
      <c r="L12" s="13"/>
      <c r="M12" s="13">
        <f t="shared" si="1"/>
        <v>0</v>
      </c>
      <c r="N12" s="13"/>
      <c r="O12" s="13">
        <f t="shared" si="8"/>
        <v>0</v>
      </c>
      <c r="P12" s="18"/>
      <c r="Q12" s="3">
        <f t="shared" si="0"/>
        <v>0</v>
      </c>
      <c r="R12" s="3">
        <f t="shared" si="9"/>
        <v>0</v>
      </c>
      <c r="S12" s="3">
        <f t="shared" si="10"/>
        <v>0</v>
      </c>
      <c r="T12" s="3">
        <f t="shared" si="11"/>
        <v>0</v>
      </c>
      <c r="U12" s="3">
        <f t="shared" si="12"/>
        <v>0</v>
      </c>
      <c r="V12" s="48"/>
      <c r="W12" s="44"/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H12" s="3">
        <f t="shared" si="13"/>
        <v>0</v>
      </c>
      <c r="AI12" s="3">
        <f t="shared" si="2"/>
        <v>0</v>
      </c>
      <c r="AJ12" s="3">
        <f t="shared" si="3"/>
        <v>0</v>
      </c>
      <c r="AK12" s="3">
        <f t="shared" si="14"/>
        <v>0</v>
      </c>
      <c r="AL12" s="3">
        <f t="shared" si="4"/>
        <v>0</v>
      </c>
      <c r="AM12" s="3">
        <f t="shared" si="5"/>
        <v>0</v>
      </c>
      <c r="AN12" s="3">
        <f t="shared" si="6"/>
        <v>0</v>
      </c>
      <c r="AO12" s="3">
        <f t="shared" si="7"/>
        <v>0</v>
      </c>
      <c r="AP12" s="3">
        <f t="shared" si="15"/>
        <v>0</v>
      </c>
      <c r="AQ12" s="46"/>
    </row>
    <row r="13" spans="1:43" x14ac:dyDescent="0.3">
      <c r="A13" s="94"/>
      <c r="B13" s="82"/>
      <c r="C13" s="82"/>
      <c r="D13" s="82"/>
      <c r="E13" s="19"/>
      <c r="F13" s="2"/>
      <c r="G13" s="27"/>
      <c r="H13" s="19"/>
      <c r="I13" s="2"/>
      <c r="J13" s="13"/>
      <c r="K13" s="13"/>
      <c r="L13" s="13"/>
      <c r="M13" s="13">
        <f t="shared" si="1"/>
        <v>0</v>
      </c>
      <c r="N13" s="13"/>
      <c r="O13" s="13">
        <f t="shared" si="8"/>
        <v>0</v>
      </c>
      <c r="P13" s="18"/>
      <c r="Q13" s="3">
        <f t="shared" si="0"/>
        <v>0</v>
      </c>
      <c r="R13" s="3">
        <f t="shared" si="9"/>
        <v>0</v>
      </c>
      <c r="S13" s="3">
        <f t="shared" si="10"/>
        <v>0</v>
      </c>
      <c r="T13" s="3">
        <f t="shared" si="11"/>
        <v>0</v>
      </c>
      <c r="U13" s="3">
        <f t="shared" si="12"/>
        <v>0</v>
      </c>
      <c r="V13" s="48"/>
      <c r="W13" s="44"/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H13" s="3">
        <f t="shared" si="13"/>
        <v>0</v>
      </c>
      <c r="AI13" s="3">
        <f t="shared" si="2"/>
        <v>0</v>
      </c>
      <c r="AJ13" s="3">
        <f t="shared" si="3"/>
        <v>0</v>
      </c>
      <c r="AK13" s="3">
        <f t="shared" si="14"/>
        <v>0</v>
      </c>
      <c r="AL13" s="3">
        <f t="shared" si="4"/>
        <v>0</v>
      </c>
      <c r="AM13" s="3">
        <f t="shared" si="5"/>
        <v>0</v>
      </c>
      <c r="AN13" s="3">
        <f t="shared" si="6"/>
        <v>0</v>
      </c>
      <c r="AO13" s="3">
        <f t="shared" si="7"/>
        <v>0</v>
      </c>
      <c r="AP13" s="3">
        <f t="shared" si="15"/>
        <v>0</v>
      </c>
      <c r="AQ13" s="46"/>
    </row>
    <row r="14" spans="1:43" x14ac:dyDescent="0.3">
      <c r="A14" s="94"/>
      <c r="B14" s="82"/>
      <c r="C14" s="82"/>
      <c r="D14" s="82"/>
      <c r="E14" s="19"/>
      <c r="F14" s="2"/>
      <c r="G14" s="27"/>
      <c r="H14" s="19"/>
      <c r="I14" s="2"/>
      <c r="J14" s="13"/>
      <c r="K14" s="13"/>
      <c r="L14" s="13"/>
      <c r="M14" s="13">
        <f t="shared" si="1"/>
        <v>0</v>
      </c>
      <c r="N14" s="13"/>
      <c r="O14" s="13">
        <f t="shared" si="8"/>
        <v>0</v>
      </c>
      <c r="P14" s="18"/>
      <c r="Q14" s="3">
        <f t="shared" si="0"/>
        <v>0</v>
      </c>
      <c r="R14" s="3">
        <f t="shared" si="9"/>
        <v>0</v>
      </c>
      <c r="S14" s="3">
        <f t="shared" si="10"/>
        <v>0</v>
      </c>
      <c r="T14" s="3">
        <f t="shared" si="11"/>
        <v>0</v>
      </c>
      <c r="U14" s="3">
        <f t="shared" si="12"/>
        <v>0</v>
      </c>
      <c r="V14" s="48"/>
      <c r="W14" s="44"/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H14" s="3">
        <f t="shared" si="13"/>
        <v>0</v>
      </c>
      <c r="AI14" s="3">
        <f t="shared" si="2"/>
        <v>0</v>
      </c>
      <c r="AJ14" s="3">
        <f t="shared" si="3"/>
        <v>0</v>
      </c>
      <c r="AK14" s="3">
        <f t="shared" si="14"/>
        <v>0</v>
      </c>
      <c r="AL14" s="3">
        <f t="shared" si="4"/>
        <v>0</v>
      </c>
      <c r="AM14" s="3">
        <f t="shared" si="5"/>
        <v>0</v>
      </c>
      <c r="AN14" s="3">
        <f t="shared" si="6"/>
        <v>0</v>
      </c>
      <c r="AO14" s="3">
        <f t="shared" si="7"/>
        <v>0</v>
      </c>
      <c r="AP14" s="3">
        <f t="shared" si="15"/>
        <v>0</v>
      </c>
      <c r="AQ14" s="46"/>
    </row>
    <row r="15" spans="1:43" x14ac:dyDescent="0.3">
      <c r="A15" s="94"/>
      <c r="B15" s="82"/>
      <c r="C15" s="82"/>
      <c r="D15" s="82"/>
      <c r="E15" s="19"/>
      <c r="F15" s="2"/>
      <c r="G15" s="27"/>
      <c r="H15" s="19"/>
      <c r="I15" s="2"/>
      <c r="J15" s="13"/>
      <c r="K15" s="13"/>
      <c r="L15" s="13"/>
      <c r="M15" s="13">
        <f t="shared" si="1"/>
        <v>0</v>
      </c>
      <c r="N15" s="13"/>
      <c r="O15" s="13">
        <f t="shared" si="8"/>
        <v>0</v>
      </c>
      <c r="P15" s="18"/>
      <c r="Q15" s="3">
        <f t="shared" si="0"/>
        <v>0</v>
      </c>
      <c r="R15" s="3">
        <f t="shared" si="9"/>
        <v>0</v>
      </c>
      <c r="S15" s="3">
        <f t="shared" si="10"/>
        <v>0</v>
      </c>
      <c r="T15" s="3">
        <f t="shared" si="11"/>
        <v>0</v>
      </c>
      <c r="U15" s="3">
        <f t="shared" si="12"/>
        <v>0</v>
      </c>
      <c r="V15" s="48"/>
      <c r="W15" s="44"/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H15" s="3">
        <f t="shared" si="13"/>
        <v>0</v>
      </c>
      <c r="AI15" s="3">
        <f t="shared" si="2"/>
        <v>0</v>
      </c>
      <c r="AJ15" s="3">
        <f t="shared" si="3"/>
        <v>0</v>
      </c>
      <c r="AK15" s="3">
        <f t="shared" si="14"/>
        <v>0</v>
      </c>
      <c r="AL15" s="3">
        <f t="shared" si="4"/>
        <v>0</v>
      </c>
      <c r="AM15" s="3">
        <f t="shared" si="5"/>
        <v>0</v>
      </c>
      <c r="AN15" s="3">
        <f t="shared" si="6"/>
        <v>0</v>
      </c>
      <c r="AO15" s="3">
        <f t="shared" si="7"/>
        <v>0</v>
      </c>
      <c r="AP15" s="3">
        <f t="shared" si="15"/>
        <v>0</v>
      </c>
      <c r="AQ15" s="46"/>
    </row>
    <row r="16" spans="1:43" x14ac:dyDescent="0.3">
      <c r="A16" s="94"/>
      <c r="B16" s="82"/>
      <c r="C16" s="82"/>
      <c r="D16" s="51"/>
      <c r="E16" s="19"/>
      <c r="F16" s="2"/>
      <c r="G16" s="27"/>
      <c r="H16" s="19"/>
      <c r="I16" s="2"/>
      <c r="J16" s="13"/>
      <c r="K16" s="13"/>
      <c r="L16" s="13"/>
      <c r="M16" s="13">
        <f t="shared" si="1"/>
        <v>0</v>
      </c>
      <c r="N16" s="13"/>
      <c r="O16" s="13">
        <f t="shared" si="8"/>
        <v>0</v>
      </c>
      <c r="P16" s="18"/>
      <c r="Q16" s="3">
        <f t="shared" si="0"/>
        <v>0</v>
      </c>
      <c r="R16" s="3">
        <f t="shared" si="9"/>
        <v>0</v>
      </c>
      <c r="S16" s="3">
        <f t="shared" si="10"/>
        <v>0</v>
      </c>
      <c r="T16" s="3">
        <f t="shared" si="11"/>
        <v>0</v>
      </c>
      <c r="U16" s="3">
        <f t="shared" si="12"/>
        <v>0</v>
      </c>
      <c r="V16" s="48"/>
      <c r="W16" s="44"/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H16" s="3">
        <f t="shared" si="13"/>
        <v>0</v>
      </c>
      <c r="AI16" s="3">
        <f t="shared" si="2"/>
        <v>0</v>
      </c>
      <c r="AJ16" s="3">
        <f t="shared" si="3"/>
        <v>0</v>
      </c>
      <c r="AK16" s="3">
        <f t="shared" si="14"/>
        <v>0</v>
      </c>
      <c r="AL16" s="3">
        <f t="shared" si="4"/>
        <v>0</v>
      </c>
      <c r="AM16" s="3">
        <f t="shared" si="5"/>
        <v>0</v>
      </c>
      <c r="AN16" s="3">
        <f t="shared" si="6"/>
        <v>0</v>
      </c>
      <c r="AO16" s="3">
        <f t="shared" si="7"/>
        <v>0</v>
      </c>
      <c r="AP16" s="3">
        <f t="shared" si="15"/>
        <v>0</v>
      </c>
      <c r="AQ16" s="46"/>
    </row>
    <row r="17" spans="1:43" x14ac:dyDescent="0.3">
      <c r="A17" s="94"/>
      <c r="B17" s="82"/>
      <c r="C17" s="82"/>
      <c r="D17" s="51"/>
      <c r="E17" s="19"/>
      <c r="F17" s="2"/>
      <c r="G17" s="27"/>
      <c r="H17" s="19"/>
      <c r="I17" s="2"/>
      <c r="J17" s="13"/>
      <c r="K17" s="13"/>
      <c r="L17" s="13"/>
      <c r="M17" s="13">
        <f t="shared" si="1"/>
        <v>0</v>
      </c>
      <c r="N17" s="13"/>
      <c r="O17" s="13">
        <f t="shared" si="8"/>
        <v>0</v>
      </c>
      <c r="P17" s="18"/>
      <c r="Q17" s="3">
        <f t="shared" si="0"/>
        <v>0</v>
      </c>
      <c r="R17" s="3">
        <f t="shared" si="9"/>
        <v>0</v>
      </c>
      <c r="S17" s="3">
        <f t="shared" si="10"/>
        <v>0</v>
      </c>
      <c r="T17" s="3">
        <f t="shared" si="11"/>
        <v>0</v>
      </c>
      <c r="U17" s="3">
        <f t="shared" si="12"/>
        <v>0</v>
      </c>
      <c r="V17" s="48"/>
      <c r="W17" s="44"/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H17" s="3">
        <f t="shared" si="13"/>
        <v>0</v>
      </c>
      <c r="AI17" s="3">
        <f t="shared" si="2"/>
        <v>0</v>
      </c>
      <c r="AJ17" s="3">
        <f t="shared" si="3"/>
        <v>0</v>
      </c>
      <c r="AK17" s="3">
        <f t="shared" si="14"/>
        <v>0</v>
      </c>
      <c r="AL17" s="3">
        <f t="shared" si="4"/>
        <v>0</v>
      </c>
      <c r="AM17" s="3">
        <f t="shared" si="5"/>
        <v>0</v>
      </c>
      <c r="AN17" s="3">
        <f t="shared" si="6"/>
        <v>0</v>
      </c>
      <c r="AO17" s="3">
        <f t="shared" si="7"/>
        <v>0</v>
      </c>
      <c r="AP17" s="3">
        <f t="shared" si="15"/>
        <v>0</v>
      </c>
      <c r="AQ17" s="46"/>
    </row>
    <row r="18" spans="1:43" x14ac:dyDescent="0.3">
      <c r="A18" s="94"/>
      <c r="B18" s="82"/>
      <c r="C18" s="82"/>
      <c r="D18" s="51"/>
      <c r="E18" s="19"/>
      <c r="F18" s="2"/>
      <c r="G18" s="27"/>
      <c r="H18" s="19"/>
      <c r="I18" s="2"/>
      <c r="J18" s="13"/>
      <c r="K18" s="13"/>
      <c r="L18" s="13"/>
      <c r="M18" s="13">
        <f t="shared" si="1"/>
        <v>0</v>
      </c>
      <c r="N18" s="13"/>
      <c r="O18" s="13">
        <f t="shared" si="8"/>
        <v>0</v>
      </c>
      <c r="P18" s="18"/>
      <c r="Q18" s="3">
        <f t="shared" si="0"/>
        <v>0</v>
      </c>
      <c r="R18" s="3">
        <f t="shared" si="9"/>
        <v>0</v>
      </c>
      <c r="S18" s="3">
        <f t="shared" si="10"/>
        <v>0</v>
      </c>
      <c r="T18" s="3">
        <f t="shared" si="11"/>
        <v>0</v>
      </c>
      <c r="U18" s="3">
        <f t="shared" si="12"/>
        <v>0</v>
      </c>
      <c r="V18" s="48"/>
      <c r="W18" s="44"/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H18" s="3">
        <f t="shared" si="13"/>
        <v>0</v>
      </c>
      <c r="AI18" s="3">
        <f t="shared" si="2"/>
        <v>0</v>
      </c>
      <c r="AJ18" s="3">
        <f t="shared" si="3"/>
        <v>0</v>
      </c>
      <c r="AK18" s="3">
        <f t="shared" si="14"/>
        <v>0</v>
      </c>
      <c r="AL18" s="3">
        <f t="shared" si="4"/>
        <v>0</v>
      </c>
      <c r="AM18" s="3">
        <f t="shared" si="5"/>
        <v>0</v>
      </c>
      <c r="AN18" s="3">
        <f t="shared" si="6"/>
        <v>0</v>
      </c>
      <c r="AO18" s="3">
        <f t="shared" si="7"/>
        <v>0</v>
      </c>
      <c r="AP18" s="3">
        <f t="shared" si="15"/>
        <v>0</v>
      </c>
      <c r="AQ18" s="46"/>
    </row>
    <row r="19" spans="1:43" ht="15" thickBot="1" x14ac:dyDescent="0.35">
      <c r="D19" s="14"/>
      <c r="E19" s="14"/>
      <c r="F19" s="14"/>
      <c r="G19" s="28"/>
      <c r="H19" s="14"/>
      <c r="I19" s="14"/>
      <c r="J19" s="17">
        <f t="shared" ref="J19:O19" si="16">+SUM(J3:J18)</f>
        <v>0</v>
      </c>
      <c r="K19" s="59">
        <f t="shared" si="16"/>
        <v>23051</v>
      </c>
      <c r="L19" s="17">
        <f t="shared" si="16"/>
        <v>730.24</v>
      </c>
      <c r="M19" s="17">
        <f t="shared" si="16"/>
        <v>23781.239999999998</v>
      </c>
      <c r="N19" s="17">
        <f t="shared" si="16"/>
        <v>5294.24</v>
      </c>
      <c r="O19" s="17">
        <f t="shared" si="16"/>
        <v>18487</v>
      </c>
      <c r="P19" s="14"/>
      <c r="Q19" s="55">
        <f>+SUM(Q3:Q18)</f>
        <v>424660.02800000005</v>
      </c>
      <c r="R19" s="16">
        <f>+SUM(R3:R18)</f>
        <v>13537.189120000001</v>
      </c>
      <c r="S19" s="16">
        <f>+SUM(S3:S18)</f>
        <v>438197.21712000004</v>
      </c>
      <c r="T19" s="16">
        <f>+SUM(T3:T18)</f>
        <v>98144.621119999996</v>
      </c>
      <c r="U19" s="16">
        <f>+SUM(U3:U18)</f>
        <v>340052.59600000002</v>
      </c>
      <c r="V19" s="15"/>
      <c r="W19" s="15"/>
      <c r="X19" s="17">
        <f t="shared" ref="X19:AF19" si="17">+SUM(X3:X18)</f>
        <v>20716</v>
      </c>
      <c r="Y19" s="17">
        <f t="shared" si="17"/>
        <v>380</v>
      </c>
      <c r="Z19" s="17">
        <f t="shared" si="17"/>
        <v>675</v>
      </c>
      <c r="AA19" s="17">
        <f t="shared" si="17"/>
        <v>1280</v>
      </c>
      <c r="AB19" s="17">
        <f t="shared" si="17"/>
        <v>0</v>
      </c>
      <c r="AC19" s="17">
        <f t="shared" si="17"/>
        <v>0</v>
      </c>
      <c r="AD19" s="17">
        <f t="shared" si="17"/>
        <v>0</v>
      </c>
      <c r="AE19" s="17">
        <f t="shared" si="17"/>
        <v>0</v>
      </c>
      <c r="AF19" s="17">
        <f t="shared" si="17"/>
        <v>0</v>
      </c>
      <c r="AG19" s="14"/>
      <c r="AH19" s="16">
        <f t="shared" ref="AH19:AP19" si="18">+SUM(AH3:AH18)</f>
        <v>381481.61199999996</v>
      </c>
      <c r="AI19" s="16">
        <f t="shared" si="18"/>
        <v>7044.4400000000005</v>
      </c>
      <c r="AJ19" s="16">
        <f t="shared" si="18"/>
        <v>12447</v>
      </c>
      <c r="AK19" s="16">
        <f t="shared" si="18"/>
        <v>23686.975999999999</v>
      </c>
      <c r="AL19" s="16">
        <f t="shared" si="18"/>
        <v>0</v>
      </c>
      <c r="AM19" s="16">
        <f t="shared" si="18"/>
        <v>0</v>
      </c>
      <c r="AN19" s="16">
        <f t="shared" si="18"/>
        <v>0</v>
      </c>
      <c r="AO19" s="16">
        <f t="shared" si="18"/>
        <v>0</v>
      </c>
      <c r="AP19" s="16">
        <f t="shared" si="18"/>
        <v>0</v>
      </c>
      <c r="AQ19" s="14"/>
    </row>
    <row r="20" spans="1:43" ht="15" thickTop="1" x14ac:dyDescent="0.3">
      <c r="AF20" s="34">
        <f>+SUM(W19:AF19)</f>
        <v>23051</v>
      </c>
      <c r="AP20" s="1">
        <f>+SUM(AH19:AP19)</f>
        <v>424660.02799999999</v>
      </c>
    </row>
    <row r="21" spans="1:43" x14ac:dyDescent="0.3">
      <c r="K21" s="23"/>
      <c r="Q21" s="1"/>
      <c r="R21" s="23"/>
      <c r="S21" s="32"/>
      <c r="AF21" s="34">
        <f>+AF20-K19</f>
        <v>0</v>
      </c>
      <c r="AP21" s="1">
        <f>+AP20-Q19</f>
        <v>0</v>
      </c>
    </row>
    <row r="22" spans="1:43" x14ac:dyDescent="0.3">
      <c r="K22" s="23"/>
      <c r="L22" s="32"/>
      <c r="P22">
        <v>16</v>
      </c>
      <c r="Q22" s="46">
        <f>+Q8</f>
        <v>84607.432000000001</v>
      </c>
      <c r="R22" s="81"/>
    </row>
    <row r="23" spans="1:43" x14ac:dyDescent="0.3">
      <c r="P23">
        <v>0</v>
      </c>
      <c r="Q23" s="23">
        <f>+Q3+Q4+Q5+Q6+Q7+Q9</f>
        <v>340052.59600000002</v>
      </c>
      <c r="R23" s="81"/>
    </row>
    <row r="24" spans="1:43" x14ac:dyDescent="0.3">
      <c r="Q24" s="23"/>
    </row>
    <row r="25" spans="1:43" x14ac:dyDescent="0.3">
      <c r="Q25" s="23">
        <f>+Q19-Q22-Q23</f>
        <v>0</v>
      </c>
    </row>
    <row r="26" spans="1:43" x14ac:dyDescent="0.3">
      <c r="P26" s="32"/>
    </row>
    <row r="27" spans="1:43" x14ac:dyDescent="0.3">
      <c r="P27" s="32"/>
    </row>
  </sheetData>
  <autoFilter ref="D2:AP19" xr:uid="{8AB32C8C-2F1A-4C1B-BB94-CF5A4C8E86AF}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7B7C-6A0B-442E-9112-1B8EC629BE23}">
  <sheetPr>
    <tabColor rgb="FF0070C0"/>
  </sheetPr>
  <dimension ref="A1:AS117"/>
  <sheetViews>
    <sheetView showGridLines="0" zoomScale="90" zoomScaleNormal="90" zoomScaleSheetLayoutView="50" workbookViewId="0">
      <pane xSplit="3" ySplit="1" topLeftCell="D73" activePane="bottomRight" state="frozen"/>
      <selection activeCell="F21" sqref="F21"/>
      <selection pane="topRight" activeCell="F21" sqref="F21"/>
      <selection pane="bottomLeft" activeCell="F21" sqref="F21"/>
      <selection pane="bottomRight" activeCell="E92" sqref="E92:F92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4" width="16.44140625" style="1" customWidth="1"/>
    <col min="35" max="37" width="15.6640625" style="1" customWidth="1"/>
    <col min="38" max="38" width="18.109375" style="1" bestFit="1" customWidth="1"/>
    <col min="39" max="39" width="38.109375" style="1" customWidth="1"/>
    <col min="40" max="40" width="35.6640625" style="1" customWidth="1"/>
    <col min="41" max="41" width="15.6640625" style="1" customWidth="1"/>
    <col min="42" max="42" width="12.33203125" bestFit="1" customWidth="1"/>
    <col min="43" max="43" width="13.88671875" bestFit="1" customWidth="1"/>
    <col min="44" max="44" width="12.5546875" bestFit="1" customWidth="1"/>
  </cols>
  <sheetData>
    <row r="1" spans="1:44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670</v>
      </c>
      <c r="Z1" s="5" t="s">
        <v>974</v>
      </c>
      <c r="AA1" s="5" t="s">
        <v>545</v>
      </c>
      <c r="AB1" s="5" t="s">
        <v>5</v>
      </c>
      <c r="AC1" s="5" t="s">
        <v>55</v>
      </c>
      <c r="AD1" s="5" t="s">
        <v>1219</v>
      </c>
      <c r="AE1" s="5" t="s">
        <v>1220</v>
      </c>
      <c r="AF1" s="5" t="s">
        <v>396</v>
      </c>
      <c r="AG1" s="5" t="s">
        <v>585</v>
      </c>
      <c r="AH1" s="5" t="s">
        <v>763</v>
      </c>
      <c r="AI1"/>
      <c r="AJ1" s="92" t="s">
        <v>1815</v>
      </c>
      <c r="AK1" s="92" t="s">
        <v>1816</v>
      </c>
      <c r="AL1" s="92" t="s">
        <v>1817</v>
      </c>
      <c r="AM1" s="9"/>
      <c r="AN1" s="7"/>
      <c r="AO1" s="5" t="s">
        <v>35</v>
      </c>
      <c r="AP1" s="5" t="s">
        <v>36</v>
      </c>
      <c r="AQ1" s="5" t="s">
        <v>17</v>
      </c>
      <c r="AR1" s="5" t="s">
        <v>59</v>
      </c>
    </row>
    <row r="2" spans="1:44" x14ac:dyDescent="0.3">
      <c r="A2" s="38">
        <v>2</v>
      </c>
      <c r="B2" s="38" t="s">
        <v>2019</v>
      </c>
      <c r="C2" s="38" t="s">
        <v>2020</v>
      </c>
      <c r="D2" s="39">
        <v>45971</v>
      </c>
      <c r="E2" s="38" t="s">
        <v>22</v>
      </c>
      <c r="F2" s="38" t="s">
        <v>45</v>
      </c>
      <c r="G2" s="40">
        <v>0</v>
      </c>
      <c r="H2" s="87">
        <v>800</v>
      </c>
      <c r="I2" s="40">
        <f>+H2*0.16</f>
        <v>128</v>
      </c>
      <c r="J2" s="40">
        <f>SUM(G2:I2)</f>
        <v>928</v>
      </c>
      <c r="K2" s="40">
        <v>928</v>
      </c>
      <c r="L2" s="40">
        <f>+J2-K2</f>
        <v>0</v>
      </c>
      <c r="M2" s="38" t="s">
        <v>35</v>
      </c>
      <c r="N2" s="54"/>
      <c r="O2" s="36"/>
      <c r="P2" s="40">
        <v>0</v>
      </c>
      <c r="Q2" s="40">
        <v>0</v>
      </c>
      <c r="R2" s="41"/>
      <c r="S2" s="40">
        <v>0</v>
      </c>
      <c r="T2" s="40">
        <v>0</v>
      </c>
      <c r="U2" s="40">
        <v>0</v>
      </c>
      <c r="V2" s="40">
        <v>0</v>
      </c>
      <c r="W2" s="40">
        <v>800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36">
        <f t="shared" ref="AI2:AI30" si="0">+SUM(S2:AH2)-H2</f>
        <v>0</v>
      </c>
      <c r="AJ2" s="93">
        <v>0.193</v>
      </c>
      <c r="AK2" s="40" t="s">
        <v>2054</v>
      </c>
      <c r="AL2" s="40" t="s">
        <v>1839</v>
      </c>
      <c r="AM2"/>
      <c r="AN2" s="58" t="s">
        <v>1</v>
      </c>
      <c r="AO2" s="1">
        <f>+S100</f>
        <v>819018.22999999986</v>
      </c>
      <c r="AP2" s="1">
        <f>+'NOV USD'!AI19</f>
        <v>0</v>
      </c>
      <c r="AQ2" s="1">
        <f>SUM(AO2:AP2)</f>
        <v>819018.22999999986</v>
      </c>
      <c r="AR2" s="56">
        <f>+AQ2/AQ21</f>
        <v>0.20510702474065723</v>
      </c>
    </row>
    <row r="3" spans="1:44" x14ac:dyDescent="0.3">
      <c r="A3" s="38">
        <v>2</v>
      </c>
      <c r="B3" s="38" t="s">
        <v>2021</v>
      </c>
      <c r="C3" s="38" t="s">
        <v>2022</v>
      </c>
      <c r="D3" s="39">
        <v>45971</v>
      </c>
      <c r="E3" s="38" t="s">
        <v>22</v>
      </c>
      <c r="F3" s="38" t="s">
        <v>45</v>
      </c>
      <c r="G3" s="40">
        <v>336</v>
      </c>
      <c r="H3" s="87">
        <v>4200</v>
      </c>
      <c r="I3" s="40">
        <f t="shared" ref="I3:I66" si="1">+H3*0.16</f>
        <v>672</v>
      </c>
      <c r="J3" s="40">
        <f t="shared" ref="J3:J61" si="2">SUM(G3:I3)</f>
        <v>5208</v>
      </c>
      <c r="K3" s="40">
        <v>5208</v>
      </c>
      <c r="L3" s="40">
        <f t="shared" ref="L3:L66" si="3">+J3-K3</f>
        <v>0</v>
      </c>
      <c r="M3" s="38" t="s">
        <v>35</v>
      </c>
      <c r="N3" s="54"/>
      <c r="O3" s="36"/>
      <c r="P3" s="40">
        <v>0</v>
      </c>
      <c r="Q3" s="40">
        <v>336</v>
      </c>
      <c r="R3" s="40"/>
      <c r="S3" s="40">
        <v>4200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 s="93">
        <v>0.61899999999999999</v>
      </c>
      <c r="AK3" s="40" t="s">
        <v>1842</v>
      </c>
      <c r="AL3" s="40" t="s">
        <v>1839</v>
      </c>
      <c r="AM3"/>
      <c r="AN3" s="58" t="s">
        <v>50</v>
      </c>
      <c r="AO3" s="1">
        <f>+T100</f>
        <v>10374.720000000001</v>
      </c>
      <c r="AP3" s="1">
        <v>0</v>
      </c>
      <c r="AQ3" s="1">
        <f t="shared" ref="AQ3:AQ20" si="4">SUM(AO3:AP3)</f>
        <v>10374.720000000001</v>
      </c>
      <c r="AR3" s="56">
        <f>+AQ3/AQ21</f>
        <v>2.598144795528412E-3</v>
      </c>
    </row>
    <row r="4" spans="1:44" x14ac:dyDescent="0.3">
      <c r="A4" s="38">
        <v>1</v>
      </c>
      <c r="B4" s="38" t="s">
        <v>2023</v>
      </c>
      <c r="C4" s="38" t="s">
        <v>2024</v>
      </c>
      <c r="D4" s="39">
        <v>45971</v>
      </c>
      <c r="E4" s="38" t="s">
        <v>40</v>
      </c>
      <c r="F4" s="38" t="s">
        <v>41</v>
      </c>
      <c r="G4" s="40">
        <v>0</v>
      </c>
      <c r="H4" s="87">
        <v>11210.77</v>
      </c>
      <c r="I4" s="40">
        <f t="shared" si="1"/>
        <v>1793.7232000000001</v>
      </c>
      <c r="J4" s="40">
        <f t="shared" si="2"/>
        <v>13004.493200000001</v>
      </c>
      <c r="K4" s="40">
        <v>0</v>
      </c>
      <c r="L4" s="40">
        <f t="shared" si="3"/>
        <v>13004.493200000001</v>
      </c>
      <c r="M4" s="38" t="s">
        <v>35</v>
      </c>
      <c r="N4" s="54"/>
      <c r="O4" s="36"/>
      <c r="P4" s="40">
        <v>0</v>
      </c>
      <c r="Q4" s="40">
        <v>0</v>
      </c>
      <c r="R4" s="40"/>
      <c r="S4" s="40">
        <v>3677.84</v>
      </c>
      <c r="T4" s="40">
        <v>1500</v>
      </c>
      <c r="U4" s="40">
        <v>1575.43</v>
      </c>
      <c r="V4" s="40">
        <v>0</v>
      </c>
      <c r="W4" s="40">
        <f>1957.5+2500</f>
        <v>4457.5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36">
        <f t="shared" si="0"/>
        <v>0</v>
      </c>
      <c r="AJ4" s="93">
        <v>0.47299999999999998</v>
      </c>
      <c r="AK4" s="40" t="s">
        <v>1857</v>
      </c>
      <c r="AL4" s="40" t="s">
        <v>1884</v>
      </c>
      <c r="AM4"/>
      <c r="AN4" s="58" t="s">
        <v>54</v>
      </c>
      <c r="AO4" s="1">
        <f>+U100</f>
        <v>1392243.71</v>
      </c>
      <c r="AP4" s="1">
        <f>+'NOV USD'!AK19</f>
        <v>0</v>
      </c>
      <c r="AQ4" s="1">
        <f t="shared" si="4"/>
        <v>1392243.71</v>
      </c>
      <c r="AR4" s="56">
        <f>+AQ4/AQ21</f>
        <v>0.34866008424744638</v>
      </c>
    </row>
    <row r="5" spans="1:44" x14ac:dyDescent="0.3">
      <c r="A5" s="38">
        <v>2</v>
      </c>
      <c r="B5" s="38" t="s">
        <v>2025</v>
      </c>
      <c r="C5" s="38" t="s">
        <v>2026</v>
      </c>
      <c r="D5" s="39">
        <v>45971</v>
      </c>
      <c r="E5" s="38" t="s">
        <v>40</v>
      </c>
      <c r="F5" s="38" t="s">
        <v>41</v>
      </c>
      <c r="G5" s="40">
        <v>0</v>
      </c>
      <c r="H5" s="87">
        <f>4200+8380.49</f>
        <v>12580.49</v>
      </c>
      <c r="I5" s="40">
        <f t="shared" si="1"/>
        <v>2012.8784000000001</v>
      </c>
      <c r="J5" s="40">
        <f t="shared" si="2"/>
        <v>14593.368399999999</v>
      </c>
      <c r="K5" s="40">
        <v>0</v>
      </c>
      <c r="L5" s="40">
        <f t="shared" si="3"/>
        <v>14593.368399999999</v>
      </c>
      <c r="M5" s="38" t="s">
        <v>35</v>
      </c>
      <c r="N5" s="54"/>
      <c r="O5" s="36"/>
      <c r="P5" s="40">
        <v>0</v>
      </c>
      <c r="Q5" s="40">
        <v>0</v>
      </c>
      <c r="R5" s="41"/>
      <c r="S5" s="40">
        <v>4200</v>
      </c>
      <c r="T5" s="40">
        <v>0</v>
      </c>
      <c r="U5" s="40">
        <v>0</v>
      </c>
      <c r="V5" s="40">
        <v>0</v>
      </c>
      <c r="W5" s="40">
        <v>8380.49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 s="93">
        <v>0.51100000000000001</v>
      </c>
      <c r="AK5" s="40" t="s">
        <v>2055</v>
      </c>
      <c r="AL5" s="40" t="s">
        <v>1839</v>
      </c>
      <c r="AM5"/>
      <c r="AN5" s="58" t="s">
        <v>43</v>
      </c>
      <c r="AO5" s="1">
        <f>+V100</f>
        <v>768011.16</v>
      </c>
      <c r="AP5" s="1">
        <v>0</v>
      </c>
      <c r="AQ5" s="1">
        <f t="shared" si="4"/>
        <v>768011.16</v>
      </c>
      <c r="AR5" s="56">
        <f>+AQ5/AQ21</f>
        <v>0.19233330617710534</v>
      </c>
    </row>
    <row r="6" spans="1:44" x14ac:dyDescent="0.3">
      <c r="A6" s="38">
        <v>2</v>
      </c>
      <c r="B6" s="38" t="s">
        <v>2027</v>
      </c>
      <c r="C6" s="38" t="s">
        <v>2028</v>
      </c>
      <c r="D6" s="39">
        <v>45971</v>
      </c>
      <c r="E6" s="38" t="s">
        <v>40</v>
      </c>
      <c r="F6" s="38" t="s">
        <v>41</v>
      </c>
      <c r="G6" s="40">
        <v>0</v>
      </c>
      <c r="H6" s="87">
        <v>4200</v>
      </c>
      <c r="I6" s="40">
        <f t="shared" si="1"/>
        <v>672</v>
      </c>
      <c r="J6" s="40">
        <f t="shared" si="2"/>
        <v>4872</v>
      </c>
      <c r="K6" s="40">
        <v>0</v>
      </c>
      <c r="L6" s="40">
        <f t="shared" si="3"/>
        <v>4872</v>
      </c>
      <c r="M6" s="38" t="s">
        <v>35</v>
      </c>
      <c r="N6" s="54"/>
      <c r="O6" s="36"/>
      <c r="P6" s="40">
        <v>0</v>
      </c>
      <c r="Q6" s="40">
        <v>0</v>
      </c>
      <c r="R6" s="41"/>
      <c r="S6" s="40">
        <v>4200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36">
        <f t="shared" si="0"/>
        <v>0</v>
      </c>
      <c r="AJ6" s="93">
        <v>0.47</v>
      </c>
      <c r="AK6" s="40" t="s">
        <v>2055</v>
      </c>
      <c r="AL6" s="40" t="s">
        <v>1839</v>
      </c>
      <c r="AM6"/>
      <c r="AN6" s="58" t="s">
        <v>0</v>
      </c>
      <c r="AO6" s="1">
        <f>+W100</f>
        <v>649365.49</v>
      </c>
      <c r="AP6" s="1">
        <f>+'NOV USD'!AH19</f>
        <v>198188.24429999999</v>
      </c>
      <c r="AQ6" s="1">
        <f t="shared" si="4"/>
        <v>847553.73430000001</v>
      </c>
      <c r="AR6" s="56">
        <f>+AQ6/AQ21</f>
        <v>0.21225318116558473</v>
      </c>
    </row>
    <row r="7" spans="1:44" x14ac:dyDescent="0.3">
      <c r="A7" s="38">
        <v>1</v>
      </c>
      <c r="B7" s="38" t="s">
        <v>2030</v>
      </c>
      <c r="C7" s="50" t="s">
        <v>2032</v>
      </c>
      <c r="D7" s="39">
        <v>45971</v>
      </c>
      <c r="E7" s="38" t="s">
        <v>53</v>
      </c>
      <c r="F7" s="38" t="s">
        <v>199</v>
      </c>
      <c r="G7" s="40">
        <v>781</v>
      </c>
      <c r="H7" s="87">
        <f>14964.29-G7</f>
        <v>14183.29</v>
      </c>
      <c r="I7" s="40">
        <f t="shared" si="1"/>
        <v>2269.3264000000004</v>
      </c>
      <c r="J7" s="40">
        <f t="shared" si="2"/>
        <v>17233.616400000003</v>
      </c>
      <c r="K7" s="40">
        <v>21313</v>
      </c>
      <c r="L7" s="40">
        <f t="shared" si="3"/>
        <v>-4079.3835999999974</v>
      </c>
      <c r="M7" s="38" t="s">
        <v>35</v>
      </c>
      <c r="N7" s="54"/>
      <c r="O7" s="36"/>
      <c r="P7" s="40">
        <v>0</v>
      </c>
      <c r="Q7" s="40">
        <v>781</v>
      </c>
      <c r="R7" s="41"/>
      <c r="S7" s="40">
        <v>7200</v>
      </c>
      <c r="T7" s="40">
        <v>608.91999999999996</v>
      </c>
      <c r="U7" s="40">
        <v>2374.37</v>
      </c>
      <c r="V7" s="40">
        <v>0</v>
      </c>
      <c r="W7" s="40">
        <v>4000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36">
        <f t="shared" si="0"/>
        <v>0</v>
      </c>
      <c r="AJ7" s="93">
        <v>0.498</v>
      </c>
      <c r="AK7" s="40" t="s">
        <v>2056</v>
      </c>
      <c r="AL7" s="40" t="s">
        <v>1884</v>
      </c>
      <c r="AM7"/>
      <c r="AN7" s="58" t="s">
        <v>478</v>
      </c>
      <c r="AO7" s="1">
        <f>+X100</f>
        <v>18000</v>
      </c>
      <c r="AP7" s="1">
        <v>0</v>
      </c>
      <c r="AQ7" s="1">
        <f t="shared" si="4"/>
        <v>18000</v>
      </c>
      <c r="AR7" s="80">
        <f>+AQ7/AQ21</f>
        <v>4.5077463603366077E-3</v>
      </c>
    </row>
    <row r="8" spans="1:44" x14ac:dyDescent="0.3">
      <c r="A8" s="38">
        <v>1</v>
      </c>
      <c r="B8" s="38" t="s">
        <v>2031</v>
      </c>
      <c r="C8" s="38" t="s">
        <v>2033</v>
      </c>
      <c r="D8" s="39">
        <v>45971</v>
      </c>
      <c r="E8" s="38" t="s">
        <v>53</v>
      </c>
      <c r="F8" s="38" t="s">
        <v>199</v>
      </c>
      <c r="G8" s="40">
        <v>781</v>
      </c>
      <c r="H8" s="87">
        <f>7200+3688</f>
        <v>10888</v>
      </c>
      <c r="I8" s="40">
        <f t="shared" si="1"/>
        <v>1742.08</v>
      </c>
      <c r="J8" s="40">
        <f t="shared" si="2"/>
        <v>13411.08</v>
      </c>
      <c r="K8" s="40">
        <v>38133</v>
      </c>
      <c r="L8" s="40">
        <f t="shared" si="3"/>
        <v>-24721.919999999998</v>
      </c>
      <c r="M8" s="38" t="s">
        <v>35</v>
      </c>
      <c r="N8" s="54"/>
      <c r="O8" s="36"/>
      <c r="P8" s="40">
        <v>0</v>
      </c>
      <c r="Q8" s="40">
        <v>781</v>
      </c>
      <c r="R8" s="41"/>
      <c r="S8" s="40">
        <v>7200</v>
      </c>
      <c r="T8" s="40">
        <v>0</v>
      </c>
      <c r="U8" s="40">
        <v>3688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 s="93">
        <v>0.55800000000000005</v>
      </c>
      <c r="AK8" s="40" t="s">
        <v>2056</v>
      </c>
      <c r="AL8" s="40" t="s">
        <v>1884</v>
      </c>
      <c r="AM8"/>
      <c r="AN8" s="58" t="s">
        <v>670</v>
      </c>
      <c r="AO8" s="1">
        <f>+Y100</f>
        <v>8000</v>
      </c>
      <c r="AP8" s="1">
        <v>0</v>
      </c>
      <c r="AQ8" s="1">
        <f t="shared" si="4"/>
        <v>8000</v>
      </c>
      <c r="AR8" s="56">
        <f>+AQ8/AQ21</f>
        <v>2.0034428268162702E-3</v>
      </c>
    </row>
    <row r="9" spans="1:44" x14ac:dyDescent="0.3">
      <c r="A9" s="38">
        <v>2</v>
      </c>
      <c r="B9" s="38" t="s">
        <v>2034</v>
      </c>
      <c r="C9" s="38" t="s">
        <v>2035</v>
      </c>
      <c r="D9" s="39">
        <v>45971</v>
      </c>
      <c r="E9" s="38" t="s">
        <v>53</v>
      </c>
      <c r="F9" s="38" t="s">
        <v>199</v>
      </c>
      <c r="G9" s="40">
        <v>781</v>
      </c>
      <c r="H9" s="87">
        <f>7200+11700</f>
        <v>18900</v>
      </c>
      <c r="I9" s="40">
        <f t="shared" si="1"/>
        <v>3024</v>
      </c>
      <c r="J9" s="40">
        <f t="shared" si="2"/>
        <v>22705</v>
      </c>
      <c r="K9" s="40">
        <v>22705</v>
      </c>
      <c r="L9" s="40">
        <f t="shared" si="3"/>
        <v>0</v>
      </c>
      <c r="M9" s="38" t="s">
        <v>35</v>
      </c>
      <c r="N9" s="54"/>
      <c r="O9" s="36"/>
      <c r="P9" s="40">
        <v>0</v>
      </c>
      <c r="Q9" s="40">
        <v>781</v>
      </c>
      <c r="R9" s="41"/>
      <c r="S9" s="40">
        <f>7200+11700</f>
        <v>18900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 s="93">
        <v>0.33900000000000002</v>
      </c>
      <c r="AK9" s="40" t="s">
        <v>2056</v>
      </c>
      <c r="AL9" s="40" t="s">
        <v>1839</v>
      </c>
      <c r="AM9"/>
      <c r="AN9" s="58" t="s">
        <v>974</v>
      </c>
      <c r="AO9" s="1">
        <f>+Z100</f>
        <v>0</v>
      </c>
      <c r="AP9" s="1">
        <f>+'NOV USD'!AN19</f>
        <v>0</v>
      </c>
      <c r="AQ9" s="1">
        <f t="shared" si="4"/>
        <v>0</v>
      </c>
      <c r="AR9" s="56">
        <f>+AQ9/AQ21</f>
        <v>0</v>
      </c>
    </row>
    <row r="10" spans="1:44" x14ac:dyDescent="0.3">
      <c r="A10" s="38">
        <v>2</v>
      </c>
      <c r="B10" s="38" t="s">
        <v>2036</v>
      </c>
      <c r="C10" s="38" t="s">
        <v>2037</v>
      </c>
      <c r="D10" s="39">
        <v>45971</v>
      </c>
      <c r="E10" s="38" t="s">
        <v>22</v>
      </c>
      <c r="F10" s="38" t="s">
        <v>45</v>
      </c>
      <c r="G10" s="40">
        <v>336</v>
      </c>
      <c r="H10" s="87">
        <v>4500</v>
      </c>
      <c r="I10" s="40">
        <f t="shared" si="1"/>
        <v>720</v>
      </c>
      <c r="J10" s="40">
        <f t="shared" si="2"/>
        <v>5556</v>
      </c>
      <c r="K10" s="40">
        <v>5556</v>
      </c>
      <c r="L10" s="40">
        <f t="shared" si="3"/>
        <v>0</v>
      </c>
      <c r="M10" s="38" t="s">
        <v>35</v>
      </c>
      <c r="N10" s="54"/>
      <c r="O10" s="36"/>
      <c r="P10" s="40">
        <v>0</v>
      </c>
      <c r="Q10" s="40">
        <v>336</v>
      </c>
      <c r="R10" s="41"/>
      <c r="S10" s="40">
        <v>4500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 s="93">
        <v>0.6</v>
      </c>
      <c r="AK10" s="40" t="s">
        <v>2054</v>
      </c>
      <c r="AL10" s="40" t="s">
        <v>1839</v>
      </c>
      <c r="AM10"/>
      <c r="AN10" s="58" t="s">
        <v>545</v>
      </c>
      <c r="AO10" s="1">
        <f>+AA100</f>
        <v>62550</v>
      </c>
      <c r="AP10" s="1">
        <v>0</v>
      </c>
      <c r="AQ10" s="1">
        <f t="shared" si="4"/>
        <v>62550</v>
      </c>
      <c r="AR10" s="56">
        <f>+AQ10/AQ21</f>
        <v>1.5664418602169713E-2</v>
      </c>
    </row>
    <row r="11" spans="1:44" x14ac:dyDescent="0.3">
      <c r="A11" s="38">
        <v>1</v>
      </c>
      <c r="B11" s="38" t="s">
        <v>2038</v>
      </c>
      <c r="C11" s="2" t="s">
        <v>2039</v>
      </c>
      <c r="D11" s="39">
        <v>45971</v>
      </c>
      <c r="E11" s="38" t="s">
        <v>2040</v>
      </c>
      <c r="F11" s="38" t="s">
        <v>2043</v>
      </c>
      <c r="G11" s="40">
        <v>781</v>
      </c>
      <c r="H11" s="87">
        <f>21361.62-G11</f>
        <v>20580.62</v>
      </c>
      <c r="I11" s="40">
        <f t="shared" si="1"/>
        <v>3292.8991999999998</v>
      </c>
      <c r="J11" s="40">
        <f t="shared" si="2"/>
        <v>24654.519199999999</v>
      </c>
      <c r="K11" s="40">
        <v>27124.6</v>
      </c>
      <c r="L11" s="40">
        <f t="shared" si="3"/>
        <v>-2470.0807999999997</v>
      </c>
      <c r="M11" s="38" t="s">
        <v>35</v>
      </c>
      <c r="N11" s="54"/>
      <c r="O11" s="36"/>
      <c r="P11" s="40">
        <v>0</v>
      </c>
      <c r="Q11" s="40">
        <v>781</v>
      </c>
      <c r="R11" s="41"/>
      <c r="S11" s="40">
        <v>7560</v>
      </c>
      <c r="T11" s="40">
        <v>0</v>
      </c>
      <c r="U11" s="40">
        <v>4890.62</v>
      </c>
      <c r="V11" s="40">
        <v>0</v>
      </c>
      <c r="W11" s="40">
        <f>6750+1380</f>
        <v>8130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36">
        <f t="shared" si="0"/>
        <v>0</v>
      </c>
      <c r="AJ11" s="93">
        <v>0.40100000000000002</v>
      </c>
      <c r="AK11" s="40" t="s">
        <v>2056</v>
      </c>
      <c r="AL11" s="40" t="s">
        <v>1884</v>
      </c>
      <c r="AM11"/>
      <c r="AN11" s="58" t="s">
        <v>5</v>
      </c>
      <c r="AO11" s="1">
        <f>+AB100</f>
        <v>0</v>
      </c>
      <c r="AP11" s="1">
        <v>0</v>
      </c>
      <c r="AQ11" s="1">
        <f t="shared" si="4"/>
        <v>0</v>
      </c>
      <c r="AR11" s="56">
        <f>+AQ11/AQ21</f>
        <v>0</v>
      </c>
    </row>
    <row r="12" spans="1:44" ht="14.4" customHeight="1" x14ac:dyDescent="0.3">
      <c r="A12" s="38">
        <v>2</v>
      </c>
      <c r="B12" s="38" t="s">
        <v>2041</v>
      </c>
      <c r="C12" s="2" t="s">
        <v>2042</v>
      </c>
      <c r="D12" s="39">
        <v>45971</v>
      </c>
      <c r="E12" s="38" t="s">
        <v>40</v>
      </c>
      <c r="F12" s="38" t="s">
        <v>41</v>
      </c>
      <c r="G12" s="40">
        <v>0</v>
      </c>
      <c r="H12" s="87">
        <v>42000</v>
      </c>
      <c r="I12" s="40">
        <f t="shared" si="1"/>
        <v>6720</v>
      </c>
      <c r="J12" s="40">
        <f t="shared" si="2"/>
        <v>48720</v>
      </c>
      <c r="K12" s="40">
        <v>0</v>
      </c>
      <c r="L12" s="40">
        <f t="shared" si="3"/>
        <v>48720</v>
      </c>
      <c r="M12" s="38" t="s">
        <v>35</v>
      </c>
      <c r="N12" s="54"/>
      <c r="O12" s="36"/>
      <c r="P12" s="40">
        <v>0</v>
      </c>
      <c r="Q12" s="40">
        <v>0</v>
      </c>
      <c r="R12" s="41"/>
      <c r="S12" s="40">
        <v>4500</v>
      </c>
      <c r="T12" s="40">
        <v>0</v>
      </c>
      <c r="U12" s="40">
        <v>0</v>
      </c>
      <c r="V12" s="40">
        <v>0</v>
      </c>
      <c r="W12" s="40">
        <v>37500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 s="93">
        <v>0.29299999999999998</v>
      </c>
      <c r="AK12" s="40" t="s">
        <v>2055</v>
      </c>
      <c r="AL12" s="40" t="s">
        <v>1839</v>
      </c>
      <c r="AM12"/>
      <c r="AN12" s="58" t="s">
        <v>55</v>
      </c>
      <c r="AO12" s="1">
        <f>+AC100</f>
        <v>13245.4</v>
      </c>
      <c r="AP12" s="1">
        <v>0</v>
      </c>
      <c r="AQ12" s="1">
        <f t="shared" si="4"/>
        <v>13245.4</v>
      </c>
      <c r="AR12" s="56">
        <f>+AQ12/AQ21</f>
        <v>3.3170502022890277E-3</v>
      </c>
    </row>
    <row r="13" spans="1:44" x14ac:dyDescent="0.3">
      <c r="A13" s="38">
        <v>1</v>
      </c>
      <c r="B13" s="38" t="s">
        <v>2044</v>
      </c>
      <c r="C13" s="2" t="s">
        <v>2045</v>
      </c>
      <c r="D13" s="39">
        <v>45972</v>
      </c>
      <c r="E13" s="38" t="s">
        <v>53</v>
      </c>
      <c r="F13" s="38" t="s">
        <v>199</v>
      </c>
      <c r="G13" s="40">
        <v>781</v>
      </c>
      <c r="H13" s="87">
        <f>14638.43-781</f>
        <v>13857.43</v>
      </c>
      <c r="I13" s="40">
        <f t="shared" si="1"/>
        <v>2217.1887999999999</v>
      </c>
      <c r="J13" s="40">
        <f t="shared" si="2"/>
        <v>16855.6188</v>
      </c>
      <c r="K13" s="40">
        <v>21313</v>
      </c>
      <c r="L13" s="40">
        <f t="shared" si="3"/>
        <v>-4457.3811999999998</v>
      </c>
      <c r="M13" s="38" t="s">
        <v>35</v>
      </c>
      <c r="N13" s="54"/>
      <c r="O13" s="36"/>
      <c r="P13" s="40">
        <v>0</v>
      </c>
      <c r="Q13" s="40">
        <v>781</v>
      </c>
      <c r="R13" s="41"/>
      <c r="S13" s="40">
        <v>6633.07</v>
      </c>
      <c r="T13" s="40">
        <v>608.91999999999996</v>
      </c>
      <c r="U13" s="40">
        <v>2615.44</v>
      </c>
      <c r="V13" s="40">
        <v>0</v>
      </c>
      <c r="W13" s="40">
        <v>4000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 s="93">
        <v>0.47099999999999997</v>
      </c>
      <c r="AK13" s="40" t="s">
        <v>2056</v>
      </c>
      <c r="AL13" s="40" t="s">
        <v>1884</v>
      </c>
      <c r="AM13"/>
      <c r="AN13" s="58" t="s">
        <v>1219</v>
      </c>
      <c r="AO13" s="1">
        <f>+AD100</f>
        <v>1575</v>
      </c>
      <c r="AP13" s="1">
        <f>+'NOV USD'!AO19</f>
        <v>0</v>
      </c>
      <c r="AQ13" s="1">
        <f t="shared" si="4"/>
        <v>1575</v>
      </c>
      <c r="AR13" s="80">
        <f>+AQ13/AQ21</f>
        <v>3.9442780652945318E-4</v>
      </c>
    </row>
    <row r="14" spans="1:44" x14ac:dyDescent="0.3">
      <c r="A14" s="38">
        <v>2</v>
      </c>
      <c r="B14" s="38" t="s">
        <v>2046</v>
      </c>
      <c r="C14" s="2" t="s">
        <v>2047</v>
      </c>
      <c r="D14" s="39">
        <v>45972</v>
      </c>
      <c r="E14" s="38" t="s">
        <v>20</v>
      </c>
      <c r="F14" s="38" t="s">
        <v>21</v>
      </c>
      <c r="G14" s="40">
        <v>101643</v>
      </c>
      <c r="H14" s="87">
        <v>5500</v>
      </c>
      <c r="I14" s="40">
        <f t="shared" si="1"/>
        <v>880</v>
      </c>
      <c r="J14" s="40">
        <f t="shared" si="2"/>
        <v>108023</v>
      </c>
      <c r="K14" s="40">
        <v>108023</v>
      </c>
      <c r="L14" s="40">
        <f t="shared" si="3"/>
        <v>0</v>
      </c>
      <c r="M14" s="38" t="s">
        <v>35</v>
      </c>
      <c r="N14" s="54"/>
      <c r="O14" s="36"/>
      <c r="P14" s="40">
        <v>0</v>
      </c>
      <c r="Q14" s="40">
        <v>101643</v>
      </c>
      <c r="R14" s="41"/>
      <c r="S14" s="40">
        <v>5500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 s="93">
        <v>0.58199999999999996</v>
      </c>
      <c r="AK14" s="40" t="s">
        <v>2055</v>
      </c>
      <c r="AL14" s="40" t="s">
        <v>1839</v>
      </c>
      <c r="AM14"/>
      <c r="AN14" s="58" t="s">
        <v>1220</v>
      </c>
      <c r="AO14" s="1">
        <f>+AE100</f>
        <v>7350</v>
      </c>
      <c r="AP14" s="1">
        <f>+'NOV USD'!AM19</f>
        <v>0</v>
      </c>
      <c r="AQ14" s="1">
        <f t="shared" si="4"/>
        <v>7350</v>
      </c>
      <c r="AR14" s="56">
        <f>+AQ14/AQ21</f>
        <v>1.840663097137448E-3</v>
      </c>
    </row>
    <row r="15" spans="1:44" x14ac:dyDescent="0.3">
      <c r="A15" s="38">
        <v>1</v>
      </c>
      <c r="B15" s="38" t="s">
        <v>2050</v>
      </c>
      <c r="C15" s="2" t="s">
        <v>2051</v>
      </c>
      <c r="D15" s="39">
        <v>45972</v>
      </c>
      <c r="E15" s="38" t="s">
        <v>53</v>
      </c>
      <c r="F15" s="38" t="s">
        <v>199</v>
      </c>
      <c r="G15" s="40">
        <v>781</v>
      </c>
      <c r="H15" s="87">
        <f>14075.67-781</f>
        <v>13294.67</v>
      </c>
      <c r="I15" s="40">
        <f t="shared" si="1"/>
        <v>2127.1471999999999</v>
      </c>
      <c r="J15" s="40">
        <f t="shared" si="2"/>
        <v>16202.8172</v>
      </c>
      <c r="K15" s="40">
        <v>20733</v>
      </c>
      <c r="L15" s="40">
        <f t="shared" si="3"/>
        <v>-4530.1828000000005</v>
      </c>
      <c r="M15" s="38" t="s">
        <v>35</v>
      </c>
      <c r="N15" s="54"/>
      <c r="O15" s="36"/>
      <c r="P15" s="40">
        <v>0</v>
      </c>
      <c r="Q15" s="40">
        <v>781</v>
      </c>
      <c r="R15" s="41"/>
      <c r="S15" s="40">
        <v>6635.98</v>
      </c>
      <c r="T15" s="40">
        <v>608.91999999999996</v>
      </c>
      <c r="U15" s="40">
        <v>2049.77</v>
      </c>
      <c r="V15" s="40">
        <v>0</v>
      </c>
      <c r="W15" s="40">
        <v>4000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 s="93">
        <v>0.48599999999999999</v>
      </c>
      <c r="AK15" s="40" t="s">
        <v>2056</v>
      </c>
      <c r="AL15" s="40" t="s">
        <v>1884</v>
      </c>
      <c r="AM15"/>
      <c r="AN15" s="58" t="s">
        <v>396</v>
      </c>
      <c r="AO15" s="1">
        <f>+AF100</f>
        <v>10080</v>
      </c>
      <c r="AP15" s="1">
        <f>+'NOV USD'!AL19</f>
        <v>10274.151999999998</v>
      </c>
      <c r="AQ15" s="1">
        <f t="shared" si="4"/>
        <v>20354.151999999998</v>
      </c>
      <c r="AR15" s="56">
        <f>+AQ15/AQ21</f>
        <v>5.0972974775410039E-3</v>
      </c>
    </row>
    <row r="16" spans="1:44" x14ac:dyDescent="0.3">
      <c r="A16" s="38">
        <v>1</v>
      </c>
      <c r="B16" s="38" t="s">
        <v>2052</v>
      </c>
      <c r="C16" s="2" t="s">
        <v>2053</v>
      </c>
      <c r="D16" s="39">
        <v>45972</v>
      </c>
      <c r="E16" s="38" t="s">
        <v>40</v>
      </c>
      <c r="F16" s="38" t="s">
        <v>41</v>
      </c>
      <c r="G16" s="40">
        <v>0</v>
      </c>
      <c r="H16" s="87">
        <v>106330.53</v>
      </c>
      <c r="I16" s="40">
        <f t="shared" si="1"/>
        <v>17012.8848</v>
      </c>
      <c r="J16" s="40">
        <f t="shared" si="2"/>
        <v>123343.4148</v>
      </c>
      <c r="K16" s="40">
        <v>0</v>
      </c>
      <c r="L16" s="40">
        <f t="shared" si="3"/>
        <v>123343.4148</v>
      </c>
      <c r="M16" s="38" t="s">
        <v>35</v>
      </c>
      <c r="N16" s="54"/>
      <c r="O16" s="36"/>
      <c r="P16" s="40">
        <v>0</v>
      </c>
      <c r="Q16" s="40">
        <v>0</v>
      </c>
      <c r="R16" s="41"/>
      <c r="S16" s="40">
        <v>5520.99</v>
      </c>
      <c r="T16" s="40">
        <v>0</v>
      </c>
      <c r="U16" s="40">
        <v>29072.04</v>
      </c>
      <c r="V16" s="40">
        <v>0</v>
      </c>
      <c r="W16" s="40">
        <f>66000+4725</f>
        <v>70725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1012.5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 s="93">
        <v>0.224</v>
      </c>
      <c r="AK16" s="40" t="s">
        <v>1857</v>
      </c>
      <c r="AL16" s="40" t="s">
        <v>1844</v>
      </c>
      <c r="AM16"/>
      <c r="AN16" s="58" t="s">
        <v>585</v>
      </c>
      <c r="AO16" s="1">
        <f>+AG100</f>
        <v>0</v>
      </c>
      <c r="AP16" s="1">
        <v>0</v>
      </c>
      <c r="AQ16" s="1">
        <f t="shared" si="4"/>
        <v>0</v>
      </c>
      <c r="AR16" s="56">
        <f>+AQ16/AQ21</f>
        <v>0</v>
      </c>
    </row>
    <row r="17" spans="1:44" x14ac:dyDescent="0.3">
      <c r="A17" s="38">
        <v>1</v>
      </c>
      <c r="B17" s="38" t="s">
        <v>2057</v>
      </c>
      <c r="C17" s="2" t="s">
        <v>2058</v>
      </c>
      <c r="D17" s="39">
        <v>45973</v>
      </c>
      <c r="E17" s="38" t="s">
        <v>53</v>
      </c>
      <c r="F17" s="38" t="s">
        <v>199</v>
      </c>
      <c r="G17" s="40">
        <v>781</v>
      </c>
      <c r="H17" s="87">
        <f>14113.37-G17</f>
        <v>13332.37</v>
      </c>
      <c r="I17" s="40">
        <f t="shared" si="1"/>
        <v>2133.1792</v>
      </c>
      <c r="J17" s="40">
        <f t="shared" si="2"/>
        <v>16246.549200000001</v>
      </c>
      <c r="K17" s="40">
        <v>20153</v>
      </c>
      <c r="L17" s="40">
        <f t="shared" si="3"/>
        <v>-3906.4507999999987</v>
      </c>
      <c r="M17" s="38" t="s">
        <v>35</v>
      </c>
      <c r="N17" s="54"/>
      <c r="O17" s="36"/>
      <c r="P17" s="40">
        <v>0</v>
      </c>
      <c r="Q17" s="40">
        <v>781</v>
      </c>
      <c r="R17" s="41"/>
      <c r="S17" s="40">
        <v>6673.68</v>
      </c>
      <c r="T17" s="40">
        <v>608.91999999999996</v>
      </c>
      <c r="U17" s="40">
        <v>2049.77</v>
      </c>
      <c r="V17" s="40">
        <v>0</v>
      </c>
      <c r="W17" s="40">
        <v>4000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 s="93">
        <v>0.48799999999999999</v>
      </c>
      <c r="AK17" s="40" t="s">
        <v>2056</v>
      </c>
      <c r="AL17" s="40" t="s">
        <v>1884</v>
      </c>
      <c r="AM17"/>
      <c r="AN17" s="58" t="s">
        <v>763</v>
      </c>
      <c r="AO17" s="1">
        <f>+AH100</f>
        <v>0</v>
      </c>
      <c r="AP17" s="1">
        <v>0</v>
      </c>
      <c r="AQ17" s="1">
        <f t="shared" si="4"/>
        <v>0</v>
      </c>
      <c r="AR17" s="56">
        <f>+AQ17/AQ21</f>
        <v>0</v>
      </c>
    </row>
    <row r="18" spans="1:44" x14ac:dyDescent="0.3">
      <c r="A18" s="38">
        <v>1</v>
      </c>
      <c r="B18" s="38" t="s">
        <v>2059</v>
      </c>
      <c r="C18" s="2" t="s">
        <v>2060</v>
      </c>
      <c r="D18" s="39">
        <v>45973</v>
      </c>
      <c r="E18" s="38" t="s">
        <v>53</v>
      </c>
      <c r="F18" s="38" t="s">
        <v>199</v>
      </c>
      <c r="G18" s="40">
        <v>781</v>
      </c>
      <c r="H18" s="87">
        <f>17194.27-781</f>
        <v>16413.27</v>
      </c>
      <c r="I18" s="40">
        <f t="shared" si="1"/>
        <v>2626.1232</v>
      </c>
      <c r="J18" s="40">
        <f t="shared" si="2"/>
        <v>19820.393199999999</v>
      </c>
      <c r="K18" s="40">
        <v>31173</v>
      </c>
      <c r="L18" s="40">
        <f t="shared" si="3"/>
        <v>-11352.606800000001</v>
      </c>
      <c r="M18" s="38" t="s">
        <v>35</v>
      </c>
      <c r="N18" s="54"/>
      <c r="O18" s="36"/>
      <c r="P18" s="40">
        <v>0</v>
      </c>
      <c r="Q18" s="40">
        <v>781</v>
      </c>
      <c r="R18" s="41"/>
      <c r="S18" s="40">
        <v>6629.22</v>
      </c>
      <c r="T18" s="40">
        <v>0</v>
      </c>
      <c r="U18" s="40">
        <v>5784.05</v>
      </c>
      <c r="V18" s="40">
        <v>0</v>
      </c>
      <c r="W18" s="40">
        <v>4000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 s="93">
        <v>0.41799999999999998</v>
      </c>
      <c r="AK18" s="40" t="s">
        <v>2056</v>
      </c>
      <c r="AL18" s="40" t="s">
        <v>1884</v>
      </c>
      <c r="AM18"/>
      <c r="AN18" s="37" t="s">
        <v>514</v>
      </c>
      <c r="AO18" s="1">
        <v>0</v>
      </c>
      <c r="AP18" s="1">
        <f>+'NOV USD'!AJ19</f>
        <v>24850.072755000001</v>
      </c>
      <c r="AQ18" s="1">
        <f t="shared" si="4"/>
        <v>24850.072755000001</v>
      </c>
      <c r="AR18" s="56">
        <f>+AQ18/AQ21</f>
        <v>6.223212500858397E-3</v>
      </c>
    </row>
    <row r="19" spans="1:44" x14ac:dyDescent="0.3">
      <c r="A19" s="38">
        <v>1</v>
      </c>
      <c r="B19" s="38" t="s">
        <v>2061</v>
      </c>
      <c r="C19" s="2" t="s">
        <v>2062</v>
      </c>
      <c r="D19" s="39">
        <v>45973</v>
      </c>
      <c r="E19" s="38" t="s">
        <v>53</v>
      </c>
      <c r="F19" s="38" t="s">
        <v>199</v>
      </c>
      <c r="G19" s="40">
        <v>781</v>
      </c>
      <c r="H19" s="87">
        <f>384467.34-781</f>
        <v>383686.34</v>
      </c>
      <c r="I19" s="40">
        <f t="shared" si="1"/>
        <v>61389.814400000003</v>
      </c>
      <c r="J19" s="40">
        <f t="shared" si="2"/>
        <v>445857.1544</v>
      </c>
      <c r="K19" s="40">
        <v>757750.6</v>
      </c>
      <c r="L19" s="40">
        <f t="shared" si="3"/>
        <v>-311893.44559999998</v>
      </c>
      <c r="M19" s="38" t="s">
        <v>35</v>
      </c>
      <c r="N19" s="54"/>
      <c r="O19" s="36"/>
      <c r="P19" s="40">
        <v>0</v>
      </c>
      <c r="Q19" s="40">
        <v>781</v>
      </c>
      <c r="R19" s="41"/>
      <c r="S19" s="40">
        <v>40042.080000000002</v>
      </c>
      <c r="T19" s="40">
        <v>0</v>
      </c>
      <c r="U19" s="40">
        <v>180845.96</v>
      </c>
      <c r="V19" s="40">
        <v>158748.29999999999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4050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 s="93">
        <v>0.14699999999999999</v>
      </c>
      <c r="AK19" s="40" t="s">
        <v>1843</v>
      </c>
      <c r="AL19" s="40" t="s">
        <v>1844</v>
      </c>
      <c r="AM19"/>
      <c r="AN19" s="37" t="s">
        <v>1230</v>
      </c>
      <c r="AO19" s="1">
        <v>0</v>
      </c>
      <c r="AP19" s="1">
        <f>+'NOV USD'!AP19</f>
        <v>0</v>
      </c>
      <c r="AQ19" s="1">
        <f t="shared" si="4"/>
        <v>0</v>
      </c>
      <c r="AR19" s="56">
        <f>+AQ19/AQ21</f>
        <v>0</v>
      </c>
    </row>
    <row r="20" spans="1:44" x14ac:dyDescent="0.3">
      <c r="A20" s="38">
        <v>1</v>
      </c>
      <c r="B20" s="38" t="s">
        <v>2063</v>
      </c>
      <c r="C20" s="50" t="s">
        <v>2064</v>
      </c>
      <c r="D20" s="39">
        <v>45975</v>
      </c>
      <c r="E20" s="38" t="s">
        <v>53</v>
      </c>
      <c r="F20" s="38" t="s">
        <v>199</v>
      </c>
      <c r="G20" s="40">
        <v>0</v>
      </c>
      <c r="H20" s="87">
        <v>39696.870000000003</v>
      </c>
      <c r="I20" s="40">
        <f t="shared" si="1"/>
        <v>6351.4992000000002</v>
      </c>
      <c r="J20" s="40">
        <f t="shared" si="2"/>
        <v>46048.369200000001</v>
      </c>
      <c r="K20" s="40">
        <v>54752</v>
      </c>
      <c r="L20" s="40">
        <f t="shared" si="3"/>
        <v>-8703.630799999999</v>
      </c>
      <c r="M20" s="38" t="s">
        <v>35</v>
      </c>
      <c r="N20" s="54"/>
      <c r="O20" s="36"/>
      <c r="P20" s="40">
        <v>0</v>
      </c>
      <c r="Q20" s="40">
        <v>0</v>
      </c>
      <c r="R20" s="41"/>
      <c r="S20" s="40">
        <v>6621.19</v>
      </c>
      <c r="T20" s="40">
        <v>0</v>
      </c>
      <c r="U20" s="40">
        <v>30075.68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3000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 s="93">
        <v>0.185</v>
      </c>
      <c r="AK20" s="40" t="s">
        <v>2056</v>
      </c>
      <c r="AL20" s="40" t="s">
        <v>1884</v>
      </c>
      <c r="AM20"/>
      <c r="AN20" s="58"/>
      <c r="AO20" s="1">
        <v>0</v>
      </c>
      <c r="AP20" s="1">
        <v>0</v>
      </c>
      <c r="AQ20" s="1">
        <f t="shared" si="4"/>
        <v>0</v>
      </c>
      <c r="AR20" s="56">
        <f>+AQ20/AQ21</f>
        <v>0</v>
      </c>
    </row>
    <row r="21" spans="1:44" x14ac:dyDescent="0.3">
      <c r="A21" s="38">
        <v>1</v>
      </c>
      <c r="B21" s="38" t="s">
        <v>2065</v>
      </c>
      <c r="C21" s="50" t="s">
        <v>2066</v>
      </c>
      <c r="D21" s="39">
        <v>45975</v>
      </c>
      <c r="E21" s="38" t="s">
        <v>53</v>
      </c>
      <c r="F21" s="38" t="s">
        <v>199</v>
      </c>
      <c r="G21" s="40">
        <v>0</v>
      </c>
      <c r="H21" s="87">
        <v>32380.66</v>
      </c>
      <c r="I21" s="40">
        <f t="shared" si="1"/>
        <v>5180.9056</v>
      </c>
      <c r="J21" s="40">
        <f t="shared" si="2"/>
        <v>37561.565600000002</v>
      </c>
      <c r="K21" s="40">
        <v>54752</v>
      </c>
      <c r="L21" s="40">
        <f t="shared" si="3"/>
        <v>-17190.434399999998</v>
      </c>
      <c r="M21" s="38" t="s">
        <v>35</v>
      </c>
      <c r="N21" s="54"/>
      <c r="O21" s="36"/>
      <c r="P21" s="40">
        <v>0</v>
      </c>
      <c r="Q21" s="40">
        <v>0</v>
      </c>
      <c r="R21" s="41"/>
      <c r="S21" s="40">
        <v>6621.19</v>
      </c>
      <c r="T21" s="40">
        <v>0</v>
      </c>
      <c r="U21" s="40">
        <v>22759.47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3000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 s="93">
        <v>0.19700000000000001</v>
      </c>
      <c r="AK21" s="40" t="s">
        <v>2056</v>
      </c>
      <c r="AL21" s="40" t="s">
        <v>1884</v>
      </c>
      <c r="AM21"/>
      <c r="AN21" s="37"/>
      <c r="AO21" s="45">
        <f>+SUM(AO2:AO20)</f>
        <v>3759813.7099999995</v>
      </c>
      <c r="AP21" s="45">
        <f t="shared" ref="AP21:AQ21" si="5">+SUM(AP2:AP20)</f>
        <v>233312.46905499999</v>
      </c>
      <c r="AQ21" s="45">
        <f t="shared" si="5"/>
        <v>3993126.1790549997</v>
      </c>
      <c r="AR21" s="57">
        <f>+SUM(AR2:AR20)</f>
        <v>0.99999999999999989</v>
      </c>
    </row>
    <row r="22" spans="1:44" x14ac:dyDescent="0.3">
      <c r="A22" s="38">
        <v>1</v>
      </c>
      <c r="B22" s="95" t="s">
        <v>2067</v>
      </c>
      <c r="C22" s="50" t="s">
        <v>2068</v>
      </c>
      <c r="D22" s="39">
        <v>45975</v>
      </c>
      <c r="E22" s="38" t="s">
        <v>53</v>
      </c>
      <c r="F22" s="38" t="s">
        <v>199</v>
      </c>
      <c r="G22" s="40">
        <v>0</v>
      </c>
      <c r="H22" s="87">
        <v>32572</v>
      </c>
      <c r="I22" s="40">
        <f t="shared" si="1"/>
        <v>5211.5200000000004</v>
      </c>
      <c r="J22" s="40">
        <f>SUM(G22:I22)</f>
        <v>37783.520000000004</v>
      </c>
      <c r="K22" s="40">
        <v>54752</v>
      </c>
      <c r="L22" s="40">
        <f t="shared" si="3"/>
        <v>-16968.479999999996</v>
      </c>
      <c r="M22" s="38" t="s">
        <v>35</v>
      </c>
      <c r="N22" s="54"/>
      <c r="O22" s="36"/>
      <c r="P22" s="40">
        <v>0</v>
      </c>
      <c r="Q22" s="40">
        <v>0</v>
      </c>
      <c r="R22" s="41"/>
      <c r="S22" s="40">
        <v>6621.19</v>
      </c>
      <c r="T22" s="40">
        <v>0</v>
      </c>
      <c r="U22" s="40">
        <v>22950.81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3000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 s="93">
        <v>0.19700000000000001</v>
      </c>
      <c r="AK22" s="40" t="s">
        <v>2056</v>
      </c>
      <c r="AL22" s="40" t="s">
        <v>1884</v>
      </c>
      <c r="AM22"/>
      <c r="AO22" s="36"/>
      <c r="AP22" s="36"/>
      <c r="AQ22" s="1"/>
    </row>
    <row r="23" spans="1:44" x14ac:dyDescent="0.3">
      <c r="A23" s="38">
        <v>1</v>
      </c>
      <c r="B23" s="38" t="s">
        <v>2069</v>
      </c>
      <c r="C23" s="38" t="s">
        <v>2070</v>
      </c>
      <c r="D23" s="39">
        <v>45975</v>
      </c>
      <c r="E23" s="38" t="s">
        <v>53</v>
      </c>
      <c r="F23" s="38" t="s">
        <v>199</v>
      </c>
      <c r="G23" s="40">
        <v>3006</v>
      </c>
      <c r="H23" s="87">
        <f>41209.34-G23</f>
        <v>38203.339999999997</v>
      </c>
      <c r="I23" s="40">
        <f t="shared" si="1"/>
        <v>6112.5343999999996</v>
      </c>
      <c r="J23" s="40">
        <f t="shared" si="2"/>
        <v>47321.874399999993</v>
      </c>
      <c r="K23" s="40">
        <v>57758</v>
      </c>
      <c r="L23" s="40">
        <f t="shared" si="3"/>
        <v>-10436.125600000007</v>
      </c>
      <c r="M23" s="38" t="s">
        <v>35</v>
      </c>
      <c r="N23" s="54"/>
      <c r="O23" s="36"/>
      <c r="P23" s="40">
        <v>0</v>
      </c>
      <c r="Q23" s="40">
        <v>3006</v>
      </c>
      <c r="R23" s="41"/>
      <c r="S23" s="40">
        <v>6621.19</v>
      </c>
      <c r="T23" s="40">
        <v>0</v>
      </c>
      <c r="U23" s="40">
        <v>28582.15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3000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 s="93">
        <v>0.17499999999999999</v>
      </c>
      <c r="AK23" s="40" t="s">
        <v>2056</v>
      </c>
      <c r="AL23" s="40" t="s">
        <v>1884</v>
      </c>
      <c r="AM23"/>
      <c r="AN23" s="37"/>
      <c r="AP23" s="1"/>
      <c r="AQ23" s="1"/>
    </row>
    <row r="24" spans="1:44" x14ac:dyDescent="0.3">
      <c r="A24" s="38">
        <v>1</v>
      </c>
      <c r="B24" s="38" t="s">
        <v>2071</v>
      </c>
      <c r="C24" s="38" t="s">
        <v>2072</v>
      </c>
      <c r="D24" s="39">
        <v>45975</v>
      </c>
      <c r="E24" s="38" t="s">
        <v>53</v>
      </c>
      <c r="F24" s="38" t="s">
        <v>199</v>
      </c>
      <c r="G24" s="40">
        <v>0</v>
      </c>
      <c r="H24" s="87">
        <v>15961.42</v>
      </c>
      <c r="I24" s="40">
        <f t="shared" si="1"/>
        <v>2553.8272000000002</v>
      </c>
      <c r="J24" s="40">
        <f t="shared" si="2"/>
        <v>18515.247200000002</v>
      </c>
      <c r="K24" s="40">
        <v>54752</v>
      </c>
      <c r="L24" s="40">
        <f t="shared" si="3"/>
        <v>-36236.752800000002</v>
      </c>
      <c r="M24" s="38" t="s">
        <v>35</v>
      </c>
      <c r="N24" s="54"/>
      <c r="O24" s="36"/>
      <c r="P24" s="40">
        <v>0</v>
      </c>
      <c r="Q24" s="40">
        <v>0</v>
      </c>
      <c r="R24" s="41"/>
      <c r="S24" s="40">
        <v>6621.19</v>
      </c>
      <c r="T24" s="40">
        <v>0</v>
      </c>
      <c r="U24" s="40">
        <v>6340.23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3000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 s="93">
        <v>0.26600000000000001</v>
      </c>
      <c r="AK24" s="40" t="s">
        <v>2056</v>
      </c>
      <c r="AL24" s="40" t="s">
        <v>1884</v>
      </c>
      <c r="AM24"/>
      <c r="AN24" s="37"/>
      <c r="AP24" s="1"/>
      <c r="AQ24" s="1"/>
    </row>
    <row r="25" spans="1:44" x14ac:dyDescent="0.3">
      <c r="A25" s="38">
        <v>1</v>
      </c>
      <c r="B25" s="38" t="s">
        <v>2073</v>
      </c>
      <c r="C25" s="38" t="s">
        <v>2074</v>
      </c>
      <c r="D25" s="39">
        <v>45975</v>
      </c>
      <c r="E25" s="38" t="s">
        <v>53</v>
      </c>
      <c r="F25" s="38" t="s">
        <v>199</v>
      </c>
      <c r="G25" s="40">
        <v>0</v>
      </c>
      <c r="H25" s="87">
        <v>25843.94</v>
      </c>
      <c r="I25" s="40">
        <f t="shared" si="1"/>
        <v>4135.0303999999996</v>
      </c>
      <c r="J25" s="40">
        <f t="shared" si="2"/>
        <v>29978.970399999998</v>
      </c>
      <c r="K25" s="40">
        <v>54752</v>
      </c>
      <c r="L25" s="40">
        <f t="shared" si="3"/>
        <v>-24773.029600000002</v>
      </c>
      <c r="M25" s="38" t="s">
        <v>35</v>
      </c>
      <c r="N25" s="54"/>
      <c r="O25" s="36"/>
      <c r="P25" s="40">
        <v>0</v>
      </c>
      <c r="Q25" s="40">
        <v>0</v>
      </c>
      <c r="R25" s="41"/>
      <c r="S25" s="40">
        <v>6621.19</v>
      </c>
      <c r="T25" s="40">
        <v>0</v>
      </c>
      <c r="U25" s="40">
        <v>16222.75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3000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 s="93">
        <v>0.214</v>
      </c>
      <c r="AK25" s="40" t="s">
        <v>2056</v>
      </c>
      <c r="AL25" s="40" t="s">
        <v>1884</v>
      </c>
      <c r="AM25"/>
      <c r="AN25" s="37"/>
      <c r="AO25" s="53"/>
      <c r="AP25" s="1"/>
      <c r="AQ25" s="1"/>
    </row>
    <row r="26" spans="1:44" x14ac:dyDescent="0.3">
      <c r="A26" s="38">
        <v>2</v>
      </c>
      <c r="B26" s="38" t="s">
        <v>2075</v>
      </c>
      <c r="C26" s="38" t="s">
        <v>2076</v>
      </c>
      <c r="D26" s="39">
        <v>45975</v>
      </c>
      <c r="E26" s="38" t="s">
        <v>1244</v>
      </c>
      <c r="F26" s="38" t="s">
        <v>1246</v>
      </c>
      <c r="G26" s="40">
        <v>336</v>
      </c>
      <c r="H26" s="87">
        <f>26436-G26</f>
        <v>26100</v>
      </c>
      <c r="I26" s="40">
        <f t="shared" si="1"/>
        <v>4176</v>
      </c>
      <c r="J26" s="40">
        <f t="shared" si="2"/>
        <v>30612</v>
      </c>
      <c r="K26" s="40">
        <v>30612</v>
      </c>
      <c r="L26" s="40">
        <f t="shared" si="3"/>
        <v>0</v>
      </c>
      <c r="M26" s="38" t="s">
        <v>35</v>
      </c>
      <c r="N26" s="54"/>
      <c r="O26" s="36"/>
      <c r="P26" s="40">
        <v>0</v>
      </c>
      <c r="Q26" s="40">
        <v>336</v>
      </c>
      <c r="R26" s="41"/>
      <c r="S26" s="40">
        <f>11700+14400</f>
        <v>26100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 s="93">
        <v>0.33200000000000002</v>
      </c>
      <c r="AK26" s="40" t="s">
        <v>2085</v>
      </c>
      <c r="AL26" s="40" t="s">
        <v>1839</v>
      </c>
      <c r="AM26"/>
      <c r="AN26" s="37"/>
      <c r="AP26" s="1"/>
      <c r="AQ26" s="1"/>
    </row>
    <row r="27" spans="1:44" x14ac:dyDescent="0.3">
      <c r="A27" s="38">
        <v>2</v>
      </c>
      <c r="B27" s="38" t="s">
        <v>2077</v>
      </c>
      <c r="C27" s="38" t="s">
        <v>2081</v>
      </c>
      <c r="D27" s="39">
        <v>45979</v>
      </c>
      <c r="E27" s="38" t="s">
        <v>40</v>
      </c>
      <c r="F27" s="38" t="s">
        <v>41</v>
      </c>
      <c r="G27" s="40">
        <v>0</v>
      </c>
      <c r="H27" s="87">
        <f>4500+12500</f>
        <v>17000</v>
      </c>
      <c r="I27" s="40">
        <f t="shared" si="1"/>
        <v>2720</v>
      </c>
      <c r="J27" s="40">
        <f t="shared" si="2"/>
        <v>19720</v>
      </c>
      <c r="K27" s="40">
        <v>0</v>
      </c>
      <c r="L27" s="40">
        <f t="shared" si="3"/>
        <v>19720</v>
      </c>
      <c r="M27" s="38" t="s">
        <v>35</v>
      </c>
      <c r="N27" s="54"/>
      <c r="O27" s="36"/>
      <c r="P27" s="40">
        <v>0</v>
      </c>
      <c r="Q27" s="40">
        <v>0</v>
      </c>
      <c r="R27" s="41"/>
      <c r="S27" s="40">
        <v>4500</v>
      </c>
      <c r="T27" s="40">
        <v>0</v>
      </c>
      <c r="U27" s="40">
        <v>0</v>
      </c>
      <c r="V27" s="40">
        <v>0</v>
      </c>
      <c r="W27" s="40">
        <v>12500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 s="93">
        <v>0.34699999999999998</v>
      </c>
      <c r="AK27" s="40" t="s">
        <v>2055</v>
      </c>
      <c r="AL27" s="40" t="s">
        <v>1839</v>
      </c>
      <c r="AM27"/>
      <c r="AN27" s="37"/>
      <c r="AP27" s="1"/>
      <c r="AQ27" s="1"/>
    </row>
    <row r="28" spans="1:44" x14ac:dyDescent="0.3">
      <c r="A28" s="38">
        <v>2</v>
      </c>
      <c r="B28" s="38" t="s">
        <v>2078</v>
      </c>
      <c r="C28" s="38" t="s">
        <v>2082</v>
      </c>
      <c r="D28" s="39">
        <v>45979</v>
      </c>
      <c r="E28" s="38" t="s">
        <v>40</v>
      </c>
      <c r="F28" s="38" t="s">
        <v>41</v>
      </c>
      <c r="G28" s="40">
        <v>0</v>
      </c>
      <c r="H28" s="88">
        <f>4500+12500</f>
        <v>17000</v>
      </c>
      <c r="I28" s="40">
        <f t="shared" si="1"/>
        <v>2720</v>
      </c>
      <c r="J28" s="40">
        <f t="shared" si="2"/>
        <v>19720</v>
      </c>
      <c r="K28" s="40">
        <v>0</v>
      </c>
      <c r="L28" s="40">
        <f t="shared" si="3"/>
        <v>19720</v>
      </c>
      <c r="M28" s="38" t="s">
        <v>35</v>
      </c>
      <c r="N28" s="54"/>
      <c r="O28" s="36"/>
      <c r="P28" s="40">
        <v>0</v>
      </c>
      <c r="Q28" s="40">
        <v>0</v>
      </c>
      <c r="R28" s="41"/>
      <c r="S28" s="40">
        <v>4500</v>
      </c>
      <c r="T28" s="40">
        <v>0</v>
      </c>
      <c r="U28" s="40">
        <v>0</v>
      </c>
      <c r="V28" s="40">
        <v>0</v>
      </c>
      <c r="W28" s="40">
        <v>12500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 s="93">
        <v>0.34699999999999998</v>
      </c>
      <c r="AK28" s="40" t="s">
        <v>2055</v>
      </c>
      <c r="AL28" s="40" t="s">
        <v>1839</v>
      </c>
      <c r="AM28"/>
      <c r="AN28" s="37"/>
      <c r="AP28" s="1"/>
      <c r="AQ28" s="1"/>
    </row>
    <row r="29" spans="1:44" x14ac:dyDescent="0.3">
      <c r="A29" s="38">
        <v>1</v>
      </c>
      <c r="B29" s="38" t="s">
        <v>2079</v>
      </c>
      <c r="C29" s="38" t="s">
        <v>2083</v>
      </c>
      <c r="D29" s="39">
        <v>45979</v>
      </c>
      <c r="E29" s="38" t="s">
        <v>40</v>
      </c>
      <c r="F29" s="38" t="s">
        <v>41</v>
      </c>
      <c r="G29" s="40">
        <v>0</v>
      </c>
      <c r="H29" s="87">
        <v>12749.2</v>
      </c>
      <c r="I29" s="40">
        <v>2039.88</v>
      </c>
      <c r="J29" s="40">
        <f t="shared" si="2"/>
        <v>14789.080000000002</v>
      </c>
      <c r="K29" s="40">
        <v>0</v>
      </c>
      <c r="L29" s="40">
        <f t="shared" si="3"/>
        <v>14789.080000000002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4000</v>
      </c>
      <c r="T29" s="40">
        <v>680.85</v>
      </c>
      <c r="U29" s="40">
        <v>4490.8500000000004</v>
      </c>
      <c r="V29" s="40">
        <v>0</v>
      </c>
      <c r="W29" s="40">
        <v>3577.5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 s="93">
        <v>0.23</v>
      </c>
      <c r="AK29" s="40" t="s">
        <v>2085</v>
      </c>
      <c r="AL29" s="40" t="s">
        <v>1884</v>
      </c>
      <c r="AM29"/>
      <c r="AN29" s="37"/>
      <c r="AP29" s="1"/>
      <c r="AQ29" s="1"/>
    </row>
    <row r="30" spans="1:44" x14ac:dyDescent="0.3">
      <c r="A30" s="38">
        <v>2</v>
      </c>
      <c r="B30" s="38" t="s">
        <v>2080</v>
      </c>
      <c r="C30" s="38" t="s">
        <v>2084</v>
      </c>
      <c r="D30" s="39">
        <v>45979</v>
      </c>
      <c r="E30" s="38" t="s">
        <v>22</v>
      </c>
      <c r="F30" s="38" t="s">
        <v>45</v>
      </c>
      <c r="G30" s="40">
        <v>37688</v>
      </c>
      <c r="H30" s="87">
        <f>4500+6000</f>
        <v>10500</v>
      </c>
      <c r="I30" s="40">
        <f t="shared" si="1"/>
        <v>1680</v>
      </c>
      <c r="J30" s="40">
        <f t="shared" si="2"/>
        <v>49868</v>
      </c>
      <c r="K30" s="40">
        <v>49868</v>
      </c>
      <c r="L30" s="40">
        <f t="shared" si="3"/>
        <v>0</v>
      </c>
      <c r="M30" s="38" t="s">
        <v>35</v>
      </c>
      <c r="N30" s="54"/>
      <c r="O30" s="36"/>
      <c r="P30" s="40">
        <v>0</v>
      </c>
      <c r="Q30" s="40">
        <v>37688</v>
      </c>
      <c r="R30" s="41"/>
      <c r="S30" s="40">
        <v>10500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 s="93">
        <v>0.54300000000000004</v>
      </c>
      <c r="AK30" s="40" t="s">
        <v>2054</v>
      </c>
      <c r="AL30" s="40" t="s">
        <v>1839</v>
      </c>
      <c r="AM30"/>
      <c r="AN30" s="37"/>
      <c r="AP30" s="1"/>
      <c r="AQ30" s="1"/>
    </row>
    <row r="31" spans="1:44" x14ac:dyDescent="0.3">
      <c r="A31" s="38">
        <v>2</v>
      </c>
      <c r="B31" s="38" t="s">
        <v>2086</v>
      </c>
      <c r="C31" s="38" t="s">
        <v>2087</v>
      </c>
      <c r="D31" s="39">
        <v>45982</v>
      </c>
      <c r="E31" s="38" t="s">
        <v>40</v>
      </c>
      <c r="F31" s="38" t="s">
        <v>41</v>
      </c>
      <c r="G31" s="40">
        <v>0</v>
      </c>
      <c r="H31" s="87">
        <f>4000+12500</f>
        <v>16500</v>
      </c>
      <c r="I31" s="40">
        <f t="shared" si="1"/>
        <v>2640</v>
      </c>
      <c r="J31" s="40">
        <f t="shared" si="2"/>
        <v>19140</v>
      </c>
      <c r="K31" s="40">
        <v>0</v>
      </c>
      <c r="L31" s="40">
        <f t="shared" si="3"/>
        <v>19140</v>
      </c>
      <c r="M31" s="38" t="s">
        <v>35</v>
      </c>
      <c r="N31" s="54"/>
      <c r="O31" s="36"/>
      <c r="P31" s="40">
        <v>0</v>
      </c>
      <c r="Q31" s="40">
        <v>0</v>
      </c>
      <c r="R31" s="41"/>
      <c r="S31" s="40">
        <v>4000</v>
      </c>
      <c r="T31" s="40">
        <v>0</v>
      </c>
      <c r="U31" s="40">
        <v>0</v>
      </c>
      <c r="V31" s="40">
        <v>0</v>
      </c>
      <c r="W31" s="40">
        <v>12500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ref="AI31:AI61" si="6">+SUM(S31:AH31)-H31</f>
        <v>0</v>
      </c>
      <c r="AJ31" s="93">
        <v>0.32700000000000001</v>
      </c>
      <c r="AK31" s="40" t="s">
        <v>2055</v>
      </c>
      <c r="AL31" s="40" t="s">
        <v>1839</v>
      </c>
      <c r="AM31"/>
      <c r="AN31" s="37"/>
      <c r="AP31" s="1"/>
      <c r="AQ31" s="1"/>
    </row>
    <row r="32" spans="1:44" x14ac:dyDescent="0.3">
      <c r="A32" s="38">
        <v>2</v>
      </c>
      <c r="B32" s="38" t="s">
        <v>2088</v>
      </c>
      <c r="C32" s="38" t="s">
        <v>2089</v>
      </c>
      <c r="D32" s="39">
        <v>45982</v>
      </c>
      <c r="E32" s="38" t="s">
        <v>40</v>
      </c>
      <c r="F32" s="38" t="s">
        <v>41</v>
      </c>
      <c r="G32" s="40">
        <v>0</v>
      </c>
      <c r="H32" s="87">
        <v>42000</v>
      </c>
      <c r="I32" s="40">
        <f t="shared" si="1"/>
        <v>6720</v>
      </c>
      <c r="J32" s="40">
        <f t="shared" si="2"/>
        <v>48720</v>
      </c>
      <c r="K32" s="40">
        <v>0</v>
      </c>
      <c r="L32" s="40">
        <f t="shared" si="3"/>
        <v>48720</v>
      </c>
      <c r="M32" s="38" t="s">
        <v>35</v>
      </c>
      <c r="N32" s="54"/>
      <c r="O32" s="36"/>
      <c r="P32" s="40">
        <v>0</v>
      </c>
      <c r="Q32" s="40">
        <v>0</v>
      </c>
      <c r="R32" s="41"/>
      <c r="S32" s="40">
        <v>4500</v>
      </c>
      <c r="T32" s="40">
        <v>0</v>
      </c>
      <c r="U32" s="40">
        <v>0</v>
      </c>
      <c r="V32" s="40">
        <v>0</v>
      </c>
      <c r="W32" s="40">
        <v>37500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6"/>
        <v>0</v>
      </c>
      <c r="AJ32" s="93">
        <v>0.41</v>
      </c>
      <c r="AK32" s="40" t="s">
        <v>2055</v>
      </c>
      <c r="AL32" s="40" t="s">
        <v>1839</v>
      </c>
      <c r="AM32"/>
      <c r="AN32" s="37"/>
      <c r="AP32" s="1"/>
      <c r="AQ32" s="1"/>
    </row>
    <row r="33" spans="1:43" x14ac:dyDescent="0.3">
      <c r="A33" s="38">
        <v>1</v>
      </c>
      <c r="B33" s="38" t="s">
        <v>2090</v>
      </c>
      <c r="C33" s="38" t="s">
        <v>2091</v>
      </c>
      <c r="D33" s="39">
        <v>45982</v>
      </c>
      <c r="E33" s="38" t="s">
        <v>22</v>
      </c>
      <c r="F33" s="38" t="s">
        <v>45</v>
      </c>
      <c r="G33" s="40">
        <v>336</v>
      </c>
      <c r="H33" s="87">
        <f>6000+1800+2292</f>
        <v>10092</v>
      </c>
      <c r="I33" s="40">
        <f t="shared" si="1"/>
        <v>1614.72</v>
      </c>
      <c r="J33" s="40">
        <f t="shared" si="2"/>
        <v>12042.72</v>
      </c>
      <c r="K33" s="40">
        <v>12042.72</v>
      </c>
      <c r="L33" s="40">
        <f t="shared" si="3"/>
        <v>0</v>
      </c>
      <c r="M33" s="38" t="s">
        <v>35</v>
      </c>
      <c r="N33" s="54"/>
      <c r="O33" s="36"/>
      <c r="P33" s="40">
        <v>0</v>
      </c>
      <c r="Q33" s="40">
        <v>336</v>
      </c>
      <c r="R33" s="41"/>
      <c r="S33" s="40">
        <v>6000</v>
      </c>
      <c r="T33" s="40">
        <v>0</v>
      </c>
      <c r="U33" s="40">
        <v>2292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1800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6"/>
        <v>0</v>
      </c>
      <c r="AJ33" s="93">
        <v>0.45100000000000001</v>
      </c>
      <c r="AK33" s="40" t="s">
        <v>1842</v>
      </c>
      <c r="AL33" s="40" t="s">
        <v>1884</v>
      </c>
      <c r="AM33"/>
      <c r="AN33" s="37"/>
      <c r="AP33" s="1"/>
      <c r="AQ33" s="1"/>
    </row>
    <row r="34" spans="1:43" x14ac:dyDescent="0.3">
      <c r="A34" s="38">
        <v>2</v>
      </c>
      <c r="B34" s="38" t="s">
        <v>2092</v>
      </c>
      <c r="C34" s="38" t="s">
        <v>2093</v>
      </c>
      <c r="D34" s="39">
        <v>45982</v>
      </c>
      <c r="E34" s="38" t="s">
        <v>22</v>
      </c>
      <c r="F34" s="38" t="s">
        <v>45</v>
      </c>
      <c r="G34" s="40">
        <v>336</v>
      </c>
      <c r="H34" s="87">
        <f>4200+3000+626.6</f>
        <v>7826.6</v>
      </c>
      <c r="I34" s="40">
        <f t="shared" si="1"/>
        <v>1252.2560000000001</v>
      </c>
      <c r="J34" s="40">
        <f t="shared" si="2"/>
        <v>9414.8559999999998</v>
      </c>
      <c r="K34" s="40">
        <v>9414.86</v>
      </c>
      <c r="L34" s="40">
        <f t="shared" si="3"/>
        <v>-4.0000000008149073E-3</v>
      </c>
      <c r="M34" s="38" t="s">
        <v>35</v>
      </c>
      <c r="N34" s="54"/>
      <c r="O34" s="36"/>
      <c r="P34" s="40">
        <v>0</v>
      </c>
      <c r="Q34" s="40">
        <v>336</v>
      </c>
      <c r="R34" s="41"/>
      <c r="S34" s="40">
        <v>4200</v>
      </c>
      <c r="T34" s="40">
        <v>0</v>
      </c>
      <c r="U34" s="40">
        <v>626.6</v>
      </c>
      <c r="V34" s="40">
        <v>0</v>
      </c>
      <c r="W34" s="40">
        <v>0</v>
      </c>
      <c r="X34" s="40">
        <v>3000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si="6"/>
        <v>0</v>
      </c>
      <c r="AJ34" s="93">
        <v>0.69599999999999995</v>
      </c>
      <c r="AK34" s="40" t="s">
        <v>1842</v>
      </c>
      <c r="AL34" s="40" t="s">
        <v>1839</v>
      </c>
      <c r="AM34"/>
      <c r="AN34" s="37"/>
      <c r="AP34" s="1"/>
      <c r="AQ34" s="1"/>
    </row>
    <row r="35" spans="1:43" x14ac:dyDescent="0.3">
      <c r="A35" s="38">
        <v>1</v>
      </c>
      <c r="B35" s="38" t="s">
        <v>2094</v>
      </c>
      <c r="C35" s="50" t="s">
        <v>2095</v>
      </c>
      <c r="D35" s="39">
        <v>45982</v>
      </c>
      <c r="E35" s="38" t="s">
        <v>53</v>
      </c>
      <c r="F35" s="38" t="s">
        <v>199</v>
      </c>
      <c r="G35" s="40">
        <f>781+20880+11004</f>
        <v>32665</v>
      </c>
      <c r="H35" s="87">
        <f>465499.37-G35</f>
        <v>432834.37</v>
      </c>
      <c r="I35" s="40">
        <f t="shared" si="1"/>
        <v>69253.499200000006</v>
      </c>
      <c r="J35" s="40">
        <f t="shared" si="2"/>
        <v>534752.86919999996</v>
      </c>
      <c r="K35" s="40">
        <v>733132</v>
      </c>
      <c r="L35" s="40">
        <f t="shared" si="3"/>
        <v>-198379.13080000004</v>
      </c>
      <c r="M35" s="38" t="s">
        <v>35</v>
      </c>
      <c r="N35" s="54"/>
      <c r="O35" s="36"/>
      <c r="P35" s="40">
        <f>20880+11004</f>
        <v>31884</v>
      </c>
      <c r="Q35" s="40">
        <v>781</v>
      </c>
      <c r="R35" s="41"/>
      <c r="S35" s="40">
        <v>33270.300000000003</v>
      </c>
      <c r="T35" s="40">
        <v>0</v>
      </c>
      <c r="U35" s="40">
        <v>41392.81</v>
      </c>
      <c r="V35" s="40">
        <v>349246.26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1575</v>
      </c>
      <c r="AE35" s="40">
        <f>3675+3675</f>
        <v>7350</v>
      </c>
      <c r="AF35" s="40">
        <v>0</v>
      </c>
      <c r="AG35" s="40">
        <v>0</v>
      </c>
      <c r="AH35" s="40">
        <v>0</v>
      </c>
      <c r="AI35" s="36">
        <f t="shared" si="6"/>
        <v>0</v>
      </c>
      <c r="AJ35" s="93">
        <v>0.19600000000000001</v>
      </c>
      <c r="AK35" s="40" t="s">
        <v>1843</v>
      </c>
      <c r="AL35" s="40" t="s">
        <v>1844</v>
      </c>
      <c r="AM35"/>
      <c r="AN35" s="37"/>
      <c r="AP35" s="1"/>
      <c r="AQ35" s="1"/>
    </row>
    <row r="36" spans="1:43" x14ac:dyDescent="0.3">
      <c r="A36" s="38">
        <v>1</v>
      </c>
      <c r="B36" s="38" t="s">
        <v>2096</v>
      </c>
      <c r="C36" s="50" t="s">
        <v>2097</v>
      </c>
      <c r="D36" s="39">
        <v>45982</v>
      </c>
      <c r="E36" s="38" t="s">
        <v>53</v>
      </c>
      <c r="F36" s="38" t="s">
        <v>199</v>
      </c>
      <c r="G36" s="40">
        <v>0</v>
      </c>
      <c r="H36" s="87">
        <v>77013.42</v>
      </c>
      <c r="I36" s="40">
        <f t="shared" si="1"/>
        <v>12322.147199999999</v>
      </c>
      <c r="J36" s="40">
        <f t="shared" si="2"/>
        <v>89335.56719999999</v>
      </c>
      <c r="K36" s="40">
        <v>89335.57</v>
      </c>
      <c r="L36" s="40">
        <f t="shared" si="3"/>
        <v>-2.8000000165775418E-3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7200</v>
      </c>
      <c r="T36" s="40">
        <v>0</v>
      </c>
      <c r="U36" s="40">
        <f>26813.42+40000</f>
        <v>66813.42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3000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6"/>
        <v>0</v>
      </c>
      <c r="AJ36" s="93">
        <v>0.16</v>
      </c>
      <c r="AK36" s="40" t="s">
        <v>2056</v>
      </c>
      <c r="AL36" s="40" t="s">
        <v>1884</v>
      </c>
      <c r="AM36"/>
      <c r="AN36" s="37"/>
      <c r="AP36" s="1"/>
      <c r="AQ36" s="1"/>
    </row>
    <row r="37" spans="1:43" x14ac:dyDescent="0.3">
      <c r="A37" s="38">
        <v>1</v>
      </c>
      <c r="B37" s="38" t="s">
        <v>2098</v>
      </c>
      <c r="C37" s="50" t="s">
        <v>2099</v>
      </c>
      <c r="D37" s="39">
        <v>45982</v>
      </c>
      <c r="E37" s="38" t="s">
        <v>53</v>
      </c>
      <c r="F37" s="38" t="s">
        <v>199</v>
      </c>
      <c r="G37" s="40">
        <v>3006</v>
      </c>
      <c r="H37" s="87">
        <f>7200+20543.56</f>
        <v>27743.56</v>
      </c>
      <c r="I37" s="40">
        <f t="shared" si="1"/>
        <v>4438.9696000000004</v>
      </c>
      <c r="J37" s="40">
        <f t="shared" si="2"/>
        <v>35188.529600000002</v>
      </c>
      <c r="K37" s="40">
        <v>57758</v>
      </c>
      <c r="L37" s="40">
        <f t="shared" si="3"/>
        <v>-22569.470399999998</v>
      </c>
      <c r="M37" s="38" t="s">
        <v>35</v>
      </c>
      <c r="N37" s="54"/>
      <c r="O37" s="36"/>
      <c r="P37" s="40">
        <v>0</v>
      </c>
      <c r="Q37" s="40">
        <v>3006</v>
      </c>
      <c r="R37" s="41"/>
      <c r="S37" s="40">
        <v>7200</v>
      </c>
      <c r="T37" s="40">
        <v>0</v>
      </c>
      <c r="U37" s="40">
        <v>20543.560000000001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6"/>
        <v>0</v>
      </c>
      <c r="AJ37" s="93">
        <v>0.17699999999999999</v>
      </c>
      <c r="AK37" s="40" t="s">
        <v>2056</v>
      </c>
      <c r="AL37" s="40" t="s">
        <v>1884</v>
      </c>
      <c r="AM37"/>
      <c r="AN37" s="37"/>
      <c r="AP37" s="1"/>
      <c r="AQ37" s="1"/>
    </row>
    <row r="38" spans="1:43" x14ac:dyDescent="0.3">
      <c r="A38" s="38">
        <v>1</v>
      </c>
      <c r="B38" s="38" t="s">
        <v>2100</v>
      </c>
      <c r="C38" s="38" t="s">
        <v>2101</v>
      </c>
      <c r="D38" s="39">
        <v>45982</v>
      </c>
      <c r="E38" s="38" t="s">
        <v>53</v>
      </c>
      <c r="F38" s="38" t="s">
        <v>199</v>
      </c>
      <c r="G38" s="40">
        <v>0</v>
      </c>
      <c r="H38" s="87">
        <v>29965.09</v>
      </c>
      <c r="I38" s="40">
        <f t="shared" si="1"/>
        <v>4794.4144000000006</v>
      </c>
      <c r="J38" s="40">
        <f t="shared" si="2"/>
        <v>34759.504399999998</v>
      </c>
      <c r="K38" s="40">
        <v>54752</v>
      </c>
      <c r="L38" s="40">
        <f t="shared" si="3"/>
        <v>-19992.495600000002</v>
      </c>
      <c r="M38" s="38" t="s">
        <v>35</v>
      </c>
      <c r="N38" s="54"/>
      <c r="O38" s="36"/>
      <c r="P38" s="40">
        <v>0</v>
      </c>
      <c r="Q38" s="40">
        <v>0</v>
      </c>
      <c r="R38" s="41"/>
      <c r="S38" s="40">
        <v>7200</v>
      </c>
      <c r="T38" s="40">
        <v>0</v>
      </c>
      <c r="U38" s="40">
        <v>19765.09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3000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6"/>
        <v>0</v>
      </c>
      <c r="AJ38" s="93">
        <v>0.22</v>
      </c>
      <c r="AK38" s="40" t="s">
        <v>2056</v>
      </c>
      <c r="AL38" s="40" t="s">
        <v>1884</v>
      </c>
      <c r="AM38"/>
      <c r="AN38" s="37"/>
      <c r="AP38" s="1"/>
      <c r="AQ38" s="1"/>
    </row>
    <row r="39" spans="1:43" x14ac:dyDescent="0.3">
      <c r="A39" s="38">
        <v>1</v>
      </c>
      <c r="B39" s="38" t="s">
        <v>2102</v>
      </c>
      <c r="C39" s="50" t="s">
        <v>2103</v>
      </c>
      <c r="D39" s="39">
        <v>45982</v>
      </c>
      <c r="E39" s="38" t="s">
        <v>53</v>
      </c>
      <c r="F39" s="38" t="s">
        <v>199</v>
      </c>
      <c r="G39" s="40">
        <v>0</v>
      </c>
      <c r="H39" s="87">
        <v>38625.199999999997</v>
      </c>
      <c r="I39" s="40">
        <f t="shared" si="1"/>
        <v>6180.0319999999992</v>
      </c>
      <c r="J39" s="40">
        <f t="shared" si="2"/>
        <v>44805.231999999996</v>
      </c>
      <c r="K39" s="40">
        <v>54752</v>
      </c>
      <c r="L39" s="40">
        <f t="shared" si="3"/>
        <v>-9946.7680000000037</v>
      </c>
      <c r="M39" s="38" t="s">
        <v>35</v>
      </c>
      <c r="N39" s="54"/>
      <c r="O39" s="36"/>
      <c r="P39" s="40">
        <v>0</v>
      </c>
      <c r="Q39" s="40">
        <v>0</v>
      </c>
      <c r="R39" s="41"/>
      <c r="S39" s="40">
        <v>7200</v>
      </c>
      <c r="T39" s="40">
        <v>0</v>
      </c>
      <c r="U39" s="40">
        <v>28425.200000000001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3000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6"/>
        <v>0</v>
      </c>
      <c r="AJ39" s="93">
        <v>0.2</v>
      </c>
      <c r="AK39" s="40" t="s">
        <v>2056</v>
      </c>
      <c r="AL39" s="40" t="s">
        <v>1884</v>
      </c>
      <c r="AM39"/>
      <c r="AN39" s="37"/>
      <c r="AP39" s="1"/>
      <c r="AQ39" s="1"/>
    </row>
    <row r="40" spans="1:43" x14ac:dyDescent="0.3">
      <c r="A40" s="38">
        <v>1</v>
      </c>
      <c r="B40" s="38" t="s">
        <v>2104</v>
      </c>
      <c r="C40" s="38" t="s">
        <v>2105</v>
      </c>
      <c r="D40" s="39">
        <v>45982</v>
      </c>
      <c r="E40" s="38" t="s">
        <v>53</v>
      </c>
      <c r="F40" s="38" t="s">
        <v>199</v>
      </c>
      <c r="G40" s="40">
        <v>0</v>
      </c>
      <c r="H40" s="88">
        <v>51336.21</v>
      </c>
      <c r="I40" s="40">
        <f t="shared" si="1"/>
        <v>8213.7936000000009</v>
      </c>
      <c r="J40" s="40">
        <f t="shared" si="2"/>
        <v>59550.003599999996</v>
      </c>
      <c r="K40" s="40">
        <v>61712</v>
      </c>
      <c r="L40" s="40">
        <f t="shared" si="3"/>
        <v>-2161.9964000000036</v>
      </c>
      <c r="M40" s="38" t="s">
        <v>35</v>
      </c>
      <c r="N40" s="54"/>
      <c r="O40" s="36"/>
      <c r="P40" s="40">
        <v>0</v>
      </c>
      <c r="Q40" s="40">
        <v>0</v>
      </c>
      <c r="R40" s="41"/>
      <c r="S40" s="40">
        <v>7200</v>
      </c>
      <c r="T40" s="40">
        <v>0</v>
      </c>
      <c r="U40" s="40">
        <v>38136.21</v>
      </c>
      <c r="V40" s="40">
        <v>0</v>
      </c>
      <c r="W40" s="40">
        <v>0</v>
      </c>
      <c r="X40" s="40">
        <v>3000</v>
      </c>
      <c r="Y40" s="40">
        <v>0</v>
      </c>
      <c r="Z40" s="40">
        <v>0</v>
      </c>
      <c r="AA40" s="40">
        <v>3000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6"/>
        <v>0</v>
      </c>
      <c r="AJ40" s="93">
        <v>0.214</v>
      </c>
      <c r="AK40" s="40" t="s">
        <v>2056</v>
      </c>
      <c r="AL40" s="40" t="s">
        <v>1884</v>
      </c>
      <c r="AM40"/>
      <c r="AN40" s="37"/>
      <c r="AP40" s="1"/>
      <c r="AQ40" s="1"/>
    </row>
    <row r="41" spans="1:43" x14ac:dyDescent="0.3">
      <c r="A41" s="38">
        <v>1</v>
      </c>
      <c r="B41" s="38" t="s">
        <v>2106</v>
      </c>
      <c r="C41" s="38" t="s">
        <v>2107</v>
      </c>
      <c r="D41" s="39">
        <v>45982</v>
      </c>
      <c r="E41" s="38" t="s">
        <v>53</v>
      </c>
      <c r="F41" s="38" t="s">
        <v>199</v>
      </c>
      <c r="G41" s="40">
        <v>0</v>
      </c>
      <c r="H41" s="88">
        <v>26982.97</v>
      </c>
      <c r="I41" s="40">
        <f t="shared" si="1"/>
        <v>4317.2752</v>
      </c>
      <c r="J41" s="40">
        <f t="shared" si="2"/>
        <v>31300.245200000001</v>
      </c>
      <c r="K41" s="40">
        <v>54752</v>
      </c>
      <c r="L41" s="40">
        <f t="shared" si="3"/>
        <v>-23451.754799999999</v>
      </c>
      <c r="M41" s="38" t="s">
        <v>35</v>
      </c>
      <c r="N41" s="54"/>
      <c r="O41" s="36"/>
      <c r="P41" s="40">
        <v>0</v>
      </c>
      <c r="Q41" s="40">
        <v>0</v>
      </c>
      <c r="R41" s="41"/>
      <c r="S41" s="40">
        <v>7200</v>
      </c>
      <c r="T41" s="40">
        <v>0</v>
      </c>
      <c r="U41" s="40">
        <v>19782.97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6"/>
        <v>0</v>
      </c>
      <c r="AJ41" s="93">
        <v>0.18099999999999999</v>
      </c>
      <c r="AK41" s="40" t="s">
        <v>2056</v>
      </c>
      <c r="AL41" s="40" t="s">
        <v>1884</v>
      </c>
      <c r="AM41"/>
      <c r="AN41" s="37"/>
      <c r="AP41" s="1"/>
      <c r="AQ41" s="1"/>
    </row>
    <row r="42" spans="1:43" x14ac:dyDescent="0.3">
      <c r="A42" s="38">
        <v>1</v>
      </c>
      <c r="B42" s="38" t="s">
        <v>2108</v>
      </c>
      <c r="C42" s="38" t="s">
        <v>2109</v>
      </c>
      <c r="D42" s="39">
        <v>45982</v>
      </c>
      <c r="E42" s="38" t="s">
        <v>53</v>
      </c>
      <c r="F42" s="38" t="s">
        <v>199</v>
      </c>
      <c r="G42" s="40">
        <v>0</v>
      </c>
      <c r="H42" s="88">
        <v>25120.97</v>
      </c>
      <c r="I42" s="40">
        <f t="shared" si="1"/>
        <v>4019.3552000000004</v>
      </c>
      <c r="J42" s="40">
        <f t="shared" si="2"/>
        <v>29140.325200000003</v>
      </c>
      <c r="K42" s="40">
        <v>54752</v>
      </c>
      <c r="L42" s="40">
        <f t="shared" si="3"/>
        <v>-25611.674799999997</v>
      </c>
      <c r="M42" s="38" t="s">
        <v>35</v>
      </c>
      <c r="N42" s="54"/>
      <c r="O42" s="36"/>
      <c r="P42" s="40">
        <v>0</v>
      </c>
      <c r="Q42" s="40">
        <v>0</v>
      </c>
      <c r="R42" s="41"/>
      <c r="S42" s="40">
        <v>7200</v>
      </c>
      <c r="T42" s="40">
        <v>0</v>
      </c>
      <c r="U42" s="40">
        <v>17920.97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6"/>
        <v>0</v>
      </c>
      <c r="AJ42" s="93">
        <v>0.185</v>
      </c>
      <c r="AK42" s="40" t="s">
        <v>2056</v>
      </c>
      <c r="AL42" s="40" t="s">
        <v>1884</v>
      </c>
      <c r="AM42"/>
      <c r="AN42" s="37"/>
      <c r="AP42" s="1"/>
      <c r="AQ42" s="1"/>
    </row>
    <row r="43" spans="1:43" x14ac:dyDescent="0.3">
      <c r="A43" s="38">
        <v>1</v>
      </c>
      <c r="B43" s="38" t="s">
        <v>2110</v>
      </c>
      <c r="C43" s="50" t="s">
        <v>2111</v>
      </c>
      <c r="D43" s="39">
        <v>45982</v>
      </c>
      <c r="E43" s="38" t="s">
        <v>53</v>
      </c>
      <c r="F43" s="38" t="s">
        <v>199</v>
      </c>
      <c r="G43" s="40">
        <v>0</v>
      </c>
      <c r="H43" s="87">
        <v>16412.3</v>
      </c>
      <c r="I43" s="40">
        <f t="shared" si="1"/>
        <v>2625.9679999999998</v>
      </c>
      <c r="J43" s="40">
        <f t="shared" si="2"/>
        <v>19038.268</v>
      </c>
      <c r="K43" s="40">
        <v>48952</v>
      </c>
      <c r="L43" s="40">
        <f t="shared" si="3"/>
        <v>-29913.732</v>
      </c>
      <c r="M43" s="38" t="s">
        <v>35</v>
      </c>
      <c r="N43" s="54"/>
      <c r="O43" s="36"/>
      <c r="P43" s="40">
        <v>0</v>
      </c>
      <c r="Q43" s="40">
        <v>0</v>
      </c>
      <c r="R43" s="41"/>
      <c r="S43" s="40">
        <v>7200</v>
      </c>
      <c r="T43" s="40">
        <v>0</v>
      </c>
      <c r="U43" s="40">
        <v>6212.3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3000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36">
        <f t="shared" si="6"/>
        <v>0</v>
      </c>
      <c r="AJ43" s="93">
        <v>0.311</v>
      </c>
      <c r="AK43" s="40" t="s">
        <v>2056</v>
      </c>
      <c r="AL43" s="40" t="s">
        <v>1884</v>
      </c>
      <c r="AM43"/>
      <c r="AN43" s="37"/>
      <c r="AP43" s="1"/>
      <c r="AQ43" s="1"/>
    </row>
    <row r="44" spans="1:43" x14ac:dyDescent="0.3">
      <c r="A44" s="38">
        <v>1</v>
      </c>
      <c r="B44" s="38" t="s">
        <v>2112</v>
      </c>
      <c r="C44" s="38" t="s">
        <v>2113</v>
      </c>
      <c r="D44" s="39">
        <v>45982</v>
      </c>
      <c r="E44" s="38" t="s">
        <v>53</v>
      </c>
      <c r="F44" s="38" t="s">
        <v>199</v>
      </c>
      <c r="G44" s="40">
        <v>0</v>
      </c>
      <c r="H44" s="87">
        <v>50512.14</v>
      </c>
      <c r="I44" s="40">
        <f t="shared" si="1"/>
        <v>8081.9423999999999</v>
      </c>
      <c r="J44" s="40">
        <f t="shared" si="2"/>
        <v>58594.082399999999</v>
      </c>
      <c r="K44" s="40">
        <v>58594.080000000002</v>
      </c>
      <c r="L44" s="40">
        <f t="shared" si="3"/>
        <v>2.3999999975785613E-3</v>
      </c>
      <c r="M44" s="38" t="s">
        <v>35</v>
      </c>
      <c r="N44" s="54"/>
      <c r="O44" s="36"/>
      <c r="P44" s="40">
        <v>0</v>
      </c>
      <c r="Q44" s="40">
        <v>0</v>
      </c>
      <c r="R44" s="41"/>
      <c r="S44" s="40">
        <v>7200</v>
      </c>
      <c r="T44" s="40">
        <v>0</v>
      </c>
      <c r="U44" s="40">
        <f>40000+312.14</f>
        <v>40312.14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3000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6"/>
        <v>0</v>
      </c>
      <c r="AJ44" s="93">
        <v>0.17499999999999999</v>
      </c>
      <c r="AK44" s="40" t="s">
        <v>2056</v>
      </c>
      <c r="AL44" s="40" t="s">
        <v>1884</v>
      </c>
      <c r="AM44"/>
      <c r="AN44" s="37"/>
      <c r="AP44" s="1"/>
      <c r="AQ44" s="1"/>
    </row>
    <row r="45" spans="1:43" x14ac:dyDescent="0.3">
      <c r="A45" s="38">
        <v>1</v>
      </c>
      <c r="B45" s="38" t="s">
        <v>2114</v>
      </c>
      <c r="C45" s="38" t="s">
        <v>2115</v>
      </c>
      <c r="D45" s="39">
        <v>45982</v>
      </c>
      <c r="E45" s="38" t="s">
        <v>224</v>
      </c>
      <c r="F45" s="38" t="s">
        <v>1376</v>
      </c>
      <c r="G45" s="40">
        <v>0</v>
      </c>
      <c r="H45" s="87">
        <v>10080</v>
      </c>
      <c r="I45" s="40">
        <f t="shared" si="1"/>
        <v>1612.8</v>
      </c>
      <c r="J45" s="40">
        <f t="shared" si="2"/>
        <v>11692.8</v>
      </c>
      <c r="K45" s="40">
        <v>0</v>
      </c>
      <c r="L45" s="40">
        <f t="shared" si="3"/>
        <v>11692.8</v>
      </c>
      <c r="M45" s="38" t="s">
        <v>35</v>
      </c>
      <c r="N45" s="54"/>
      <c r="O45" s="36"/>
      <c r="P45" s="40">
        <v>0</v>
      </c>
      <c r="Q45" s="40">
        <v>0</v>
      </c>
      <c r="R45" s="41"/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10080</v>
      </c>
      <c r="AG45" s="40">
        <v>0</v>
      </c>
      <c r="AH45" s="40">
        <v>0</v>
      </c>
      <c r="AI45" s="36">
        <f t="shared" si="6"/>
        <v>0</v>
      </c>
      <c r="AJ45" s="93">
        <v>0.27900000000000003</v>
      </c>
      <c r="AK45" s="40" t="s">
        <v>1857</v>
      </c>
      <c r="AL45" s="40" t="s">
        <v>1844</v>
      </c>
      <c r="AM45"/>
      <c r="AN45" s="37"/>
      <c r="AP45" s="1"/>
      <c r="AQ45" s="1"/>
    </row>
    <row r="46" spans="1:43" x14ac:dyDescent="0.3">
      <c r="A46" s="38">
        <v>2</v>
      </c>
      <c r="B46" s="38" t="s">
        <v>2119</v>
      </c>
      <c r="C46" s="50" t="s">
        <v>2120</v>
      </c>
      <c r="D46" s="39">
        <v>45982</v>
      </c>
      <c r="E46" s="38" t="s">
        <v>198</v>
      </c>
      <c r="F46" s="38" t="s">
        <v>200</v>
      </c>
      <c r="G46" s="40">
        <v>0</v>
      </c>
      <c r="H46" s="87">
        <v>22000</v>
      </c>
      <c r="I46" s="40">
        <f t="shared" si="1"/>
        <v>3520</v>
      </c>
      <c r="J46" s="40">
        <f t="shared" si="2"/>
        <v>25520</v>
      </c>
      <c r="K46" s="40">
        <v>25520</v>
      </c>
      <c r="L46" s="40">
        <f t="shared" si="3"/>
        <v>0</v>
      </c>
      <c r="M46" s="38" t="s">
        <v>35</v>
      </c>
      <c r="N46" s="54"/>
      <c r="O46" s="36"/>
      <c r="P46" s="40">
        <v>0</v>
      </c>
      <c r="Q46" s="40">
        <v>0</v>
      </c>
      <c r="R46" s="41"/>
      <c r="S46" s="40">
        <v>0</v>
      </c>
      <c r="T46" s="40">
        <v>0</v>
      </c>
      <c r="U46" s="40">
        <v>0</v>
      </c>
      <c r="V46" s="40">
        <v>0</v>
      </c>
      <c r="W46" s="40">
        <v>22000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6"/>
        <v>0</v>
      </c>
      <c r="AJ46" s="93">
        <v>0.46</v>
      </c>
      <c r="AK46" s="40" t="s">
        <v>1842</v>
      </c>
      <c r="AL46" s="40" t="s">
        <v>1839</v>
      </c>
      <c r="AM46"/>
      <c r="AN46" s="37"/>
      <c r="AP46" s="1"/>
      <c r="AQ46" s="1"/>
    </row>
    <row r="47" spans="1:43" x14ac:dyDescent="0.3">
      <c r="A47" s="38">
        <v>1</v>
      </c>
      <c r="B47" s="38" t="s">
        <v>2121</v>
      </c>
      <c r="C47" s="50" t="s">
        <v>2122</v>
      </c>
      <c r="D47" s="39">
        <v>45982</v>
      </c>
      <c r="E47" s="38" t="s">
        <v>53</v>
      </c>
      <c r="F47" s="38" t="s">
        <v>199</v>
      </c>
      <c r="G47" s="40">
        <v>0</v>
      </c>
      <c r="H47" s="87">
        <v>29711.67</v>
      </c>
      <c r="I47" s="40">
        <f t="shared" si="1"/>
        <v>4753.8671999999997</v>
      </c>
      <c r="J47" s="40">
        <f t="shared" si="2"/>
        <v>34465.537199999999</v>
      </c>
      <c r="K47" s="40">
        <v>54752</v>
      </c>
      <c r="L47" s="40">
        <f t="shared" si="3"/>
        <v>-20286.462800000001</v>
      </c>
      <c r="M47" s="38" t="s">
        <v>35</v>
      </c>
      <c r="N47" s="54"/>
      <c r="O47" s="36"/>
      <c r="P47" s="40">
        <v>0</v>
      </c>
      <c r="Q47" s="40">
        <v>0</v>
      </c>
      <c r="R47" s="41"/>
      <c r="S47" s="40">
        <v>6621.19</v>
      </c>
      <c r="T47" s="40">
        <v>0</v>
      </c>
      <c r="U47" s="40">
        <v>20090.48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3000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6"/>
        <v>0</v>
      </c>
      <c r="AJ47" s="93">
        <v>0.20300000000000001</v>
      </c>
      <c r="AK47" s="40" t="s">
        <v>2056</v>
      </c>
      <c r="AL47" s="40" t="s">
        <v>1884</v>
      </c>
      <c r="AM47"/>
      <c r="AN47" s="37"/>
      <c r="AP47" s="1"/>
      <c r="AQ47" s="1"/>
    </row>
    <row r="48" spans="1:43" x14ac:dyDescent="0.3">
      <c r="A48" s="38">
        <v>2</v>
      </c>
      <c r="B48" s="38" t="s">
        <v>2123</v>
      </c>
      <c r="C48" s="38" t="s">
        <v>2124</v>
      </c>
      <c r="D48" s="39">
        <v>45982</v>
      </c>
      <c r="E48" s="38" t="s">
        <v>22</v>
      </c>
      <c r="F48" s="38" t="s">
        <v>45</v>
      </c>
      <c r="G48" s="40">
        <v>336</v>
      </c>
      <c r="H48" s="87">
        <v>4200</v>
      </c>
      <c r="I48" s="40">
        <f t="shared" si="1"/>
        <v>672</v>
      </c>
      <c r="J48" s="40">
        <f t="shared" si="2"/>
        <v>5208</v>
      </c>
      <c r="K48" s="40">
        <v>5208</v>
      </c>
      <c r="L48" s="40">
        <f t="shared" si="3"/>
        <v>0</v>
      </c>
      <c r="M48" s="38" t="s">
        <v>35</v>
      </c>
      <c r="N48" s="54"/>
      <c r="O48" s="36"/>
      <c r="P48" s="40">
        <v>0</v>
      </c>
      <c r="Q48" s="40">
        <v>336</v>
      </c>
      <c r="R48" s="41"/>
      <c r="S48" s="40">
        <v>4200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6"/>
        <v>0</v>
      </c>
      <c r="AJ48" s="93">
        <v>0.61899999999999999</v>
      </c>
      <c r="AK48" s="40" t="s">
        <v>1842</v>
      </c>
      <c r="AL48" s="40" t="s">
        <v>1839</v>
      </c>
      <c r="AM48"/>
      <c r="AN48" s="37"/>
      <c r="AP48" s="1"/>
      <c r="AQ48" s="1"/>
    </row>
    <row r="49" spans="1:43" x14ac:dyDescent="0.3">
      <c r="A49" s="38">
        <v>1</v>
      </c>
      <c r="B49" s="2" t="s">
        <v>2125</v>
      </c>
      <c r="C49" s="50" t="s">
        <v>2126</v>
      </c>
      <c r="D49" s="39">
        <v>45982</v>
      </c>
      <c r="E49" s="38" t="s">
        <v>53</v>
      </c>
      <c r="F49" s="38" t="s">
        <v>199</v>
      </c>
      <c r="G49" s="40">
        <v>781</v>
      </c>
      <c r="H49" s="87">
        <f>107713.05-G49</f>
        <v>106932.05</v>
      </c>
      <c r="I49" s="40">
        <f t="shared" si="1"/>
        <v>17109.128000000001</v>
      </c>
      <c r="J49" s="40">
        <f t="shared" si="2"/>
        <v>124822.178</v>
      </c>
      <c r="K49" s="40">
        <v>207063.8</v>
      </c>
      <c r="L49" s="40">
        <f t="shared" si="3"/>
        <v>-82241.621999999988</v>
      </c>
      <c r="M49" s="38" t="s">
        <v>35</v>
      </c>
      <c r="N49" s="54"/>
      <c r="O49" s="36"/>
      <c r="P49" s="40">
        <v>0</v>
      </c>
      <c r="Q49" s="40">
        <v>781</v>
      </c>
      <c r="R49" s="41"/>
      <c r="S49" s="40">
        <v>13199.76</v>
      </c>
      <c r="T49" s="40">
        <v>0</v>
      </c>
      <c r="U49" s="40">
        <f>53900.82+10350</f>
        <v>64250.82</v>
      </c>
      <c r="V49" s="40">
        <v>28131.47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1350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6"/>
        <v>0</v>
      </c>
      <c r="AJ49" s="93">
        <v>0.191</v>
      </c>
      <c r="AK49" s="40" t="s">
        <v>1843</v>
      </c>
      <c r="AL49" s="40" t="s">
        <v>1844</v>
      </c>
      <c r="AM49"/>
      <c r="AN49" s="37"/>
      <c r="AP49" s="1"/>
      <c r="AQ49" s="1"/>
    </row>
    <row r="50" spans="1:43" x14ac:dyDescent="0.3">
      <c r="A50" s="38">
        <v>2</v>
      </c>
      <c r="B50" s="2" t="s">
        <v>2127</v>
      </c>
      <c r="C50" s="38" t="s">
        <v>2128</v>
      </c>
      <c r="D50" s="39">
        <v>45982</v>
      </c>
      <c r="E50" s="38" t="s">
        <v>22</v>
      </c>
      <c r="F50" s="38" t="s">
        <v>45</v>
      </c>
      <c r="G50" s="40">
        <v>336</v>
      </c>
      <c r="H50" s="87">
        <v>4200</v>
      </c>
      <c r="I50" s="40">
        <f t="shared" si="1"/>
        <v>672</v>
      </c>
      <c r="J50" s="40">
        <f t="shared" si="2"/>
        <v>5208</v>
      </c>
      <c r="K50" s="40">
        <v>5208</v>
      </c>
      <c r="L50" s="40">
        <f t="shared" si="3"/>
        <v>0</v>
      </c>
      <c r="M50" s="38" t="s">
        <v>35</v>
      </c>
      <c r="N50" s="54"/>
      <c r="O50" s="36"/>
      <c r="P50" s="40">
        <v>0</v>
      </c>
      <c r="Q50" s="40">
        <v>336</v>
      </c>
      <c r="R50" s="41"/>
      <c r="S50" s="40">
        <v>4200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6">
        <f t="shared" si="6"/>
        <v>0</v>
      </c>
      <c r="AJ50" s="93">
        <v>0.61899999999999999</v>
      </c>
      <c r="AK50" s="40" t="s">
        <v>1842</v>
      </c>
      <c r="AL50" s="40" t="s">
        <v>1839</v>
      </c>
      <c r="AM50"/>
      <c r="AN50" s="37"/>
      <c r="AP50" s="1"/>
      <c r="AQ50" s="1"/>
    </row>
    <row r="51" spans="1:43" x14ac:dyDescent="0.3">
      <c r="A51" s="38">
        <v>2</v>
      </c>
      <c r="B51" s="2" t="s">
        <v>2129</v>
      </c>
      <c r="C51" s="38" t="s">
        <v>2130</v>
      </c>
      <c r="D51" s="39">
        <v>45982</v>
      </c>
      <c r="E51" s="38" t="s">
        <v>198</v>
      </c>
      <c r="F51" s="38" t="s">
        <v>200</v>
      </c>
      <c r="G51" s="40">
        <v>0</v>
      </c>
      <c r="H51" s="87">
        <v>22000</v>
      </c>
      <c r="I51" s="40">
        <f t="shared" si="1"/>
        <v>3520</v>
      </c>
      <c r="J51" s="40">
        <f t="shared" si="2"/>
        <v>25520</v>
      </c>
      <c r="K51" s="40">
        <v>25520</v>
      </c>
      <c r="L51" s="40">
        <f t="shared" si="3"/>
        <v>0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0</v>
      </c>
      <c r="T51" s="40">
        <v>0</v>
      </c>
      <c r="U51" s="40">
        <v>0</v>
      </c>
      <c r="V51" s="40">
        <v>0</v>
      </c>
      <c r="W51" s="40">
        <v>22000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6"/>
        <v>0</v>
      </c>
      <c r="AJ51" s="93">
        <v>0.45900000000000002</v>
      </c>
      <c r="AK51" s="40" t="s">
        <v>1842</v>
      </c>
      <c r="AL51" s="40" t="s">
        <v>1839</v>
      </c>
      <c r="AM51"/>
      <c r="AN51" s="37"/>
      <c r="AP51" s="1"/>
      <c r="AQ51" s="1"/>
    </row>
    <row r="52" spans="1:43" x14ac:dyDescent="0.3">
      <c r="A52" s="38">
        <v>2</v>
      </c>
      <c r="B52" s="2" t="s">
        <v>2131</v>
      </c>
      <c r="C52" s="50" t="s">
        <v>2132</v>
      </c>
      <c r="D52" s="39">
        <v>45982</v>
      </c>
      <c r="E52" s="38" t="s">
        <v>22</v>
      </c>
      <c r="F52" s="38" t="s">
        <v>45</v>
      </c>
      <c r="G52" s="40">
        <v>336</v>
      </c>
      <c r="H52" s="87">
        <v>4200</v>
      </c>
      <c r="I52" s="40">
        <f t="shared" si="1"/>
        <v>672</v>
      </c>
      <c r="J52" s="40">
        <f t="shared" si="2"/>
        <v>5208</v>
      </c>
      <c r="K52" s="40">
        <v>5208</v>
      </c>
      <c r="L52" s="40">
        <f t="shared" si="3"/>
        <v>0</v>
      </c>
      <c r="M52" s="38" t="s">
        <v>35</v>
      </c>
      <c r="N52" s="54"/>
      <c r="O52" s="36"/>
      <c r="P52" s="40">
        <v>0</v>
      </c>
      <c r="Q52" s="40">
        <v>336</v>
      </c>
      <c r="R52" s="41"/>
      <c r="S52" s="40">
        <v>4200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6"/>
        <v>0</v>
      </c>
      <c r="AJ52" s="93">
        <v>0.61899999999999999</v>
      </c>
      <c r="AK52" s="40" t="s">
        <v>2055</v>
      </c>
      <c r="AL52" s="40" t="s">
        <v>1839</v>
      </c>
      <c r="AM52"/>
      <c r="AN52" s="37"/>
      <c r="AP52" s="1"/>
      <c r="AQ52" s="1"/>
    </row>
    <row r="53" spans="1:43" x14ac:dyDescent="0.3">
      <c r="A53" s="38">
        <v>1</v>
      </c>
      <c r="B53" s="2" t="s">
        <v>2133</v>
      </c>
      <c r="C53" s="50" t="s">
        <v>2134</v>
      </c>
      <c r="D53" s="39">
        <v>45982</v>
      </c>
      <c r="E53" s="38" t="s">
        <v>40</v>
      </c>
      <c r="F53" s="38" t="s">
        <v>41</v>
      </c>
      <c r="G53" s="40">
        <v>0</v>
      </c>
      <c r="H53" s="87">
        <v>77999.350000000006</v>
      </c>
      <c r="I53" s="40">
        <f t="shared" si="1"/>
        <v>12479.896000000001</v>
      </c>
      <c r="J53" s="40">
        <f t="shared" si="2"/>
        <v>90479.246000000014</v>
      </c>
      <c r="K53" s="40">
        <v>0</v>
      </c>
      <c r="L53" s="40">
        <f t="shared" si="3"/>
        <v>90479.246000000014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5524.35</v>
      </c>
      <c r="T53" s="40">
        <v>0</v>
      </c>
      <c r="U53" s="40">
        <v>25750</v>
      </c>
      <c r="V53" s="40">
        <v>0</v>
      </c>
      <c r="W53" s="40">
        <f>42000+4725</f>
        <v>46725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36">
        <f t="shared" si="6"/>
        <v>0</v>
      </c>
      <c r="AJ53" s="93">
        <v>0.252</v>
      </c>
      <c r="AK53" s="40" t="s">
        <v>1857</v>
      </c>
      <c r="AL53" s="40" t="s">
        <v>1844</v>
      </c>
      <c r="AM53"/>
      <c r="AN53" s="37"/>
      <c r="AP53" s="1"/>
      <c r="AQ53" s="1"/>
    </row>
    <row r="54" spans="1:43" x14ac:dyDescent="0.3">
      <c r="A54" s="38">
        <v>2</v>
      </c>
      <c r="B54" s="2" t="s">
        <v>2138</v>
      </c>
      <c r="C54" s="38" t="s">
        <v>2139</v>
      </c>
      <c r="D54" s="39">
        <v>45985</v>
      </c>
      <c r="E54" s="38" t="s">
        <v>22</v>
      </c>
      <c r="F54" s="38" t="s">
        <v>45</v>
      </c>
      <c r="G54" s="40">
        <v>781</v>
      </c>
      <c r="H54" s="87">
        <v>4500</v>
      </c>
      <c r="I54" s="40">
        <f t="shared" si="1"/>
        <v>720</v>
      </c>
      <c r="J54" s="40">
        <f t="shared" si="2"/>
        <v>6001</v>
      </c>
      <c r="K54" s="40">
        <v>6001</v>
      </c>
      <c r="L54" s="40">
        <f t="shared" si="3"/>
        <v>0</v>
      </c>
      <c r="M54" s="38" t="s">
        <v>35</v>
      </c>
      <c r="N54" s="54"/>
      <c r="O54" s="36"/>
      <c r="P54" s="40">
        <v>0</v>
      </c>
      <c r="Q54" s="40">
        <v>781</v>
      </c>
      <c r="R54" s="41"/>
      <c r="S54" s="40">
        <v>4500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6">
        <f t="shared" si="6"/>
        <v>0</v>
      </c>
      <c r="AJ54" s="93">
        <v>0.6</v>
      </c>
      <c r="AK54" s="40" t="s">
        <v>1842</v>
      </c>
      <c r="AL54" s="40" t="s">
        <v>1839</v>
      </c>
      <c r="AM54"/>
      <c r="AN54" s="37"/>
      <c r="AP54" s="1"/>
      <c r="AQ54" s="1"/>
    </row>
    <row r="55" spans="1:43" x14ac:dyDescent="0.3">
      <c r="A55" s="38">
        <v>2</v>
      </c>
      <c r="B55" s="2" t="s">
        <v>2140</v>
      </c>
      <c r="C55" s="38" t="s">
        <v>2141</v>
      </c>
      <c r="D55" s="39">
        <v>45985</v>
      </c>
      <c r="E55" s="38" t="s">
        <v>22</v>
      </c>
      <c r="F55" s="38" t="s">
        <v>45</v>
      </c>
      <c r="G55" s="40">
        <v>781</v>
      </c>
      <c r="H55" s="87">
        <v>4500</v>
      </c>
      <c r="I55" s="40">
        <f t="shared" si="1"/>
        <v>720</v>
      </c>
      <c r="J55" s="40">
        <f t="shared" si="2"/>
        <v>6001</v>
      </c>
      <c r="K55" s="40">
        <v>6001</v>
      </c>
      <c r="L55" s="40">
        <f t="shared" si="3"/>
        <v>0</v>
      </c>
      <c r="M55" s="38" t="s">
        <v>35</v>
      </c>
      <c r="N55" s="54"/>
      <c r="O55" s="36"/>
      <c r="P55" s="40">
        <v>0</v>
      </c>
      <c r="Q55" s="40">
        <v>781</v>
      </c>
      <c r="R55" s="41"/>
      <c r="S55" s="40">
        <v>4500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6"/>
        <v>0</v>
      </c>
      <c r="AJ55" s="93">
        <v>0.6</v>
      </c>
      <c r="AK55" s="40" t="s">
        <v>1842</v>
      </c>
      <c r="AL55" s="40" t="s">
        <v>1839</v>
      </c>
      <c r="AM55"/>
      <c r="AN55" s="37"/>
      <c r="AP55" s="1"/>
      <c r="AQ55" s="1"/>
    </row>
    <row r="56" spans="1:43" x14ac:dyDescent="0.3">
      <c r="A56" s="38">
        <v>1</v>
      </c>
      <c r="B56" s="2" t="s">
        <v>2144</v>
      </c>
      <c r="C56" s="38" t="s">
        <v>1876</v>
      </c>
      <c r="D56" s="39">
        <v>45986</v>
      </c>
      <c r="E56" s="38" t="s">
        <v>40</v>
      </c>
      <c r="F56" s="38" t="s">
        <v>41</v>
      </c>
      <c r="G56" s="40">
        <v>0</v>
      </c>
      <c r="H56" s="87">
        <v>131340.57</v>
      </c>
      <c r="I56" s="40">
        <f t="shared" si="1"/>
        <v>21014.4912</v>
      </c>
      <c r="J56" s="40">
        <f t="shared" si="2"/>
        <v>152355.0612</v>
      </c>
      <c r="K56" s="40">
        <v>0</v>
      </c>
      <c r="L56" s="40">
        <f t="shared" si="3"/>
        <v>152355.0612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5520.99</v>
      </c>
      <c r="T56" s="40">
        <v>1540.35</v>
      </c>
      <c r="U56" s="40">
        <v>29072.04</v>
      </c>
      <c r="V56" s="40">
        <v>28574.69</v>
      </c>
      <c r="W56" s="40">
        <v>66000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632.5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6"/>
        <v>0</v>
      </c>
      <c r="AJ56" s="93">
        <v>0.22600000000000001</v>
      </c>
      <c r="AK56" s="40" t="s">
        <v>1857</v>
      </c>
      <c r="AL56" s="40" t="s">
        <v>1844</v>
      </c>
      <c r="AM56"/>
      <c r="AN56" s="37"/>
      <c r="AP56" s="1"/>
      <c r="AQ56" s="1"/>
    </row>
    <row r="57" spans="1:43" x14ac:dyDescent="0.3">
      <c r="A57" s="38">
        <v>1</v>
      </c>
      <c r="B57" s="2" t="s">
        <v>2145</v>
      </c>
      <c r="C57" s="38" t="s">
        <v>2146</v>
      </c>
      <c r="D57" s="39">
        <v>45987</v>
      </c>
      <c r="E57" s="38" t="s">
        <v>40</v>
      </c>
      <c r="F57" s="38" t="s">
        <v>41</v>
      </c>
      <c r="G57" s="40">
        <v>0</v>
      </c>
      <c r="H57" s="87">
        <v>103994.03</v>
      </c>
      <c r="I57" s="40">
        <f t="shared" si="1"/>
        <v>16639.0448</v>
      </c>
      <c r="J57" s="40">
        <f t="shared" si="2"/>
        <v>120633.0748</v>
      </c>
      <c r="K57" s="40">
        <v>0</v>
      </c>
      <c r="L57" s="40">
        <f t="shared" si="3"/>
        <v>120633.0748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5586.99</v>
      </c>
      <c r="T57" s="40">
        <v>0</v>
      </c>
      <c r="U57" s="40">
        <v>29072.04</v>
      </c>
      <c r="V57" s="40">
        <v>0</v>
      </c>
      <c r="W57" s="40">
        <v>69335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36">
        <f t="shared" si="6"/>
        <v>0</v>
      </c>
      <c r="AJ57" s="93">
        <v>0.26500000000000001</v>
      </c>
      <c r="AK57" s="40" t="s">
        <v>1857</v>
      </c>
      <c r="AL57" s="40" t="s">
        <v>1844</v>
      </c>
      <c r="AM57"/>
      <c r="AN57" s="37"/>
      <c r="AP57" s="1"/>
      <c r="AQ57" s="1"/>
    </row>
    <row r="58" spans="1:43" x14ac:dyDescent="0.3">
      <c r="A58" s="38">
        <v>2</v>
      </c>
      <c r="B58" s="2" t="s">
        <v>2147</v>
      </c>
      <c r="C58" s="38" t="s">
        <v>2148</v>
      </c>
      <c r="D58" s="39">
        <v>45987</v>
      </c>
      <c r="E58" s="38" t="s">
        <v>40</v>
      </c>
      <c r="F58" s="38" t="s">
        <v>41</v>
      </c>
      <c r="G58" s="40">
        <v>0</v>
      </c>
      <c r="H58" s="84">
        <v>23250</v>
      </c>
      <c r="I58" s="40">
        <f t="shared" si="1"/>
        <v>3720</v>
      </c>
      <c r="J58" s="40">
        <f t="shared" si="2"/>
        <v>26970</v>
      </c>
      <c r="K58" s="40">
        <v>0</v>
      </c>
      <c r="L58" s="40">
        <f t="shared" si="3"/>
        <v>26970</v>
      </c>
      <c r="M58" s="38" t="s">
        <v>35</v>
      </c>
      <c r="N58" s="54"/>
      <c r="O58" s="36"/>
      <c r="P58" s="40">
        <v>0</v>
      </c>
      <c r="Q58" s="40">
        <v>0</v>
      </c>
      <c r="R58" s="41"/>
      <c r="S58" s="40">
        <v>4500</v>
      </c>
      <c r="T58" s="40">
        <v>0</v>
      </c>
      <c r="U58" s="40">
        <v>0</v>
      </c>
      <c r="V58" s="40">
        <v>0</v>
      </c>
      <c r="W58" s="40">
        <v>18750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6"/>
        <v>0</v>
      </c>
      <c r="AJ58" s="93">
        <v>0.36799999999999999</v>
      </c>
      <c r="AK58" s="40" t="s">
        <v>2055</v>
      </c>
      <c r="AL58" s="40" t="s">
        <v>1839</v>
      </c>
      <c r="AM58"/>
      <c r="AN58" s="37"/>
      <c r="AP58" s="1"/>
      <c r="AQ58" s="1"/>
    </row>
    <row r="59" spans="1:43" x14ac:dyDescent="0.3">
      <c r="A59" s="38">
        <v>2</v>
      </c>
      <c r="B59" s="2" t="s">
        <v>2149</v>
      </c>
      <c r="C59" s="38" t="s">
        <v>2150</v>
      </c>
      <c r="D59" s="39">
        <v>45987</v>
      </c>
      <c r="E59" s="38" t="s">
        <v>40</v>
      </c>
      <c r="F59" s="38" t="s">
        <v>41</v>
      </c>
      <c r="G59" s="40">
        <v>0</v>
      </c>
      <c r="H59" s="84">
        <v>23250</v>
      </c>
      <c r="I59" s="40">
        <f t="shared" si="1"/>
        <v>3720</v>
      </c>
      <c r="J59" s="40">
        <f t="shared" si="2"/>
        <v>26970</v>
      </c>
      <c r="K59" s="40">
        <v>0</v>
      </c>
      <c r="L59" s="40">
        <f t="shared" si="3"/>
        <v>26970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4500</v>
      </c>
      <c r="T59" s="40">
        <v>0</v>
      </c>
      <c r="U59" s="40">
        <v>0</v>
      </c>
      <c r="V59" s="40">
        <v>0</v>
      </c>
      <c r="W59" s="40">
        <v>18750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6"/>
        <v>0</v>
      </c>
      <c r="AJ59" s="93">
        <v>0.36799999999999999</v>
      </c>
      <c r="AK59" s="40" t="s">
        <v>2055</v>
      </c>
      <c r="AL59" s="40" t="s">
        <v>1839</v>
      </c>
      <c r="AM59"/>
      <c r="AN59" s="37"/>
      <c r="AP59" s="1"/>
      <c r="AQ59" s="1"/>
    </row>
    <row r="60" spans="1:43" x14ac:dyDescent="0.3">
      <c r="A60" s="38">
        <v>2</v>
      </c>
      <c r="B60" s="2" t="s">
        <v>2151</v>
      </c>
      <c r="C60" s="38" t="s">
        <v>2152</v>
      </c>
      <c r="D60" s="39">
        <v>45987</v>
      </c>
      <c r="E60" s="38" t="s">
        <v>40</v>
      </c>
      <c r="F60" s="38" t="s">
        <v>41</v>
      </c>
      <c r="G60" s="40">
        <v>0</v>
      </c>
      <c r="H60" s="84">
        <v>42000</v>
      </c>
      <c r="I60" s="40">
        <f t="shared" si="1"/>
        <v>6720</v>
      </c>
      <c r="J60" s="40">
        <f t="shared" si="2"/>
        <v>48720</v>
      </c>
      <c r="K60" s="40">
        <v>0</v>
      </c>
      <c r="L60" s="40">
        <f t="shared" si="3"/>
        <v>48720</v>
      </c>
      <c r="M60" s="38" t="s">
        <v>35</v>
      </c>
      <c r="N60" s="54"/>
      <c r="O60" s="36"/>
      <c r="P60" s="40">
        <v>0</v>
      </c>
      <c r="Q60" s="40">
        <v>0</v>
      </c>
      <c r="R60" s="41"/>
      <c r="S60" s="40">
        <v>4500</v>
      </c>
      <c r="T60" s="40">
        <v>0</v>
      </c>
      <c r="U60" s="40">
        <v>0</v>
      </c>
      <c r="V60" s="40">
        <v>0</v>
      </c>
      <c r="W60" s="40">
        <v>37500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6"/>
        <v>0</v>
      </c>
      <c r="AJ60" s="93">
        <v>0.39800000000000002</v>
      </c>
      <c r="AK60" s="40" t="s">
        <v>2055</v>
      </c>
      <c r="AL60" s="40" t="s">
        <v>1839</v>
      </c>
      <c r="AM60"/>
      <c r="AN60" s="37"/>
      <c r="AP60" s="1"/>
      <c r="AQ60" s="1"/>
    </row>
    <row r="61" spans="1:43" x14ac:dyDescent="0.3">
      <c r="A61" s="38">
        <v>2</v>
      </c>
      <c r="B61" s="38" t="s">
        <v>2154</v>
      </c>
      <c r="C61" s="38" t="s">
        <v>2155</v>
      </c>
      <c r="D61" s="39">
        <v>45988</v>
      </c>
      <c r="E61" s="38" t="s">
        <v>53</v>
      </c>
      <c r="F61" s="38" t="s">
        <v>199</v>
      </c>
      <c r="G61" s="40">
        <v>336</v>
      </c>
      <c r="H61" s="84">
        <v>29600</v>
      </c>
      <c r="I61" s="40">
        <f t="shared" si="1"/>
        <v>4736</v>
      </c>
      <c r="J61" s="40">
        <f t="shared" si="2"/>
        <v>34672</v>
      </c>
      <c r="K61" s="40">
        <v>34672</v>
      </c>
      <c r="L61" s="40">
        <f t="shared" si="3"/>
        <v>0</v>
      </c>
      <c r="M61" s="38" t="s">
        <v>35</v>
      </c>
      <c r="N61" s="54"/>
      <c r="O61" s="36"/>
      <c r="P61" s="40">
        <v>0</v>
      </c>
      <c r="Q61" s="40">
        <v>336</v>
      </c>
      <c r="R61" s="41"/>
      <c r="S61" s="40">
        <v>29600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si="6"/>
        <v>0</v>
      </c>
      <c r="AJ61" s="93">
        <v>0.72</v>
      </c>
      <c r="AK61" s="40" t="s">
        <v>2056</v>
      </c>
      <c r="AL61" s="40" t="s">
        <v>1839</v>
      </c>
      <c r="AM61"/>
      <c r="AN61" s="37"/>
      <c r="AP61" s="1"/>
      <c r="AQ61" s="1"/>
    </row>
    <row r="62" spans="1:43" x14ac:dyDescent="0.3">
      <c r="A62" s="38">
        <v>2</v>
      </c>
      <c r="B62" s="38" t="s">
        <v>2156</v>
      </c>
      <c r="C62" s="38" t="s">
        <v>2157</v>
      </c>
      <c r="D62" s="39">
        <v>45988</v>
      </c>
      <c r="E62" s="38" t="s">
        <v>53</v>
      </c>
      <c r="F62" s="38" t="s">
        <v>199</v>
      </c>
      <c r="G62" s="40">
        <v>0</v>
      </c>
      <c r="H62" s="84">
        <v>28800</v>
      </c>
      <c r="I62" s="40">
        <f t="shared" si="1"/>
        <v>4608</v>
      </c>
      <c r="J62" s="40">
        <f t="shared" ref="J62:J99" si="7">SUM(G62:I62)</f>
        <v>33408</v>
      </c>
      <c r="K62" s="40">
        <v>33408</v>
      </c>
      <c r="L62" s="40">
        <f t="shared" si="3"/>
        <v>0</v>
      </c>
      <c r="M62" s="38" t="s">
        <v>35</v>
      </c>
      <c r="N62" s="54"/>
      <c r="O62" s="36"/>
      <c r="P62" s="40">
        <v>0</v>
      </c>
      <c r="Q62" s="40">
        <v>0</v>
      </c>
      <c r="R62" s="41"/>
      <c r="S62" s="40">
        <v>28800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36">
        <f t="shared" ref="AI62:AI99" si="8">+SUM(S62:AH62)-H62</f>
        <v>0</v>
      </c>
      <c r="AJ62" s="93">
        <v>0.78200000000000003</v>
      </c>
      <c r="AK62" s="40" t="s">
        <v>2056</v>
      </c>
      <c r="AL62" s="40" t="s">
        <v>1839</v>
      </c>
      <c r="AM62"/>
      <c r="AN62" s="37"/>
      <c r="AP62" s="1"/>
      <c r="AQ62" s="1"/>
    </row>
    <row r="63" spans="1:43" x14ac:dyDescent="0.3">
      <c r="A63" s="38">
        <v>2</v>
      </c>
      <c r="B63" s="38" t="s">
        <v>2158</v>
      </c>
      <c r="C63" s="38" t="s">
        <v>2159</v>
      </c>
      <c r="D63" s="39">
        <v>45988</v>
      </c>
      <c r="E63" s="38" t="s">
        <v>53</v>
      </c>
      <c r="F63" s="38" t="s">
        <v>199</v>
      </c>
      <c r="G63" s="40">
        <v>0</v>
      </c>
      <c r="H63" s="90">
        <v>29600</v>
      </c>
      <c r="I63" s="40">
        <f t="shared" si="1"/>
        <v>4736</v>
      </c>
      <c r="J63" s="40">
        <f t="shared" si="7"/>
        <v>34336</v>
      </c>
      <c r="K63" s="40">
        <v>34336</v>
      </c>
      <c r="L63" s="40">
        <f t="shared" si="3"/>
        <v>0</v>
      </c>
      <c r="M63" s="38" t="s">
        <v>35</v>
      </c>
      <c r="N63" s="54"/>
      <c r="O63" s="36"/>
      <c r="P63" s="40">
        <v>0</v>
      </c>
      <c r="Q63" s="40">
        <v>0</v>
      </c>
      <c r="R63" s="41"/>
      <c r="S63" s="40">
        <v>29600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si="8"/>
        <v>0</v>
      </c>
      <c r="AJ63" s="93">
        <v>0.78800000000000003</v>
      </c>
      <c r="AK63" s="40" t="s">
        <v>2056</v>
      </c>
      <c r="AL63" s="40" t="s">
        <v>1839</v>
      </c>
      <c r="AM63"/>
      <c r="AN63" s="37"/>
      <c r="AP63" s="1"/>
      <c r="AQ63" s="1"/>
    </row>
    <row r="64" spans="1:43" x14ac:dyDescent="0.3">
      <c r="A64" s="38">
        <v>2</v>
      </c>
      <c r="B64" s="38" t="s">
        <v>2160</v>
      </c>
      <c r="C64" s="38" t="s">
        <v>2161</v>
      </c>
      <c r="D64" s="39">
        <v>45988</v>
      </c>
      <c r="E64" s="38" t="s">
        <v>53</v>
      </c>
      <c r="F64" s="38" t="s">
        <v>199</v>
      </c>
      <c r="G64" s="40">
        <v>0</v>
      </c>
      <c r="H64" s="90">
        <v>14800</v>
      </c>
      <c r="I64" s="40">
        <f t="shared" si="1"/>
        <v>2368</v>
      </c>
      <c r="J64" s="40">
        <f t="shared" si="7"/>
        <v>17168</v>
      </c>
      <c r="K64" s="40">
        <v>17168</v>
      </c>
      <c r="L64" s="40">
        <f t="shared" si="3"/>
        <v>0</v>
      </c>
      <c r="M64" s="38" t="s">
        <v>35</v>
      </c>
      <c r="N64" s="54"/>
      <c r="O64" s="36"/>
      <c r="P64" s="40">
        <v>0</v>
      </c>
      <c r="Q64" s="40">
        <v>0</v>
      </c>
      <c r="R64" s="41"/>
      <c r="S64" s="40">
        <v>14800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8"/>
        <v>0</v>
      </c>
      <c r="AJ64" s="93">
        <v>0.84599999999999997</v>
      </c>
      <c r="AK64" s="40" t="s">
        <v>2056</v>
      </c>
      <c r="AL64" s="40" t="s">
        <v>1839</v>
      </c>
      <c r="AM64"/>
      <c r="AN64" s="37"/>
      <c r="AP64" s="1"/>
      <c r="AQ64" s="1"/>
    </row>
    <row r="65" spans="1:43" x14ac:dyDescent="0.3">
      <c r="A65" s="38">
        <v>2</v>
      </c>
      <c r="B65" s="38" t="s">
        <v>2162</v>
      </c>
      <c r="C65" s="38" t="s">
        <v>2163</v>
      </c>
      <c r="D65" s="39">
        <v>45988</v>
      </c>
      <c r="E65" s="38" t="s">
        <v>53</v>
      </c>
      <c r="F65" s="38" t="s">
        <v>199</v>
      </c>
      <c r="G65" s="40">
        <v>0</v>
      </c>
      <c r="H65" s="84">
        <v>7400</v>
      </c>
      <c r="I65" s="40">
        <f t="shared" si="1"/>
        <v>1184</v>
      </c>
      <c r="J65" s="40">
        <f t="shared" si="7"/>
        <v>8584</v>
      </c>
      <c r="K65" s="40">
        <v>8584</v>
      </c>
      <c r="L65" s="40">
        <f t="shared" si="3"/>
        <v>0</v>
      </c>
      <c r="M65" s="38" t="s">
        <v>35</v>
      </c>
      <c r="N65" s="54"/>
      <c r="O65" s="36"/>
      <c r="P65" s="40">
        <v>0</v>
      </c>
      <c r="Q65" s="40">
        <v>0</v>
      </c>
      <c r="R65" s="41"/>
      <c r="S65" s="40">
        <v>7400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8"/>
        <v>0</v>
      </c>
      <c r="AJ65" s="93">
        <v>0.75900000000000001</v>
      </c>
      <c r="AK65" s="40" t="s">
        <v>2056</v>
      </c>
      <c r="AL65" s="40" t="s">
        <v>1839</v>
      </c>
      <c r="AM65"/>
      <c r="AN65" s="37"/>
      <c r="AP65" s="1"/>
      <c r="AQ65" s="1"/>
    </row>
    <row r="66" spans="1:43" x14ac:dyDescent="0.3">
      <c r="A66" s="38">
        <v>2</v>
      </c>
      <c r="B66" s="38" t="s">
        <v>2164</v>
      </c>
      <c r="C66" s="38" t="s">
        <v>2165</v>
      </c>
      <c r="D66" s="39">
        <v>45988</v>
      </c>
      <c r="E66" s="38" t="s">
        <v>53</v>
      </c>
      <c r="F66" s="38" t="s">
        <v>199</v>
      </c>
      <c r="G66" s="40">
        <v>336</v>
      </c>
      <c r="H66" s="84">
        <v>22200</v>
      </c>
      <c r="I66" s="40">
        <f t="shared" si="1"/>
        <v>3552</v>
      </c>
      <c r="J66" s="40">
        <f t="shared" si="7"/>
        <v>26088</v>
      </c>
      <c r="K66" s="40">
        <v>26088</v>
      </c>
      <c r="L66" s="40">
        <f t="shared" si="3"/>
        <v>0</v>
      </c>
      <c r="M66" s="38" t="s">
        <v>35</v>
      </c>
      <c r="N66" s="54"/>
      <c r="O66" s="36"/>
      <c r="P66" s="40">
        <v>0</v>
      </c>
      <c r="Q66" s="40">
        <v>336</v>
      </c>
      <c r="R66" s="41"/>
      <c r="S66" s="40">
        <v>22200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si="8"/>
        <v>0</v>
      </c>
      <c r="AJ66" s="93">
        <v>0.68100000000000005</v>
      </c>
      <c r="AK66" s="40" t="s">
        <v>2056</v>
      </c>
      <c r="AL66" s="40" t="s">
        <v>1839</v>
      </c>
      <c r="AM66"/>
      <c r="AN66" s="37"/>
      <c r="AP66" s="1"/>
      <c r="AQ66" s="1"/>
    </row>
    <row r="67" spans="1:43" x14ac:dyDescent="0.3">
      <c r="A67" s="38">
        <v>2</v>
      </c>
      <c r="B67" s="38" t="s">
        <v>2166</v>
      </c>
      <c r="C67" s="38" t="s">
        <v>2167</v>
      </c>
      <c r="D67" s="39">
        <v>45988</v>
      </c>
      <c r="E67" s="38" t="s">
        <v>53</v>
      </c>
      <c r="F67" s="38" t="s">
        <v>199</v>
      </c>
      <c r="G67" s="40">
        <v>0</v>
      </c>
      <c r="H67" s="84">
        <v>14800</v>
      </c>
      <c r="I67" s="40">
        <f t="shared" ref="I67:I99" si="9">+H67*0.16</f>
        <v>2368</v>
      </c>
      <c r="J67" s="40">
        <f t="shared" si="7"/>
        <v>17168</v>
      </c>
      <c r="K67" s="40">
        <v>17168</v>
      </c>
      <c r="L67" s="40">
        <f t="shared" ref="L67:L99" si="10">+J67-K67</f>
        <v>0</v>
      </c>
      <c r="M67" s="38" t="s">
        <v>35</v>
      </c>
      <c r="N67" s="54"/>
      <c r="O67" s="36"/>
      <c r="P67" s="40">
        <v>0</v>
      </c>
      <c r="Q67" s="40">
        <v>0</v>
      </c>
      <c r="R67" s="41"/>
      <c r="S67" s="40">
        <v>14800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8"/>
        <v>0</v>
      </c>
      <c r="AJ67" s="93">
        <v>0.77800000000000002</v>
      </c>
      <c r="AK67" s="40" t="s">
        <v>2056</v>
      </c>
      <c r="AL67" s="40" t="s">
        <v>1839</v>
      </c>
      <c r="AM67"/>
      <c r="AN67" s="37"/>
      <c r="AP67" s="1"/>
      <c r="AQ67" s="1"/>
    </row>
    <row r="68" spans="1:43" x14ac:dyDescent="0.3">
      <c r="A68" s="38">
        <v>2</v>
      </c>
      <c r="B68" s="38" t="s">
        <v>2168</v>
      </c>
      <c r="C68" s="38" t="s">
        <v>2169</v>
      </c>
      <c r="D68" s="39">
        <v>45988</v>
      </c>
      <c r="E68" s="38" t="s">
        <v>53</v>
      </c>
      <c r="F68" s="38" t="s">
        <v>199</v>
      </c>
      <c r="G68" s="40">
        <v>782</v>
      </c>
      <c r="H68" s="84">
        <v>37000</v>
      </c>
      <c r="I68" s="40">
        <f t="shared" si="9"/>
        <v>5920</v>
      </c>
      <c r="J68" s="40">
        <f t="shared" si="7"/>
        <v>43702</v>
      </c>
      <c r="K68" s="40">
        <v>43702</v>
      </c>
      <c r="L68" s="40">
        <f t="shared" si="10"/>
        <v>0</v>
      </c>
      <c r="M68" s="38" t="s">
        <v>35</v>
      </c>
      <c r="N68" s="54"/>
      <c r="O68" s="36"/>
      <c r="P68" s="40">
        <v>0</v>
      </c>
      <c r="Q68" s="40">
        <v>782</v>
      </c>
      <c r="R68" s="41"/>
      <c r="S68" s="40">
        <v>37000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8"/>
        <v>0</v>
      </c>
      <c r="AJ68" s="93">
        <v>0.80300000000000005</v>
      </c>
      <c r="AK68" s="40" t="s">
        <v>2056</v>
      </c>
      <c r="AL68" s="40" t="s">
        <v>1839</v>
      </c>
      <c r="AM68"/>
      <c r="AN68" s="37"/>
      <c r="AP68" s="1"/>
      <c r="AQ68" s="1"/>
    </row>
    <row r="69" spans="1:43" x14ac:dyDescent="0.3">
      <c r="A69" s="38">
        <v>1</v>
      </c>
      <c r="B69" s="38" t="s">
        <v>2170</v>
      </c>
      <c r="C69" s="38" t="s">
        <v>2171</v>
      </c>
      <c r="D69" s="39">
        <v>45988</v>
      </c>
      <c r="E69" s="38" t="s">
        <v>53</v>
      </c>
      <c r="F69" s="38" t="s">
        <v>199</v>
      </c>
      <c r="G69" s="40">
        <v>2561</v>
      </c>
      <c r="H69" s="84">
        <f>45543.79-G69</f>
        <v>42982.79</v>
      </c>
      <c r="I69" s="40">
        <f t="shared" si="9"/>
        <v>6877.2464</v>
      </c>
      <c r="J69" s="40">
        <f t="shared" si="7"/>
        <v>52421.036399999997</v>
      </c>
      <c r="K69" s="40">
        <v>60793</v>
      </c>
      <c r="L69" s="40">
        <f t="shared" si="10"/>
        <v>-8371.9636000000028</v>
      </c>
      <c r="M69" s="38" t="s">
        <v>35</v>
      </c>
      <c r="N69" s="54"/>
      <c r="O69" s="36"/>
      <c r="P69" s="40">
        <v>0</v>
      </c>
      <c r="Q69" s="40">
        <v>2561</v>
      </c>
      <c r="R69" s="41"/>
      <c r="S69" s="40">
        <v>7200</v>
      </c>
      <c r="T69" s="40">
        <v>0</v>
      </c>
      <c r="U69" s="40">
        <v>32782.79</v>
      </c>
      <c r="V69" s="40">
        <v>0</v>
      </c>
      <c r="W69" s="40">
        <v>0</v>
      </c>
      <c r="X69" s="40">
        <v>3000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8"/>
        <v>0</v>
      </c>
      <c r="AJ69" s="93">
        <v>0.19800000000000001</v>
      </c>
      <c r="AK69" s="40" t="s">
        <v>2056</v>
      </c>
      <c r="AL69" s="40" t="s">
        <v>1884</v>
      </c>
      <c r="AM69"/>
      <c r="AN69" s="37"/>
      <c r="AP69" s="1"/>
      <c r="AQ69" s="1"/>
    </row>
    <row r="70" spans="1:43" ht="15.6" customHeight="1" x14ac:dyDescent="0.3">
      <c r="A70" s="38">
        <v>1</v>
      </c>
      <c r="B70" s="38" t="s">
        <v>2173</v>
      </c>
      <c r="C70" s="38" t="s">
        <v>2172</v>
      </c>
      <c r="D70" s="39">
        <v>45988</v>
      </c>
      <c r="E70" s="38" t="s">
        <v>53</v>
      </c>
      <c r="F70" s="38" t="s">
        <v>199</v>
      </c>
      <c r="G70" s="40">
        <v>0</v>
      </c>
      <c r="H70" s="90">
        <v>30630.720000000001</v>
      </c>
      <c r="I70" s="40">
        <f t="shared" si="9"/>
        <v>4900.9152000000004</v>
      </c>
      <c r="J70" s="40">
        <f t="shared" si="7"/>
        <v>35531.635200000004</v>
      </c>
      <c r="K70" s="40">
        <v>54752</v>
      </c>
      <c r="L70" s="40">
        <f t="shared" si="10"/>
        <v>-19220.364799999996</v>
      </c>
      <c r="M70" s="38" t="s">
        <v>35</v>
      </c>
      <c r="N70" s="54"/>
      <c r="O70" s="36"/>
      <c r="P70" s="40">
        <v>0</v>
      </c>
      <c r="Q70" s="40">
        <v>0</v>
      </c>
      <c r="R70" s="41"/>
      <c r="S70" s="40">
        <v>7200</v>
      </c>
      <c r="T70" s="40">
        <v>0</v>
      </c>
      <c r="U70" s="40">
        <v>20430.72</v>
      </c>
      <c r="V70" s="40">
        <v>0</v>
      </c>
      <c r="W70" s="40">
        <v>0</v>
      </c>
      <c r="X70" s="40">
        <v>3000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36">
        <f t="shared" si="8"/>
        <v>0</v>
      </c>
      <c r="AJ70" s="93">
        <v>0.22700000000000001</v>
      </c>
      <c r="AK70" s="40" t="s">
        <v>2056</v>
      </c>
      <c r="AL70" s="40" t="s">
        <v>1884</v>
      </c>
      <c r="AM70"/>
      <c r="AN70" s="37"/>
      <c r="AP70" s="1"/>
      <c r="AQ70" s="1"/>
    </row>
    <row r="71" spans="1:43" ht="15.6" customHeight="1" x14ac:dyDescent="0.3">
      <c r="A71" s="38">
        <v>1</v>
      </c>
      <c r="B71" s="38" t="s">
        <v>2174</v>
      </c>
      <c r="C71" s="38" t="s">
        <v>2175</v>
      </c>
      <c r="D71" s="39">
        <v>45988</v>
      </c>
      <c r="E71" s="38" t="s">
        <v>53</v>
      </c>
      <c r="F71" s="38" t="s">
        <v>199</v>
      </c>
      <c r="G71" s="40">
        <v>0</v>
      </c>
      <c r="H71" s="84">
        <v>62837.279999999999</v>
      </c>
      <c r="I71" s="40">
        <f t="shared" si="9"/>
        <v>10053.9648</v>
      </c>
      <c r="J71" s="40">
        <f t="shared" si="7"/>
        <v>72891.2448</v>
      </c>
      <c r="K71" s="40">
        <v>77952</v>
      </c>
      <c r="L71" s="40">
        <f t="shared" si="10"/>
        <v>-5060.7551999999996</v>
      </c>
      <c r="M71" s="38" t="s">
        <v>35</v>
      </c>
      <c r="N71" s="54"/>
      <c r="O71" s="36"/>
      <c r="P71" s="40">
        <v>0</v>
      </c>
      <c r="Q71" s="40">
        <v>0</v>
      </c>
      <c r="R71" s="41"/>
      <c r="S71" s="40">
        <v>7200</v>
      </c>
      <c r="T71" s="40">
        <v>0</v>
      </c>
      <c r="U71" s="40">
        <f>12637.28+40000</f>
        <v>52637.279999999999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3000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8"/>
        <v>0</v>
      </c>
      <c r="AJ71" s="93">
        <v>0.16800000000000001</v>
      </c>
      <c r="AK71" s="40" t="s">
        <v>2056</v>
      </c>
      <c r="AL71" s="40" t="s">
        <v>1884</v>
      </c>
      <c r="AM71"/>
      <c r="AN71" s="37"/>
      <c r="AP71" s="1"/>
      <c r="AQ71" s="1"/>
    </row>
    <row r="72" spans="1:43" ht="15.6" customHeight="1" x14ac:dyDescent="0.3">
      <c r="A72" s="38">
        <v>1</v>
      </c>
      <c r="B72" s="38" t="s">
        <v>2176</v>
      </c>
      <c r="C72" s="38" t="s">
        <v>2177</v>
      </c>
      <c r="D72" s="39">
        <v>45988</v>
      </c>
      <c r="E72" s="38" t="s">
        <v>53</v>
      </c>
      <c r="F72" s="38" t="s">
        <v>199</v>
      </c>
      <c r="G72" s="40">
        <v>0</v>
      </c>
      <c r="H72" s="84">
        <v>29370.13</v>
      </c>
      <c r="I72" s="40">
        <f t="shared" si="9"/>
        <v>4699.2208000000001</v>
      </c>
      <c r="J72" s="40">
        <f t="shared" si="7"/>
        <v>34069.3508</v>
      </c>
      <c r="K72" s="40">
        <v>54752</v>
      </c>
      <c r="L72" s="40">
        <f t="shared" si="10"/>
        <v>-20682.6492</v>
      </c>
      <c r="M72" s="38" t="s">
        <v>35</v>
      </c>
      <c r="N72" s="54"/>
      <c r="O72" s="36"/>
      <c r="P72" s="40">
        <v>0</v>
      </c>
      <c r="Q72" s="40">
        <v>0</v>
      </c>
      <c r="R72" s="41"/>
      <c r="S72" s="40">
        <v>7200</v>
      </c>
      <c r="T72" s="40">
        <v>0</v>
      </c>
      <c r="U72" s="40">
        <v>19170.13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3000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36">
        <f t="shared" si="8"/>
        <v>0</v>
      </c>
      <c r="AJ72" s="93">
        <v>0.19700000000000001</v>
      </c>
      <c r="AK72" s="40" t="s">
        <v>2056</v>
      </c>
      <c r="AL72" s="40" t="s">
        <v>1884</v>
      </c>
      <c r="AM72"/>
      <c r="AN72" s="37"/>
      <c r="AP72" s="1"/>
      <c r="AQ72" s="1"/>
    </row>
    <row r="73" spans="1:43" ht="15.6" customHeight="1" x14ac:dyDescent="0.3">
      <c r="A73" s="38">
        <v>1</v>
      </c>
      <c r="B73" s="38" t="s">
        <v>2178</v>
      </c>
      <c r="C73" s="38" t="s">
        <v>2179</v>
      </c>
      <c r="D73" s="39">
        <v>45988</v>
      </c>
      <c r="E73" s="38" t="s">
        <v>53</v>
      </c>
      <c r="F73" s="38" t="s">
        <v>199</v>
      </c>
      <c r="G73" s="40">
        <v>0</v>
      </c>
      <c r="H73" s="84">
        <v>32172.41</v>
      </c>
      <c r="I73" s="40">
        <f t="shared" si="9"/>
        <v>5147.5856000000003</v>
      </c>
      <c r="J73" s="40">
        <f t="shared" si="7"/>
        <v>37319.995600000002</v>
      </c>
      <c r="K73" s="40">
        <v>54752</v>
      </c>
      <c r="L73" s="40">
        <f t="shared" si="10"/>
        <v>-17432.004399999998</v>
      </c>
      <c r="M73" s="38" t="s">
        <v>35</v>
      </c>
      <c r="N73" s="54"/>
      <c r="O73" s="36"/>
      <c r="P73" s="40">
        <v>0</v>
      </c>
      <c r="Q73" s="40">
        <v>0</v>
      </c>
      <c r="R73" s="41"/>
      <c r="S73" s="40">
        <v>7200</v>
      </c>
      <c r="T73" s="40">
        <v>0</v>
      </c>
      <c r="U73" s="40">
        <v>21972.41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3000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8"/>
        <v>0</v>
      </c>
      <c r="AJ73" s="93">
        <v>0.223</v>
      </c>
      <c r="AK73" s="40" t="s">
        <v>2056</v>
      </c>
      <c r="AL73" s="40" t="s">
        <v>1884</v>
      </c>
      <c r="AM73"/>
      <c r="AN73" s="37"/>
      <c r="AP73" s="1"/>
      <c r="AQ73" s="1"/>
    </row>
    <row r="74" spans="1:43" ht="15.6" customHeight="1" x14ac:dyDescent="0.3">
      <c r="A74" s="38">
        <v>1</v>
      </c>
      <c r="B74" s="38" t="s">
        <v>2180</v>
      </c>
      <c r="C74" s="38" t="s">
        <v>2181</v>
      </c>
      <c r="D74" s="39">
        <v>45988</v>
      </c>
      <c r="E74" s="38" t="s">
        <v>53</v>
      </c>
      <c r="F74" s="38" t="s">
        <v>199</v>
      </c>
      <c r="G74" s="40">
        <v>0</v>
      </c>
      <c r="H74" s="84">
        <v>39993.949999999997</v>
      </c>
      <c r="I74" s="40">
        <f t="shared" si="9"/>
        <v>6399.0319999999992</v>
      </c>
      <c r="J74" s="40">
        <f t="shared" si="7"/>
        <v>46392.981999999996</v>
      </c>
      <c r="K74" s="40">
        <v>54752</v>
      </c>
      <c r="L74" s="40">
        <f t="shared" si="10"/>
        <v>-8359.0180000000037</v>
      </c>
      <c r="M74" s="38" t="s">
        <v>35</v>
      </c>
      <c r="N74" s="54"/>
      <c r="O74" s="36"/>
      <c r="P74" s="40">
        <v>0</v>
      </c>
      <c r="Q74" s="40">
        <v>0</v>
      </c>
      <c r="R74" s="41"/>
      <c r="S74" s="40">
        <v>7200</v>
      </c>
      <c r="T74" s="40">
        <v>0</v>
      </c>
      <c r="U74" s="40">
        <v>29793.95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3000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8"/>
        <v>0</v>
      </c>
      <c r="AJ74" s="93">
        <v>0.20499999999999999</v>
      </c>
      <c r="AK74" s="40" t="s">
        <v>2085</v>
      </c>
      <c r="AL74" s="40" t="s">
        <v>1884</v>
      </c>
      <c r="AM74"/>
      <c r="AN74" s="37"/>
      <c r="AP74" s="1"/>
      <c r="AQ74" s="1"/>
    </row>
    <row r="75" spans="1:43" ht="15.6" customHeight="1" x14ac:dyDescent="0.3">
      <c r="A75" s="38">
        <v>1</v>
      </c>
      <c r="B75" s="38" t="s">
        <v>2182</v>
      </c>
      <c r="C75" s="38" t="s">
        <v>2183</v>
      </c>
      <c r="D75" s="39">
        <v>45988</v>
      </c>
      <c r="E75" s="38" t="s">
        <v>53</v>
      </c>
      <c r="F75" s="38" t="s">
        <v>199</v>
      </c>
      <c r="G75" s="40">
        <v>781</v>
      </c>
      <c r="H75" s="84">
        <f>14964.29-G75</f>
        <v>14183.29</v>
      </c>
      <c r="I75" s="40">
        <f t="shared" si="9"/>
        <v>2269.3264000000004</v>
      </c>
      <c r="J75" s="40">
        <f t="shared" si="7"/>
        <v>17233.616400000003</v>
      </c>
      <c r="K75" s="40">
        <v>20153</v>
      </c>
      <c r="L75" s="40">
        <f t="shared" si="10"/>
        <v>-2919.3835999999974</v>
      </c>
      <c r="M75" s="38" t="s">
        <v>35</v>
      </c>
      <c r="N75" s="54"/>
      <c r="O75" s="36"/>
      <c r="P75" s="40">
        <v>0</v>
      </c>
      <c r="Q75" s="40">
        <v>781</v>
      </c>
      <c r="R75" s="41"/>
      <c r="S75" s="40">
        <v>7200</v>
      </c>
      <c r="T75" s="40">
        <v>608.91999999999996</v>
      </c>
      <c r="U75" s="40">
        <v>2374.37</v>
      </c>
      <c r="V75" s="40">
        <v>0</v>
      </c>
      <c r="W75" s="40">
        <v>4000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8"/>
        <v>0</v>
      </c>
      <c r="AJ75" s="93">
        <v>0.498</v>
      </c>
      <c r="AK75" s="40" t="s">
        <v>2056</v>
      </c>
      <c r="AL75" s="40" t="s">
        <v>1884</v>
      </c>
      <c r="AM75"/>
      <c r="AN75" s="37"/>
      <c r="AP75" s="1"/>
      <c r="AQ75" s="1"/>
    </row>
    <row r="76" spans="1:43" ht="15.6" customHeight="1" x14ac:dyDescent="0.3">
      <c r="A76" s="38">
        <v>2</v>
      </c>
      <c r="B76" s="38" t="s">
        <v>2184</v>
      </c>
      <c r="C76" s="38" t="s">
        <v>2185</v>
      </c>
      <c r="D76" s="39">
        <v>45988</v>
      </c>
      <c r="E76" s="38" t="s">
        <v>61</v>
      </c>
      <c r="F76" s="2" t="s">
        <v>156</v>
      </c>
      <c r="G76" s="40">
        <v>0</v>
      </c>
      <c r="H76" s="84">
        <v>13000</v>
      </c>
      <c r="I76" s="40">
        <f t="shared" si="9"/>
        <v>2080</v>
      </c>
      <c r="J76" s="40">
        <f t="shared" si="7"/>
        <v>15080</v>
      </c>
      <c r="K76" s="40">
        <v>15080</v>
      </c>
      <c r="L76" s="40">
        <f t="shared" si="10"/>
        <v>0</v>
      </c>
      <c r="M76" s="38" t="s">
        <v>35</v>
      </c>
      <c r="N76" s="54"/>
      <c r="O76" s="36"/>
      <c r="P76" s="40">
        <v>0</v>
      </c>
      <c r="Q76" s="40">
        <v>0</v>
      </c>
      <c r="R76" s="41"/>
      <c r="S76" s="40">
        <v>0</v>
      </c>
      <c r="T76" s="40">
        <v>0</v>
      </c>
      <c r="U76" s="40">
        <v>0</v>
      </c>
      <c r="V76" s="40">
        <v>0</v>
      </c>
      <c r="W76" s="40">
        <v>13000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36">
        <f t="shared" si="8"/>
        <v>0</v>
      </c>
      <c r="AJ76" s="93">
        <v>0.29899999999999999</v>
      </c>
      <c r="AK76" s="40" t="s">
        <v>1842</v>
      </c>
      <c r="AL76" s="40" t="s">
        <v>1839</v>
      </c>
      <c r="AM76"/>
      <c r="AN76" s="37"/>
      <c r="AP76" s="1"/>
      <c r="AQ76" s="1"/>
    </row>
    <row r="77" spans="1:43" ht="15.6" customHeight="1" x14ac:dyDescent="0.3">
      <c r="A77" s="38">
        <v>2</v>
      </c>
      <c r="B77" s="38" t="s">
        <v>2186</v>
      </c>
      <c r="C77" s="38" t="s">
        <v>2187</v>
      </c>
      <c r="D77" s="39">
        <v>45988</v>
      </c>
      <c r="E77" s="38" t="s">
        <v>61</v>
      </c>
      <c r="F77" s="2" t="s">
        <v>156</v>
      </c>
      <c r="G77" s="40">
        <v>0</v>
      </c>
      <c r="H77" s="84">
        <v>18600</v>
      </c>
      <c r="I77" s="40">
        <f t="shared" si="9"/>
        <v>2976</v>
      </c>
      <c r="J77" s="40">
        <f t="shared" si="7"/>
        <v>21576</v>
      </c>
      <c r="K77" s="40">
        <v>21576</v>
      </c>
      <c r="L77" s="40">
        <f t="shared" si="10"/>
        <v>0</v>
      </c>
      <c r="M77" s="38" t="s">
        <v>35</v>
      </c>
      <c r="N77" s="54"/>
      <c r="O77" s="36"/>
      <c r="P77" s="40">
        <v>0</v>
      </c>
      <c r="Q77" s="40">
        <v>0</v>
      </c>
      <c r="R77" s="41"/>
      <c r="S77" s="40">
        <v>0</v>
      </c>
      <c r="T77" s="40">
        <v>0</v>
      </c>
      <c r="U77" s="40">
        <v>0</v>
      </c>
      <c r="V77" s="40">
        <v>0</v>
      </c>
      <c r="W77" s="40">
        <v>18600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36">
        <f t="shared" si="8"/>
        <v>0</v>
      </c>
      <c r="AJ77" s="93">
        <v>0.23100000000000001</v>
      </c>
      <c r="AK77" s="40" t="s">
        <v>1842</v>
      </c>
      <c r="AL77" s="40" t="s">
        <v>1839</v>
      </c>
      <c r="AM77"/>
      <c r="AN77" s="37"/>
      <c r="AP77" s="1"/>
      <c r="AQ77" s="1"/>
    </row>
    <row r="78" spans="1:43" ht="15.6" customHeight="1" x14ac:dyDescent="0.3">
      <c r="A78" s="38">
        <v>2</v>
      </c>
      <c r="B78" s="38" t="s">
        <v>2188</v>
      </c>
      <c r="C78" s="38" t="s">
        <v>2189</v>
      </c>
      <c r="D78" s="39">
        <v>45989</v>
      </c>
      <c r="E78" s="38" t="s">
        <v>22</v>
      </c>
      <c r="F78" s="38" t="s">
        <v>45</v>
      </c>
      <c r="G78" s="40">
        <v>336</v>
      </c>
      <c r="H78" s="84">
        <v>4200</v>
      </c>
      <c r="I78" s="40">
        <f t="shared" si="9"/>
        <v>672</v>
      </c>
      <c r="J78" s="40">
        <f t="shared" si="7"/>
        <v>5208</v>
      </c>
      <c r="K78" s="40">
        <v>5208</v>
      </c>
      <c r="L78" s="40">
        <f t="shared" si="10"/>
        <v>0</v>
      </c>
      <c r="M78" s="38" t="s">
        <v>35</v>
      </c>
      <c r="N78" s="54"/>
      <c r="O78" s="36"/>
      <c r="P78" s="40">
        <v>0</v>
      </c>
      <c r="Q78" s="40">
        <v>336</v>
      </c>
      <c r="R78" s="41"/>
      <c r="S78" s="40">
        <v>4200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8"/>
        <v>0</v>
      </c>
      <c r="AJ78" s="93">
        <v>0.61899999999999999</v>
      </c>
      <c r="AK78" s="40" t="s">
        <v>2055</v>
      </c>
      <c r="AL78" s="40" t="s">
        <v>1839</v>
      </c>
      <c r="AM78"/>
      <c r="AN78" s="37"/>
      <c r="AP78" s="1"/>
      <c r="AQ78" s="1"/>
    </row>
    <row r="79" spans="1:43" ht="15.6" customHeight="1" x14ac:dyDescent="0.3">
      <c r="A79" s="38">
        <v>2</v>
      </c>
      <c r="B79" s="38" t="s">
        <v>2190</v>
      </c>
      <c r="C79" s="38" t="s">
        <v>2191</v>
      </c>
      <c r="D79" s="39">
        <v>45989</v>
      </c>
      <c r="E79" s="38" t="s">
        <v>22</v>
      </c>
      <c r="F79" s="38" t="s">
        <v>45</v>
      </c>
      <c r="G79" s="40">
        <v>336</v>
      </c>
      <c r="H79" s="84">
        <f>7763.5-G79</f>
        <v>7427.5</v>
      </c>
      <c r="I79" s="40">
        <f t="shared" si="9"/>
        <v>1188.4000000000001</v>
      </c>
      <c r="J79" s="40">
        <f t="shared" si="7"/>
        <v>8951.9</v>
      </c>
      <c r="K79" s="40">
        <v>5208</v>
      </c>
      <c r="L79" s="40">
        <f t="shared" si="10"/>
        <v>3743.8999999999996</v>
      </c>
      <c r="M79" s="38" t="s">
        <v>35</v>
      </c>
      <c r="N79" s="54"/>
      <c r="O79" s="36"/>
      <c r="P79" s="40">
        <v>0</v>
      </c>
      <c r="Q79" s="40">
        <v>336</v>
      </c>
      <c r="R79" s="41"/>
      <c r="S79" s="40">
        <v>4200</v>
      </c>
      <c r="T79" s="40">
        <v>0</v>
      </c>
      <c r="U79" s="40">
        <v>227.5</v>
      </c>
      <c r="V79" s="40">
        <v>0</v>
      </c>
      <c r="W79" s="40">
        <v>0</v>
      </c>
      <c r="X79" s="40">
        <v>3000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8"/>
        <v>0</v>
      </c>
      <c r="AJ79" s="93">
        <v>0.72099999999999997</v>
      </c>
      <c r="AK79" s="40" t="s">
        <v>1842</v>
      </c>
      <c r="AL79" s="40" t="s">
        <v>1839</v>
      </c>
      <c r="AM79"/>
      <c r="AN79" s="37"/>
      <c r="AP79" s="1"/>
      <c r="AQ79" s="1"/>
    </row>
    <row r="80" spans="1:43" ht="15.6" customHeight="1" x14ac:dyDescent="0.3">
      <c r="A80" s="38">
        <v>1</v>
      </c>
      <c r="B80" s="38" t="s">
        <v>2192</v>
      </c>
      <c r="C80" s="38" t="s">
        <v>2193</v>
      </c>
      <c r="D80" s="39">
        <v>45989</v>
      </c>
      <c r="E80" s="38" t="s">
        <v>42</v>
      </c>
      <c r="F80" s="38" t="s">
        <v>1587</v>
      </c>
      <c r="G80" s="40">
        <v>1735</v>
      </c>
      <c r="H80" s="84">
        <f>12210.05-1735</f>
        <v>10475.049999999999</v>
      </c>
      <c r="I80" s="40">
        <f t="shared" si="9"/>
        <v>1676.0079999999998</v>
      </c>
      <c r="J80" s="40">
        <f t="shared" si="7"/>
        <v>13886.057999999999</v>
      </c>
      <c r="K80" s="40">
        <v>13181.74</v>
      </c>
      <c r="L80" s="40">
        <f t="shared" si="10"/>
        <v>704.3179999999993</v>
      </c>
      <c r="M80" s="38" t="s">
        <v>35</v>
      </c>
      <c r="N80" s="54"/>
      <c r="O80" s="36"/>
      <c r="P80" s="40">
        <v>0</v>
      </c>
      <c r="Q80" s="40">
        <v>1735</v>
      </c>
      <c r="R80" s="41"/>
      <c r="S80" s="40">
        <v>6617.88</v>
      </c>
      <c r="T80" s="40">
        <v>0</v>
      </c>
      <c r="U80" s="40">
        <v>2357.17</v>
      </c>
      <c r="V80" s="40">
        <v>0</v>
      </c>
      <c r="W80" s="40">
        <v>1500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36">
        <f t="shared" si="8"/>
        <v>0</v>
      </c>
      <c r="AJ80" s="93">
        <v>0.30299999999999999</v>
      </c>
      <c r="AK80" s="40" t="s">
        <v>1857</v>
      </c>
      <c r="AL80" s="40" t="s">
        <v>1884</v>
      </c>
      <c r="AM80"/>
      <c r="AN80" s="37"/>
      <c r="AP80" s="1"/>
      <c r="AQ80" s="1"/>
    </row>
    <row r="81" spans="1:43" ht="15.6" customHeight="1" x14ac:dyDescent="0.3">
      <c r="A81" s="38">
        <v>1</v>
      </c>
      <c r="B81" s="38" t="s">
        <v>2194</v>
      </c>
      <c r="C81" s="38" t="s">
        <v>2195</v>
      </c>
      <c r="D81" s="39">
        <v>45989</v>
      </c>
      <c r="E81" s="38" t="s">
        <v>53</v>
      </c>
      <c r="F81" s="38" t="s">
        <v>199</v>
      </c>
      <c r="G81" s="40">
        <v>781</v>
      </c>
      <c r="H81" s="84">
        <f>245287.63-781</f>
        <v>244506.63</v>
      </c>
      <c r="I81" s="40">
        <f t="shared" si="9"/>
        <v>39121.060799999999</v>
      </c>
      <c r="J81" s="40">
        <f t="shared" si="7"/>
        <v>284408.69079999998</v>
      </c>
      <c r="K81" s="40">
        <v>537151.07999999996</v>
      </c>
      <c r="L81" s="40">
        <f t="shared" si="10"/>
        <v>-252742.38919999998</v>
      </c>
      <c r="M81" s="38" t="s">
        <v>35</v>
      </c>
      <c r="N81" s="54"/>
      <c r="O81" s="36"/>
      <c r="P81" s="40">
        <v>0</v>
      </c>
      <c r="Q81" s="40">
        <v>781</v>
      </c>
      <c r="R81" s="41"/>
      <c r="S81" s="40">
        <v>26431.200000000001</v>
      </c>
      <c r="T81" s="40">
        <v>0</v>
      </c>
      <c r="U81" s="40">
        <v>101076.65</v>
      </c>
      <c r="V81" s="40">
        <v>114298.78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2700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36">
        <f t="shared" si="8"/>
        <v>0</v>
      </c>
      <c r="AJ81" s="93">
        <v>0.19700000000000001</v>
      </c>
      <c r="AK81" s="40" t="s">
        <v>1843</v>
      </c>
      <c r="AL81" s="40" t="s">
        <v>1844</v>
      </c>
      <c r="AM81"/>
      <c r="AN81" s="37"/>
      <c r="AP81" s="1"/>
      <c r="AQ81" s="1"/>
    </row>
    <row r="82" spans="1:43" ht="15.6" customHeight="1" x14ac:dyDescent="0.3">
      <c r="A82" s="38">
        <v>2</v>
      </c>
      <c r="B82" s="38" t="s">
        <v>2196</v>
      </c>
      <c r="C82" s="38" t="s">
        <v>2197</v>
      </c>
      <c r="D82" s="39">
        <v>45989</v>
      </c>
      <c r="E82" s="38" t="s">
        <v>22</v>
      </c>
      <c r="F82" s="38" t="s">
        <v>45</v>
      </c>
      <c r="G82" s="40">
        <v>336</v>
      </c>
      <c r="H82" s="84">
        <f>7763.5-G82</f>
        <v>7427.5</v>
      </c>
      <c r="I82" s="40">
        <f t="shared" si="9"/>
        <v>1188.4000000000001</v>
      </c>
      <c r="J82" s="40">
        <f t="shared" si="7"/>
        <v>8951.9</v>
      </c>
      <c r="K82" s="40">
        <v>5208</v>
      </c>
      <c r="L82" s="40">
        <f t="shared" si="10"/>
        <v>3743.8999999999996</v>
      </c>
      <c r="M82" s="38" t="s">
        <v>35</v>
      </c>
      <c r="N82" s="54"/>
      <c r="O82" s="36"/>
      <c r="P82" s="40">
        <v>0</v>
      </c>
      <c r="Q82" s="40">
        <v>336</v>
      </c>
      <c r="R82" s="41"/>
      <c r="S82" s="40">
        <v>4200</v>
      </c>
      <c r="T82" s="40">
        <v>0</v>
      </c>
      <c r="U82" s="40">
        <v>227.5</v>
      </c>
      <c r="V82" s="40">
        <v>0</v>
      </c>
      <c r="W82" s="40">
        <v>0</v>
      </c>
      <c r="X82" s="40">
        <v>3000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8"/>
        <v>0</v>
      </c>
      <c r="AJ82" s="93">
        <v>0.72099999999999997</v>
      </c>
      <c r="AK82" s="40" t="s">
        <v>1842</v>
      </c>
      <c r="AL82" s="40" t="s">
        <v>1839</v>
      </c>
      <c r="AM82"/>
      <c r="AN82" s="37"/>
      <c r="AP82" s="1"/>
      <c r="AQ82" s="1"/>
    </row>
    <row r="83" spans="1:43" ht="15.6" customHeight="1" x14ac:dyDescent="0.3">
      <c r="A83" s="38">
        <v>1</v>
      </c>
      <c r="B83" s="38" t="s">
        <v>2198</v>
      </c>
      <c r="C83" s="38" t="s">
        <v>2199</v>
      </c>
      <c r="D83" s="39">
        <v>45989</v>
      </c>
      <c r="E83" s="38" t="s">
        <v>53</v>
      </c>
      <c r="F83" s="38" t="s">
        <v>199</v>
      </c>
      <c r="G83" s="40">
        <v>781</v>
      </c>
      <c r="H83" s="84">
        <f>18922.47-G83</f>
        <v>18141.47</v>
      </c>
      <c r="I83" s="40">
        <f t="shared" si="9"/>
        <v>2902.6352000000002</v>
      </c>
      <c r="J83" s="40">
        <f t="shared" si="7"/>
        <v>21825.105200000002</v>
      </c>
      <c r="K83" s="40">
        <v>24213</v>
      </c>
      <c r="L83" s="40">
        <f t="shared" si="10"/>
        <v>-2387.8947999999982</v>
      </c>
      <c r="M83" s="38" t="s">
        <v>35</v>
      </c>
      <c r="N83" s="54"/>
      <c r="O83" s="36"/>
      <c r="P83" s="40">
        <v>0</v>
      </c>
      <c r="Q83" s="40">
        <v>781</v>
      </c>
      <c r="R83" s="41"/>
      <c r="S83" s="40">
        <v>7200</v>
      </c>
      <c r="T83" s="40">
        <v>608.91999999999996</v>
      </c>
      <c r="U83" s="40">
        <v>5832.55</v>
      </c>
      <c r="V83" s="40">
        <v>0</v>
      </c>
      <c r="W83" s="40">
        <v>4500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8"/>
        <v>0</v>
      </c>
      <c r="AJ83" s="93">
        <v>0.442</v>
      </c>
      <c r="AK83" s="40" t="s">
        <v>2085</v>
      </c>
      <c r="AL83" s="40" t="s">
        <v>1884</v>
      </c>
      <c r="AM83"/>
      <c r="AN83" s="37"/>
      <c r="AP83" s="1"/>
      <c r="AQ83" s="1"/>
    </row>
    <row r="84" spans="1:43" ht="15.6" customHeight="1" x14ac:dyDescent="0.3">
      <c r="A84" s="38">
        <v>1</v>
      </c>
      <c r="B84" s="38" t="s">
        <v>2200</v>
      </c>
      <c r="C84" s="38" t="s">
        <v>2201</v>
      </c>
      <c r="D84" s="39">
        <v>45989</v>
      </c>
      <c r="E84" s="38" t="s">
        <v>53</v>
      </c>
      <c r="F84" s="38" t="s">
        <v>199</v>
      </c>
      <c r="G84" s="40">
        <f>19808+11670</f>
        <v>31478</v>
      </c>
      <c r="H84" s="84">
        <f>272740.24-G84</f>
        <v>241262.24</v>
      </c>
      <c r="I84" s="40">
        <f t="shared" si="9"/>
        <v>38601.958399999996</v>
      </c>
      <c r="J84" s="40">
        <f t="shared" si="7"/>
        <v>311342.19839999999</v>
      </c>
      <c r="K84" s="40">
        <v>586257.66</v>
      </c>
      <c r="L84" s="40">
        <f t="shared" si="10"/>
        <v>-274915.46160000004</v>
      </c>
      <c r="M84" s="38" t="s">
        <v>35</v>
      </c>
      <c r="N84" s="54"/>
      <c r="O84" s="36"/>
      <c r="P84" s="40">
        <v>0</v>
      </c>
      <c r="Q84" s="40">
        <f>19808+11670</f>
        <v>31478</v>
      </c>
      <c r="R84" s="41"/>
      <c r="S84" s="40">
        <f>39810.53+6654.06</f>
        <v>46464.59</v>
      </c>
      <c r="T84" s="40">
        <v>0</v>
      </c>
      <c r="U84" s="40">
        <v>130972.9</v>
      </c>
      <c r="V84" s="40">
        <v>60324.35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f>2700+800.4</f>
        <v>3500.4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36">
        <f t="shared" si="8"/>
        <v>0</v>
      </c>
      <c r="AJ84" s="93">
        <v>0.25800000000000001</v>
      </c>
      <c r="AK84" s="40" t="s">
        <v>1843</v>
      </c>
      <c r="AL84" s="40" t="s">
        <v>1844</v>
      </c>
      <c r="AM84"/>
      <c r="AN84" s="37"/>
      <c r="AP84" s="1"/>
      <c r="AQ84" s="1"/>
    </row>
    <row r="85" spans="1:43" ht="15.6" customHeight="1" x14ac:dyDescent="0.3">
      <c r="A85" s="38">
        <v>2</v>
      </c>
      <c r="B85" s="38" t="s">
        <v>2202</v>
      </c>
      <c r="C85" s="38" t="s">
        <v>2203</v>
      </c>
      <c r="D85" s="39">
        <v>45989</v>
      </c>
      <c r="E85" s="38" t="s">
        <v>22</v>
      </c>
      <c r="F85" s="38" t="s">
        <v>45</v>
      </c>
      <c r="G85" s="40">
        <v>3744</v>
      </c>
      <c r="H85" s="84">
        <f>4500+2000</f>
        <v>6500</v>
      </c>
      <c r="I85" s="40">
        <f t="shared" si="9"/>
        <v>1040</v>
      </c>
      <c r="J85" s="40">
        <f t="shared" si="7"/>
        <v>11284</v>
      </c>
      <c r="K85" s="40">
        <v>11284</v>
      </c>
      <c r="L85" s="40">
        <f t="shared" si="10"/>
        <v>0</v>
      </c>
      <c r="M85" s="38" t="s">
        <v>35</v>
      </c>
      <c r="N85" s="54"/>
      <c r="O85" s="36"/>
      <c r="P85" s="40">
        <v>0</v>
      </c>
      <c r="Q85" s="40">
        <v>3744</v>
      </c>
      <c r="R85" s="41"/>
      <c r="S85" s="40">
        <v>4500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2000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8"/>
        <v>0</v>
      </c>
      <c r="AJ85" s="93">
        <v>0.64600000000000002</v>
      </c>
      <c r="AK85" s="40" t="s">
        <v>2055</v>
      </c>
      <c r="AL85" s="40" t="s">
        <v>1839</v>
      </c>
      <c r="AM85"/>
      <c r="AN85" s="37"/>
      <c r="AP85" s="1"/>
      <c r="AQ85" s="1"/>
    </row>
    <row r="86" spans="1:43" ht="15.6" customHeight="1" x14ac:dyDescent="0.3">
      <c r="A86" s="38">
        <v>2</v>
      </c>
      <c r="B86" s="38" t="s">
        <v>2204</v>
      </c>
      <c r="C86" s="38" t="s">
        <v>2205</v>
      </c>
      <c r="D86" s="39">
        <v>45989</v>
      </c>
      <c r="E86" s="38" t="s">
        <v>22</v>
      </c>
      <c r="F86" s="38" t="s">
        <v>45</v>
      </c>
      <c r="G86" s="40">
        <v>15306</v>
      </c>
      <c r="H86" s="84">
        <f>25806-G86</f>
        <v>10500</v>
      </c>
      <c r="I86" s="40">
        <f t="shared" si="9"/>
        <v>1680</v>
      </c>
      <c r="J86" s="40">
        <f t="shared" si="7"/>
        <v>27486</v>
      </c>
      <c r="K86" s="40">
        <v>27486</v>
      </c>
      <c r="L86" s="40">
        <f t="shared" si="10"/>
        <v>0</v>
      </c>
      <c r="M86" s="38" t="s">
        <v>35</v>
      </c>
      <c r="N86" s="54"/>
      <c r="O86" s="36"/>
      <c r="P86" s="40">
        <v>0</v>
      </c>
      <c r="Q86" s="40">
        <v>15306</v>
      </c>
      <c r="R86" s="41"/>
      <c r="S86" s="40">
        <v>4500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6000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8"/>
        <v>0</v>
      </c>
      <c r="AJ86" s="93">
        <v>0.59</v>
      </c>
      <c r="AK86" s="40" t="s">
        <v>1842</v>
      </c>
      <c r="AL86" s="40" t="s">
        <v>1839</v>
      </c>
      <c r="AM86"/>
      <c r="AN86" s="37"/>
      <c r="AP86" s="1"/>
      <c r="AQ86" s="1"/>
    </row>
    <row r="87" spans="1:43" ht="15.6" customHeight="1" x14ac:dyDescent="0.3">
      <c r="A87" s="38">
        <v>1</v>
      </c>
      <c r="B87" s="38" t="s">
        <v>2208</v>
      </c>
      <c r="C87" s="38" t="s">
        <v>2209</v>
      </c>
      <c r="D87" s="39">
        <v>45989</v>
      </c>
      <c r="E87" s="38" t="s">
        <v>1244</v>
      </c>
      <c r="F87" s="38" t="s">
        <v>1246</v>
      </c>
      <c r="G87" s="40">
        <v>336</v>
      </c>
      <c r="H87" s="84">
        <f>11916.98-336</f>
        <v>11580.98</v>
      </c>
      <c r="I87" s="40">
        <f t="shared" si="9"/>
        <v>1852.9567999999999</v>
      </c>
      <c r="J87" s="40">
        <f t="shared" si="7"/>
        <v>13769.936799999999</v>
      </c>
      <c r="K87" s="40">
        <v>7969.94</v>
      </c>
      <c r="L87" s="40">
        <f t="shared" si="10"/>
        <v>5799.9967999999999</v>
      </c>
      <c r="M87" s="38" t="s">
        <v>35</v>
      </c>
      <c r="N87" s="54"/>
      <c r="O87" s="36"/>
      <c r="P87" s="40">
        <v>0</v>
      </c>
      <c r="Q87" s="40">
        <v>336</v>
      </c>
      <c r="R87" s="41"/>
      <c r="S87" s="40">
        <v>6580.98</v>
      </c>
      <c r="T87" s="40">
        <v>0</v>
      </c>
      <c r="U87" s="40">
        <v>5000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8"/>
        <v>0</v>
      </c>
      <c r="AJ87" s="93">
        <v>0.58599999999999997</v>
      </c>
      <c r="AK87" s="40" t="s">
        <v>1857</v>
      </c>
      <c r="AL87" s="40" t="s">
        <v>1884</v>
      </c>
      <c r="AM87"/>
      <c r="AN87" s="37"/>
      <c r="AP87" s="1"/>
      <c r="AQ87" s="1"/>
    </row>
    <row r="88" spans="1:43" ht="15.6" customHeight="1" x14ac:dyDescent="0.3">
      <c r="A88" s="38">
        <v>1</v>
      </c>
      <c r="B88" s="38" t="s">
        <v>2211</v>
      </c>
      <c r="C88" s="38" t="s">
        <v>2210</v>
      </c>
      <c r="D88" s="39">
        <v>45989</v>
      </c>
      <c r="E88" s="38" t="s">
        <v>22</v>
      </c>
      <c r="F88" s="38" t="s">
        <v>45</v>
      </c>
      <c r="G88" s="40">
        <v>336</v>
      </c>
      <c r="H88" s="90">
        <f>11083.24-G88</f>
        <v>10747.24</v>
      </c>
      <c r="I88" s="40">
        <f t="shared" si="9"/>
        <v>1719.5583999999999</v>
      </c>
      <c r="J88" s="40">
        <f t="shared" si="7"/>
        <v>12802.7984</v>
      </c>
      <c r="K88" s="40">
        <v>11936</v>
      </c>
      <c r="L88" s="40">
        <f t="shared" si="10"/>
        <v>866.79839999999967</v>
      </c>
      <c r="M88" s="38" t="s">
        <v>35</v>
      </c>
      <c r="N88" s="54"/>
      <c r="O88" s="36"/>
      <c r="P88" s="40">
        <v>0</v>
      </c>
      <c r="Q88" s="40">
        <v>336</v>
      </c>
      <c r="R88" s="41"/>
      <c r="S88" s="40">
        <v>6000</v>
      </c>
      <c r="T88" s="40">
        <v>0</v>
      </c>
      <c r="U88" s="40">
        <v>997.24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3750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8"/>
        <v>0</v>
      </c>
      <c r="AJ88" s="93">
        <v>0.53300000000000003</v>
      </c>
      <c r="AK88" s="40" t="s">
        <v>1842</v>
      </c>
      <c r="AL88" s="40" t="s">
        <v>1884</v>
      </c>
      <c r="AM88"/>
      <c r="AN88" s="37"/>
      <c r="AP88" s="1"/>
      <c r="AQ88" s="1"/>
    </row>
    <row r="89" spans="1:43" ht="15.6" customHeight="1" x14ac:dyDescent="0.3">
      <c r="A89" s="38">
        <v>1</v>
      </c>
      <c r="B89" s="38" t="s">
        <v>2212</v>
      </c>
      <c r="C89" s="38" t="s">
        <v>2213</v>
      </c>
      <c r="D89" s="39">
        <v>45989</v>
      </c>
      <c r="E89" s="38" t="s">
        <v>53</v>
      </c>
      <c r="F89" s="38" t="s">
        <v>199</v>
      </c>
      <c r="G89" s="40">
        <v>781</v>
      </c>
      <c r="H89" s="90">
        <f>7200+4946.75</f>
        <v>12146.75</v>
      </c>
      <c r="I89" s="40">
        <f t="shared" si="9"/>
        <v>1943.48</v>
      </c>
      <c r="J89" s="40">
        <f t="shared" si="7"/>
        <v>14871.23</v>
      </c>
      <c r="K89" s="40">
        <v>43933</v>
      </c>
      <c r="L89" s="40">
        <f t="shared" si="10"/>
        <v>-29061.77</v>
      </c>
      <c r="M89" s="38" t="s">
        <v>35</v>
      </c>
      <c r="N89" s="54"/>
      <c r="O89" s="36"/>
      <c r="P89" s="40">
        <v>0</v>
      </c>
      <c r="Q89" s="40">
        <v>781</v>
      </c>
      <c r="R89" s="41"/>
      <c r="S89" s="40">
        <v>7200</v>
      </c>
      <c r="T89" s="40">
        <v>0</v>
      </c>
      <c r="U89" s="40">
        <v>4946.75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8"/>
        <v>0</v>
      </c>
      <c r="AJ89" s="93">
        <v>0.45900000000000002</v>
      </c>
      <c r="AK89" s="40" t="s">
        <v>2056</v>
      </c>
      <c r="AL89" s="40" t="s">
        <v>1884</v>
      </c>
      <c r="AM89"/>
      <c r="AN89" s="37"/>
      <c r="AP89" s="1"/>
      <c r="AQ89" s="1"/>
    </row>
    <row r="90" spans="1:43" ht="15.6" customHeight="1" x14ac:dyDescent="0.3">
      <c r="A90" s="38">
        <v>1</v>
      </c>
      <c r="B90" s="38" t="s">
        <v>2214</v>
      </c>
      <c r="C90" s="38" t="s">
        <v>2215</v>
      </c>
      <c r="D90" s="39">
        <v>45989</v>
      </c>
      <c r="E90" s="38" t="s">
        <v>53</v>
      </c>
      <c r="F90" s="38" t="s">
        <v>199</v>
      </c>
      <c r="G90" s="40">
        <v>1671</v>
      </c>
      <c r="H90" s="90">
        <f>24121.27-1671</f>
        <v>22450.27</v>
      </c>
      <c r="I90" s="40">
        <f t="shared" si="9"/>
        <v>3592.0432000000001</v>
      </c>
      <c r="J90" s="40">
        <f t="shared" si="7"/>
        <v>27713.313200000001</v>
      </c>
      <c r="K90" s="40">
        <v>54752</v>
      </c>
      <c r="L90" s="40">
        <f t="shared" si="10"/>
        <v>-27038.686799999999</v>
      </c>
      <c r="M90" s="38" t="s">
        <v>35</v>
      </c>
      <c r="N90" s="54"/>
      <c r="O90" s="36"/>
      <c r="P90" s="40">
        <v>0</v>
      </c>
      <c r="Q90" s="40">
        <v>1671</v>
      </c>
      <c r="R90" s="41"/>
      <c r="S90" s="40">
        <v>7200</v>
      </c>
      <c r="T90" s="40">
        <v>0</v>
      </c>
      <c r="U90" s="40">
        <v>12250.27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3000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8"/>
        <v>0</v>
      </c>
      <c r="AJ90" s="93">
        <v>0.26</v>
      </c>
      <c r="AK90" s="40" t="s">
        <v>2056</v>
      </c>
      <c r="AL90" s="40" t="s">
        <v>1884</v>
      </c>
      <c r="AM90"/>
      <c r="AN90" s="37"/>
      <c r="AP90" s="1"/>
      <c r="AQ90" s="1"/>
    </row>
    <row r="91" spans="1:43" ht="15.6" customHeight="1" x14ac:dyDescent="0.3">
      <c r="A91" s="38">
        <v>1</v>
      </c>
      <c r="B91" s="38" t="s">
        <v>2216</v>
      </c>
      <c r="C91" s="38" t="s">
        <v>2217</v>
      </c>
      <c r="D91" s="39">
        <v>45989</v>
      </c>
      <c r="E91" s="38" t="s">
        <v>223</v>
      </c>
      <c r="F91" s="38" t="s">
        <v>1178</v>
      </c>
      <c r="G91" s="40">
        <f>428+32579</f>
        <v>33007</v>
      </c>
      <c r="H91" s="90">
        <f>53448.16-G91</f>
        <v>20441.160000000003</v>
      </c>
      <c r="I91" s="40">
        <f t="shared" si="9"/>
        <v>3270.5856000000008</v>
      </c>
      <c r="J91" s="40">
        <f t="shared" si="7"/>
        <v>56718.745600000002</v>
      </c>
      <c r="K91" s="40">
        <v>55535</v>
      </c>
      <c r="L91" s="40">
        <f t="shared" si="10"/>
        <v>1183.745600000002</v>
      </c>
      <c r="M91" s="38" t="s">
        <v>35</v>
      </c>
      <c r="N91" s="54"/>
      <c r="O91" s="36"/>
      <c r="P91" s="40">
        <v>0</v>
      </c>
      <c r="Q91" s="40">
        <f>428+32579</f>
        <v>33007</v>
      </c>
      <c r="R91" s="41"/>
      <c r="S91" s="40">
        <v>6500</v>
      </c>
      <c r="T91" s="40">
        <v>1500</v>
      </c>
      <c r="U91" s="40">
        <f>8500+800</f>
        <v>9300</v>
      </c>
      <c r="V91" s="40">
        <v>941.16</v>
      </c>
      <c r="W91" s="40">
        <v>2200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36">
        <f t="shared" si="8"/>
        <v>0</v>
      </c>
      <c r="AJ91" s="93">
        <v>0.30599999999999999</v>
      </c>
      <c r="AK91" s="40" t="s">
        <v>1857</v>
      </c>
      <c r="AL91" s="40" t="s">
        <v>1884</v>
      </c>
      <c r="AM91"/>
      <c r="AN91" s="37"/>
      <c r="AP91" s="1"/>
      <c r="AQ91" s="1"/>
    </row>
    <row r="92" spans="1:43" ht="15.6" customHeight="1" x14ac:dyDescent="0.3">
      <c r="A92" s="38">
        <v>1</v>
      </c>
      <c r="B92" s="38" t="s">
        <v>2218</v>
      </c>
      <c r="C92" s="38" t="s">
        <v>2219</v>
      </c>
      <c r="D92" s="39">
        <v>45989</v>
      </c>
      <c r="E92" s="38" t="s">
        <v>223</v>
      </c>
      <c r="F92" s="38" t="s">
        <v>1178</v>
      </c>
      <c r="G92" s="40">
        <v>15907</v>
      </c>
      <c r="H92" s="90">
        <f>41142-G92</f>
        <v>25235</v>
      </c>
      <c r="I92" s="40">
        <f t="shared" si="9"/>
        <v>4037.6</v>
      </c>
      <c r="J92" s="40">
        <f t="shared" si="7"/>
        <v>45179.6</v>
      </c>
      <c r="K92" s="40">
        <v>45179.6</v>
      </c>
      <c r="L92" s="40">
        <f t="shared" si="10"/>
        <v>0</v>
      </c>
      <c r="M92" s="38" t="s">
        <v>35</v>
      </c>
      <c r="N92" s="54"/>
      <c r="O92" s="36"/>
      <c r="P92" s="40">
        <v>0</v>
      </c>
      <c r="Q92" s="40">
        <v>15907</v>
      </c>
      <c r="R92" s="41"/>
      <c r="S92" s="40">
        <v>6500</v>
      </c>
      <c r="T92" s="40">
        <v>1500</v>
      </c>
      <c r="U92" s="40">
        <f>7251.58+800</f>
        <v>8051.58</v>
      </c>
      <c r="V92" s="40">
        <v>1248.42</v>
      </c>
      <c r="W92" s="40">
        <v>7935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36">
        <f t="shared" si="8"/>
        <v>0</v>
      </c>
      <c r="AJ92" s="93">
        <v>0.28000000000000003</v>
      </c>
      <c r="AK92" s="40" t="s">
        <v>1857</v>
      </c>
      <c r="AL92" s="40" t="s">
        <v>1884</v>
      </c>
      <c r="AM92"/>
      <c r="AN92" s="37"/>
      <c r="AP92" s="1"/>
      <c r="AQ92" s="1"/>
    </row>
    <row r="93" spans="1:43" ht="15.6" customHeight="1" x14ac:dyDescent="0.3">
      <c r="A93" s="38">
        <v>1</v>
      </c>
      <c r="B93" s="38" t="s">
        <v>2220</v>
      </c>
      <c r="C93" s="38" t="s">
        <v>2221</v>
      </c>
      <c r="D93" s="39">
        <v>45990</v>
      </c>
      <c r="E93" s="38" t="s">
        <v>53</v>
      </c>
      <c r="F93" s="38" t="s">
        <v>199</v>
      </c>
      <c r="G93" s="40">
        <v>0</v>
      </c>
      <c r="H93" s="90">
        <v>47559.77</v>
      </c>
      <c r="I93" s="40">
        <f t="shared" si="9"/>
        <v>7609.5631999999996</v>
      </c>
      <c r="J93" s="40">
        <f t="shared" si="7"/>
        <v>55169.333199999994</v>
      </c>
      <c r="K93" s="40">
        <v>58232</v>
      </c>
      <c r="L93" s="40">
        <f t="shared" si="10"/>
        <v>-3062.6668000000063</v>
      </c>
      <c r="M93" s="38" t="s">
        <v>35</v>
      </c>
      <c r="N93" s="54"/>
      <c r="O93" s="36"/>
      <c r="P93" s="40">
        <v>0</v>
      </c>
      <c r="Q93" s="40">
        <v>0</v>
      </c>
      <c r="R93" s="41"/>
      <c r="S93" s="40">
        <v>7200</v>
      </c>
      <c r="T93" s="40">
        <v>0</v>
      </c>
      <c r="U93" s="40">
        <v>37359.769999999997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3000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36">
        <f t="shared" si="8"/>
        <v>0</v>
      </c>
      <c r="AJ93" s="93">
        <v>0.18</v>
      </c>
      <c r="AK93" s="40" t="s">
        <v>2056</v>
      </c>
      <c r="AL93" s="40" t="s">
        <v>1884</v>
      </c>
      <c r="AM93"/>
      <c r="AN93" s="37"/>
      <c r="AP93" s="1"/>
      <c r="AQ93" s="1"/>
    </row>
    <row r="94" spans="1:43" ht="15.6" customHeight="1" x14ac:dyDescent="0.3">
      <c r="A94" s="38">
        <v>1</v>
      </c>
      <c r="B94" s="38" t="s">
        <v>2222</v>
      </c>
      <c r="C94" s="38" t="s">
        <v>2223</v>
      </c>
      <c r="D94" s="39">
        <v>45990</v>
      </c>
      <c r="E94" s="38" t="s">
        <v>223</v>
      </c>
      <c r="F94" s="38" t="s">
        <v>1178</v>
      </c>
      <c r="G94" s="40">
        <f>251513+3780</f>
        <v>255293</v>
      </c>
      <c r="H94" s="90">
        <f>414946.87-G94</f>
        <v>159653.87</v>
      </c>
      <c r="I94" s="40">
        <f t="shared" si="9"/>
        <v>25544.619200000001</v>
      </c>
      <c r="J94" s="40">
        <f t="shared" si="7"/>
        <v>440491.48920000001</v>
      </c>
      <c r="K94" s="40">
        <v>441096.28</v>
      </c>
      <c r="L94" s="40">
        <f t="shared" si="10"/>
        <v>-604.79080000001704</v>
      </c>
      <c r="M94" s="38" t="s">
        <v>35</v>
      </c>
      <c r="N94" s="54"/>
      <c r="O94" s="36"/>
      <c r="P94" s="40">
        <v>3780</v>
      </c>
      <c r="Q94" s="40">
        <v>251513</v>
      </c>
      <c r="R94" s="41"/>
      <c r="S94" s="40">
        <v>7500</v>
      </c>
      <c r="T94" s="40">
        <v>0</v>
      </c>
      <c r="U94" s="40">
        <f>4725+52931.14</f>
        <v>57656.14</v>
      </c>
      <c r="V94" s="40">
        <v>26497.73</v>
      </c>
      <c r="W94" s="40">
        <v>68000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6">
        <f t="shared" si="8"/>
        <v>0</v>
      </c>
      <c r="AJ94" s="93">
        <v>0.21199999999999999</v>
      </c>
      <c r="AK94" s="40" t="s">
        <v>1857</v>
      </c>
      <c r="AL94" s="40" t="s">
        <v>1844</v>
      </c>
      <c r="AM94"/>
      <c r="AN94" s="37"/>
      <c r="AP94" s="1"/>
      <c r="AQ94" s="1"/>
    </row>
    <row r="95" spans="1:43" ht="15.6" customHeight="1" x14ac:dyDescent="0.3">
      <c r="A95" s="38"/>
      <c r="B95" s="38"/>
      <c r="C95" s="38"/>
      <c r="D95" s="39"/>
      <c r="E95" s="38"/>
      <c r="F95" s="38"/>
      <c r="G95" s="40"/>
      <c r="H95" s="90"/>
      <c r="I95" s="40">
        <f t="shared" si="9"/>
        <v>0</v>
      </c>
      <c r="J95" s="40">
        <f t="shared" si="7"/>
        <v>0</v>
      </c>
      <c r="K95" s="40"/>
      <c r="L95" s="40">
        <f t="shared" si="10"/>
        <v>0</v>
      </c>
      <c r="M95" s="38" t="s">
        <v>35</v>
      </c>
      <c r="N95" s="54"/>
      <c r="O95" s="36"/>
      <c r="P95" s="40">
        <v>0</v>
      </c>
      <c r="Q95" s="40">
        <v>0</v>
      </c>
      <c r="R95" s="41"/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36">
        <f t="shared" si="8"/>
        <v>0</v>
      </c>
      <c r="AJ95" s="93"/>
      <c r="AK95" s="40"/>
      <c r="AL95" s="40"/>
      <c r="AM95"/>
      <c r="AN95" s="37"/>
      <c r="AP95" s="1"/>
      <c r="AQ95" s="1"/>
    </row>
    <row r="96" spans="1:43" ht="15.6" customHeight="1" x14ac:dyDescent="0.3">
      <c r="A96" s="38"/>
      <c r="B96" s="38"/>
      <c r="C96" s="38"/>
      <c r="D96" s="39"/>
      <c r="E96" s="38"/>
      <c r="F96" s="38"/>
      <c r="G96" s="40"/>
      <c r="H96" s="90"/>
      <c r="I96" s="40">
        <f t="shared" si="9"/>
        <v>0</v>
      </c>
      <c r="J96" s="40">
        <f t="shared" si="7"/>
        <v>0</v>
      </c>
      <c r="K96" s="40"/>
      <c r="L96" s="40">
        <f t="shared" si="10"/>
        <v>0</v>
      </c>
      <c r="M96" s="38" t="s">
        <v>35</v>
      </c>
      <c r="N96" s="54"/>
      <c r="O96" s="36"/>
      <c r="P96" s="40">
        <v>0</v>
      </c>
      <c r="Q96" s="40">
        <v>0</v>
      </c>
      <c r="R96" s="41"/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36">
        <f t="shared" si="8"/>
        <v>0</v>
      </c>
      <c r="AJ96" s="93"/>
      <c r="AK96" s="40"/>
      <c r="AL96" s="40"/>
      <c r="AM96"/>
      <c r="AN96" s="37"/>
      <c r="AP96" s="1"/>
      <c r="AQ96" s="1"/>
    </row>
    <row r="97" spans="1:45" ht="15.6" customHeight="1" x14ac:dyDescent="0.3">
      <c r="A97" s="38"/>
      <c r="B97" s="38"/>
      <c r="C97" s="38"/>
      <c r="D97" s="39"/>
      <c r="E97" s="38"/>
      <c r="F97" s="38"/>
      <c r="G97" s="40"/>
      <c r="H97" s="90"/>
      <c r="I97" s="40">
        <f t="shared" si="9"/>
        <v>0</v>
      </c>
      <c r="J97" s="40">
        <f t="shared" si="7"/>
        <v>0</v>
      </c>
      <c r="K97" s="40"/>
      <c r="L97" s="40">
        <f t="shared" si="10"/>
        <v>0</v>
      </c>
      <c r="M97" s="38" t="s">
        <v>35</v>
      </c>
      <c r="N97" s="54"/>
      <c r="O97" s="36"/>
      <c r="P97" s="40">
        <v>0</v>
      </c>
      <c r="Q97" s="40">
        <v>0</v>
      </c>
      <c r="R97" s="41"/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36">
        <f t="shared" si="8"/>
        <v>0</v>
      </c>
      <c r="AJ97" s="93"/>
      <c r="AK97" s="40"/>
      <c r="AL97" s="40"/>
      <c r="AM97"/>
      <c r="AN97" s="37"/>
      <c r="AP97" s="1"/>
      <c r="AQ97" s="1"/>
    </row>
    <row r="98" spans="1:45" ht="15.6" customHeight="1" x14ac:dyDescent="0.3">
      <c r="A98" s="38"/>
      <c r="B98" s="38"/>
      <c r="C98" s="38"/>
      <c r="D98" s="39"/>
      <c r="E98" s="38"/>
      <c r="F98" s="38"/>
      <c r="G98" s="40"/>
      <c r="H98" s="90"/>
      <c r="I98" s="40">
        <f t="shared" si="9"/>
        <v>0</v>
      </c>
      <c r="J98" s="40">
        <f t="shared" si="7"/>
        <v>0</v>
      </c>
      <c r="K98" s="40"/>
      <c r="L98" s="40">
        <f t="shared" si="10"/>
        <v>0</v>
      </c>
      <c r="M98" s="38" t="s">
        <v>35</v>
      </c>
      <c r="N98" s="54"/>
      <c r="O98" s="36"/>
      <c r="P98" s="40">
        <v>0</v>
      </c>
      <c r="Q98" s="40">
        <v>0</v>
      </c>
      <c r="R98" s="41"/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36">
        <f t="shared" si="8"/>
        <v>0</v>
      </c>
      <c r="AJ98" s="93"/>
      <c r="AK98" s="40"/>
      <c r="AL98" s="40"/>
      <c r="AM98"/>
      <c r="AN98" s="37"/>
      <c r="AP98" s="1"/>
      <c r="AQ98" s="1"/>
    </row>
    <row r="99" spans="1:45" ht="15.6" customHeight="1" x14ac:dyDescent="0.3">
      <c r="A99" s="38"/>
      <c r="B99" s="38"/>
      <c r="C99" s="38"/>
      <c r="D99" s="39"/>
      <c r="E99" s="38"/>
      <c r="F99" s="38"/>
      <c r="G99" s="40"/>
      <c r="H99" s="84"/>
      <c r="I99" s="40">
        <f t="shared" si="9"/>
        <v>0</v>
      </c>
      <c r="J99" s="40">
        <f t="shared" si="7"/>
        <v>0</v>
      </c>
      <c r="K99" s="40"/>
      <c r="L99" s="40">
        <f t="shared" si="10"/>
        <v>0</v>
      </c>
      <c r="M99" s="38" t="s">
        <v>35</v>
      </c>
      <c r="N99" s="54"/>
      <c r="O99" s="36"/>
      <c r="P99" s="40">
        <v>0</v>
      </c>
      <c r="Q99" s="40">
        <v>0</v>
      </c>
      <c r="R99" s="41"/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36">
        <f t="shared" si="8"/>
        <v>0</v>
      </c>
      <c r="AJ99" s="40"/>
      <c r="AK99" s="40"/>
      <c r="AL99" s="40"/>
      <c r="AM99"/>
      <c r="AN99" s="37"/>
      <c r="AP99" s="1"/>
      <c r="AQ99" s="1"/>
    </row>
    <row r="100" spans="1:45" ht="15" thickBot="1" x14ac:dyDescent="0.35">
      <c r="G100" s="16">
        <f t="shared" ref="G100:L100" si="11">+SUM(G2:G99)</f>
        <v>557028</v>
      </c>
      <c r="H100" s="16">
        <f t="shared" si="11"/>
        <v>3759813.7100000004</v>
      </c>
      <c r="I100" s="16">
        <f t="shared" si="11"/>
        <v>601570.2015999998</v>
      </c>
      <c r="J100" s="16">
        <f t="shared" si="11"/>
        <v>4918411.9115999993</v>
      </c>
      <c r="K100" s="16">
        <f t="shared" si="11"/>
        <v>5686061.5300000003</v>
      </c>
      <c r="L100" s="16">
        <f t="shared" si="11"/>
        <v>-767649.61840000004</v>
      </c>
      <c r="P100" s="16">
        <f>+SUM(P2:P99)</f>
        <v>35664</v>
      </c>
      <c r="Q100" s="16">
        <f>+SUM(Q2:Q99)</f>
        <v>521364</v>
      </c>
      <c r="S100" s="16">
        <f t="shared" ref="S100:AI100" si="12">+SUM(S2:S99)</f>
        <v>819018.22999999986</v>
      </c>
      <c r="T100" s="16">
        <f t="shared" si="12"/>
        <v>10374.720000000001</v>
      </c>
      <c r="U100" s="16">
        <f t="shared" si="12"/>
        <v>1392243.71</v>
      </c>
      <c r="V100" s="16">
        <f t="shared" si="12"/>
        <v>768011.16</v>
      </c>
      <c r="W100" s="16">
        <f t="shared" si="12"/>
        <v>649365.49</v>
      </c>
      <c r="X100" s="16">
        <f t="shared" si="12"/>
        <v>18000</v>
      </c>
      <c r="Y100" s="16">
        <f t="shared" si="12"/>
        <v>8000</v>
      </c>
      <c r="Z100" s="16">
        <f t="shared" si="12"/>
        <v>0</v>
      </c>
      <c r="AA100" s="16">
        <f t="shared" si="12"/>
        <v>62550</v>
      </c>
      <c r="AB100" s="16">
        <f t="shared" si="12"/>
        <v>0</v>
      </c>
      <c r="AC100" s="16">
        <f t="shared" si="12"/>
        <v>13245.4</v>
      </c>
      <c r="AD100" s="16">
        <f t="shared" si="12"/>
        <v>1575</v>
      </c>
      <c r="AE100" s="16">
        <f t="shared" si="12"/>
        <v>7350</v>
      </c>
      <c r="AF100" s="16">
        <f t="shared" si="12"/>
        <v>10080</v>
      </c>
      <c r="AG100" s="16">
        <f t="shared" si="12"/>
        <v>0</v>
      </c>
      <c r="AH100" s="16">
        <f t="shared" si="12"/>
        <v>0</v>
      </c>
      <c r="AI100" s="47">
        <f t="shared" si="12"/>
        <v>0</v>
      </c>
      <c r="AJ100" s="91"/>
      <c r="AK100" s="91"/>
      <c r="AL100"/>
      <c r="AM100"/>
      <c r="AN100" s="37"/>
      <c r="AP100" s="1"/>
      <c r="AQ100" s="1"/>
    </row>
    <row r="101" spans="1:45" ht="15" thickTop="1" x14ac:dyDescent="0.3">
      <c r="AN101" s="37"/>
      <c r="AP101" s="1"/>
      <c r="AQ101" s="1"/>
    </row>
    <row r="102" spans="1:45" x14ac:dyDescent="0.3">
      <c r="Q102" s="1">
        <f>+G100-P100-Q100</f>
        <v>0</v>
      </c>
      <c r="AN102" s="37"/>
      <c r="AP102" s="1"/>
      <c r="AQ102" s="1"/>
    </row>
    <row r="103" spans="1:45" x14ac:dyDescent="0.3">
      <c r="M103" s="46"/>
    </row>
    <row r="104" spans="1:45" x14ac:dyDescent="0.3">
      <c r="D104"/>
      <c r="E104" s="49"/>
      <c r="F104" s="14"/>
      <c r="H104" s="21" t="s">
        <v>25</v>
      </c>
      <c r="I104" s="21" t="s">
        <v>26</v>
      </c>
      <c r="J104" s="21" t="s">
        <v>27</v>
      </c>
      <c r="K104" s="21" t="s">
        <v>28</v>
      </c>
    </row>
    <row r="105" spans="1:45" x14ac:dyDescent="0.3">
      <c r="B105" s="14" t="s">
        <v>30</v>
      </c>
      <c r="D105" s="15">
        <v>0</v>
      </c>
      <c r="G105" s="14" t="s">
        <v>23</v>
      </c>
      <c r="H105" s="1">
        <f>+H100-I105</f>
        <v>3759813.7100000004</v>
      </c>
      <c r="I105" s="1">
        <v>0</v>
      </c>
      <c r="J105" s="1">
        <f>+H105*0.16</f>
        <v>601570.19360000012</v>
      </c>
      <c r="K105" s="1">
        <f>+SUM(H105:J105)</f>
        <v>4361383.9036000008</v>
      </c>
      <c r="M105" s="46"/>
    </row>
    <row r="106" spans="1:45" x14ac:dyDescent="0.3">
      <c r="A106" s="22" t="s">
        <v>32</v>
      </c>
      <c r="B106" s="14" t="s">
        <v>31</v>
      </c>
      <c r="D106" s="15">
        <v>0</v>
      </c>
      <c r="G106" s="14" t="s">
        <v>24</v>
      </c>
      <c r="H106" s="1">
        <f>+'NOV USD'!Q22</f>
        <v>0</v>
      </c>
      <c r="I106" s="1">
        <f>+'NOV USD'!Q23</f>
        <v>233312.46905500002</v>
      </c>
      <c r="J106" s="1">
        <f>+H106*0.16</f>
        <v>0</v>
      </c>
      <c r="K106" s="1">
        <f>+SUM(H106:J106)</f>
        <v>233312.46905500002</v>
      </c>
    </row>
    <row r="107" spans="1:45" ht="15" thickBot="1" x14ac:dyDescent="0.35">
      <c r="A107" s="22" t="s">
        <v>33</v>
      </c>
      <c r="B107" s="14" t="s">
        <v>34</v>
      </c>
      <c r="D107" s="20">
        <f>+D105-D106</f>
        <v>0</v>
      </c>
      <c r="E107" s="35"/>
      <c r="H107" s="20">
        <f>+SUM(H105:H106)</f>
        <v>3759813.7100000004</v>
      </c>
      <c r="I107" s="20">
        <f t="shared" ref="I107:J107" si="13">+SUM(I105:I106)</f>
        <v>233312.46905500002</v>
      </c>
      <c r="J107" s="20">
        <f t="shared" si="13"/>
        <v>601570.19360000012</v>
      </c>
      <c r="K107" s="20">
        <f>+SUM(K105:K106)</f>
        <v>4594696.3726550005</v>
      </c>
    </row>
    <row r="108" spans="1:45" ht="15" thickTop="1" x14ac:dyDescent="0.3">
      <c r="D108"/>
    </row>
    <row r="109" spans="1:45" x14ac:dyDescent="0.3">
      <c r="D109" s="33"/>
      <c r="G109" s="14" t="s">
        <v>29</v>
      </c>
      <c r="H109" s="15">
        <f>+H107+I107</f>
        <v>3993126.1790550007</v>
      </c>
    </row>
    <row r="110" spans="1:45" x14ac:dyDescent="0.3">
      <c r="D110" s="33"/>
      <c r="G110" s="14"/>
      <c r="H110" s="15"/>
      <c r="AS110" s="1"/>
    </row>
    <row r="111" spans="1:45" x14ac:dyDescent="0.3">
      <c r="D111" s="33"/>
      <c r="G111" s="14"/>
      <c r="H111" s="15"/>
      <c r="AS111" s="1"/>
    </row>
    <row r="112" spans="1:45" x14ac:dyDescent="0.3">
      <c r="D112" s="33"/>
      <c r="G112" s="14"/>
      <c r="H112" s="15"/>
      <c r="AS112" s="1"/>
    </row>
    <row r="113" spans="1:45" x14ac:dyDescent="0.3">
      <c r="D113" s="33"/>
      <c r="G113" s="14"/>
      <c r="H113" s="15"/>
      <c r="AS113" s="1"/>
    </row>
    <row r="114" spans="1:45" s="1" customFormat="1" x14ac:dyDescent="0.3">
      <c r="A114"/>
      <c r="B114"/>
      <c r="C114"/>
      <c r="D114" s="33"/>
      <c r="E114"/>
      <c r="F114"/>
      <c r="G114" s="14"/>
      <c r="H114" s="15"/>
      <c r="M114"/>
      <c r="N114"/>
      <c r="O114"/>
      <c r="R114"/>
      <c r="AP114"/>
      <c r="AQ114"/>
      <c r="AR114"/>
      <c r="AS114"/>
    </row>
    <row r="115" spans="1:45" s="1" customFormat="1" x14ac:dyDescent="0.3">
      <c r="A115"/>
      <c r="B115"/>
      <c r="C115"/>
      <c r="D115" s="33"/>
      <c r="E115"/>
      <c r="F115"/>
      <c r="G115" s="14"/>
      <c r="H115" s="15"/>
      <c r="M115"/>
      <c r="N115"/>
      <c r="O115"/>
      <c r="R115"/>
      <c r="AP115"/>
      <c r="AQ115"/>
      <c r="AR115"/>
      <c r="AS115"/>
    </row>
    <row r="116" spans="1:45" s="1" customFormat="1" x14ac:dyDescent="0.3">
      <c r="A116"/>
      <c r="B116"/>
      <c r="C116"/>
      <c r="D116" s="33"/>
      <c r="E116"/>
      <c r="F116"/>
      <c r="G116" s="14"/>
      <c r="H116" s="15"/>
      <c r="M116"/>
      <c r="N116"/>
      <c r="O116"/>
      <c r="R116"/>
      <c r="AP116"/>
      <c r="AQ116"/>
      <c r="AR116"/>
      <c r="AS116"/>
    </row>
    <row r="117" spans="1:45" s="1" customFormat="1" x14ac:dyDescent="0.3">
      <c r="A117"/>
      <c r="B117"/>
      <c r="C117"/>
      <c r="D117" s="33"/>
      <c r="E117"/>
      <c r="F117"/>
      <c r="G117" s="14"/>
      <c r="H117" s="15"/>
      <c r="M117"/>
      <c r="N117"/>
      <c r="O117"/>
      <c r="R117"/>
      <c r="AP117"/>
      <c r="AQ117"/>
      <c r="AR117"/>
      <c r="AS117"/>
    </row>
  </sheetData>
  <autoFilter ref="A1:AP100" xr:uid="{6D9A6E66-117A-42D1-8872-A55637CA45F1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11BE-74A6-4FB8-9F5B-F58FFECC1B96}">
  <sheetPr>
    <tabColor rgb="FF0070C0"/>
  </sheetPr>
  <dimension ref="A1:AQ27"/>
  <sheetViews>
    <sheetView zoomScale="90" zoomScaleNormal="90" workbookViewId="0">
      <pane xSplit="5" ySplit="2" topLeftCell="F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baseColWidth="10" defaultColWidth="15.6640625" defaultRowHeight="14.4" x14ac:dyDescent="0.3"/>
  <cols>
    <col min="4" max="4" width="9.5546875" customWidth="1"/>
    <col min="5" max="5" width="14.109375" bestFit="1" customWidth="1"/>
    <col min="6" max="6" width="21.44140625" bestFit="1" customWidth="1"/>
    <col min="7" max="7" width="11.6640625" style="25" customWidth="1"/>
    <col min="8" max="8" width="13" customWidth="1"/>
    <col min="9" max="9" width="46.44140625" customWidth="1"/>
    <col min="10" max="10" width="20.109375" customWidth="1"/>
    <col min="11" max="15" width="15.6640625" customWidth="1"/>
    <col min="18" max="21" width="15.6640625" customWidth="1"/>
    <col min="22" max="22" width="4.5546875" customWidth="1"/>
    <col min="23" max="23" width="1.6640625" customWidth="1"/>
    <col min="24" max="24" width="25.6640625" customWidth="1"/>
    <col min="25" max="31" width="20.33203125" customWidth="1"/>
    <col min="32" max="32" width="15.6640625" customWidth="1"/>
    <col min="33" max="33" width="1.6640625" customWidth="1"/>
    <col min="42" max="42" width="15.6640625" customWidth="1"/>
  </cols>
  <sheetData>
    <row r="1" spans="1:43" x14ac:dyDescent="0.3">
      <c r="J1" s="29" t="s">
        <v>38</v>
      </c>
      <c r="K1" s="30"/>
      <c r="L1" s="30"/>
      <c r="M1" s="30"/>
      <c r="N1" s="30"/>
      <c r="O1" s="31"/>
      <c r="Q1" s="29" t="s">
        <v>39</v>
      </c>
      <c r="R1" s="30"/>
      <c r="S1" s="30"/>
      <c r="T1" s="30"/>
      <c r="U1" s="31"/>
    </row>
    <row r="2" spans="1:43" ht="28.8" x14ac:dyDescent="0.3">
      <c r="A2" s="10" t="s">
        <v>1815</v>
      </c>
      <c r="B2" s="10" t="s">
        <v>1816</v>
      </c>
      <c r="C2" s="10" t="s">
        <v>1817</v>
      </c>
      <c r="D2" s="10" t="s">
        <v>6</v>
      </c>
      <c r="E2" s="10" t="s">
        <v>7</v>
      </c>
      <c r="F2" s="10" t="s">
        <v>794</v>
      </c>
      <c r="G2" s="26" t="s">
        <v>9</v>
      </c>
      <c r="H2" s="10" t="s">
        <v>10</v>
      </c>
      <c r="I2" s="10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0" t="s">
        <v>18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9"/>
      <c r="W2" s="9"/>
      <c r="X2" s="5" t="s">
        <v>60</v>
      </c>
      <c r="Y2" s="5" t="s">
        <v>1</v>
      </c>
      <c r="Z2" s="5" t="s">
        <v>514</v>
      </c>
      <c r="AA2" s="5" t="s">
        <v>54</v>
      </c>
      <c r="AB2" s="5" t="s">
        <v>52</v>
      </c>
      <c r="AC2" s="5" t="s">
        <v>3</v>
      </c>
      <c r="AD2" s="5" t="s">
        <v>974</v>
      </c>
      <c r="AE2" s="5" t="s">
        <v>47</v>
      </c>
      <c r="AF2" s="5" t="s">
        <v>1230</v>
      </c>
      <c r="AG2" s="8"/>
      <c r="AH2" s="5" t="s">
        <v>60</v>
      </c>
      <c r="AI2" s="5" t="s">
        <v>1</v>
      </c>
      <c r="AJ2" s="5" t="s">
        <v>514</v>
      </c>
      <c r="AK2" s="5" t="s">
        <v>54</v>
      </c>
      <c r="AL2" s="5" t="s">
        <v>52</v>
      </c>
      <c r="AM2" s="5" t="s">
        <v>3</v>
      </c>
      <c r="AN2" s="5" t="s">
        <v>974</v>
      </c>
      <c r="AO2" s="5" t="s">
        <v>47</v>
      </c>
      <c r="AP2" s="5" t="s">
        <v>1230</v>
      </c>
    </row>
    <row r="3" spans="1:43" x14ac:dyDescent="0.3">
      <c r="A3" s="94">
        <v>0.47</v>
      </c>
      <c r="B3" s="82" t="s">
        <v>2055</v>
      </c>
      <c r="C3" s="82" t="s">
        <v>1839</v>
      </c>
      <c r="D3" s="82">
        <v>2</v>
      </c>
      <c r="E3" s="19" t="s">
        <v>2029</v>
      </c>
      <c r="F3" s="2" t="s">
        <v>2028</v>
      </c>
      <c r="G3" s="27">
        <v>45971</v>
      </c>
      <c r="H3" s="19" t="s">
        <v>40</v>
      </c>
      <c r="I3" s="2" t="s">
        <v>41</v>
      </c>
      <c r="J3" s="13">
        <v>0</v>
      </c>
      <c r="K3" s="13">
        <v>400</v>
      </c>
      <c r="L3" s="13">
        <v>0</v>
      </c>
      <c r="M3" s="13">
        <f>SUM(J3:L3)</f>
        <v>400</v>
      </c>
      <c r="N3" s="13">
        <v>0</v>
      </c>
      <c r="O3" s="13">
        <f>M3-N3</f>
        <v>400</v>
      </c>
      <c r="P3" s="18">
        <v>18.5</v>
      </c>
      <c r="Q3" s="3">
        <f t="shared" ref="Q3:Q18" si="0">K3*P3</f>
        <v>7400</v>
      </c>
      <c r="R3" s="3">
        <f>L3*P3</f>
        <v>0</v>
      </c>
      <c r="S3" s="3">
        <f>M3*P3</f>
        <v>7400</v>
      </c>
      <c r="T3" s="3">
        <f>P3*N3</f>
        <v>0</v>
      </c>
      <c r="U3" s="3">
        <f>O3*P3</f>
        <v>7400</v>
      </c>
      <c r="V3" s="48"/>
      <c r="W3" s="44"/>
      <c r="X3" s="3">
        <v>400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H3" s="3">
        <f>X3*P3</f>
        <v>7400</v>
      </c>
      <c r="AI3" s="3">
        <f>+Y3*P3</f>
        <v>0</v>
      </c>
      <c r="AJ3" s="60">
        <f>+P3*Z3</f>
        <v>0</v>
      </c>
      <c r="AK3" s="3">
        <f>+AA3*P3</f>
        <v>0</v>
      </c>
      <c r="AL3" s="3">
        <f>+AB3*P3</f>
        <v>0</v>
      </c>
      <c r="AM3" s="3">
        <f>+AC3*P3</f>
        <v>0</v>
      </c>
      <c r="AN3" s="3">
        <f>+AD3*P3</f>
        <v>0</v>
      </c>
      <c r="AO3" s="3">
        <f>+AE3*P3</f>
        <v>0</v>
      </c>
      <c r="AP3" s="3">
        <f>+AF3*P3</f>
        <v>0</v>
      </c>
      <c r="AQ3" s="46"/>
    </row>
    <row r="4" spans="1:43" x14ac:dyDescent="0.3">
      <c r="A4" s="94">
        <v>0.23599999999999999</v>
      </c>
      <c r="B4" s="82" t="s">
        <v>1857</v>
      </c>
      <c r="C4" s="82" t="s">
        <v>1844</v>
      </c>
      <c r="D4" s="82">
        <v>1</v>
      </c>
      <c r="E4" s="19" t="s">
        <v>2048</v>
      </c>
      <c r="F4" s="2" t="s">
        <v>2049</v>
      </c>
      <c r="G4" s="27">
        <v>45972</v>
      </c>
      <c r="H4" s="19" t="s">
        <v>40</v>
      </c>
      <c r="I4" s="2" t="s">
        <v>41</v>
      </c>
      <c r="J4" s="13">
        <v>0</v>
      </c>
      <c r="K4" s="13">
        <v>4035.15</v>
      </c>
      <c r="L4" s="13">
        <v>0</v>
      </c>
      <c r="M4" s="13">
        <f t="shared" ref="M4:M18" si="1">SUM(J4:L4)</f>
        <v>4035.15</v>
      </c>
      <c r="N4" s="13">
        <v>0</v>
      </c>
      <c r="O4" s="13">
        <f>M4-N4</f>
        <v>4035.15</v>
      </c>
      <c r="P4" s="18">
        <v>18.392199999999999</v>
      </c>
      <c r="Q4" s="3">
        <f t="shared" si="0"/>
        <v>74215.285829999993</v>
      </c>
      <c r="R4" s="3">
        <f>L4*P4</f>
        <v>0</v>
      </c>
      <c r="S4" s="3">
        <f>M4*P4</f>
        <v>74215.285829999993</v>
      </c>
      <c r="T4" s="3">
        <f>P4*N4</f>
        <v>0</v>
      </c>
      <c r="U4" s="3">
        <f>O4*P4</f>
        <v>74215.285829999993</v>
      </c>
      <c r="V4" s="48"/>
      <c r="W4" s="44"/>
      <c r="X4" s="3">
        <f>2605.5+756</f>
        <v>3361.5</v>
      </c>
      <c r="Y4" s="3">
        <v>0</v>
      </c>
      <c r="Z4" s="3">
        <v>673.65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H4" s="76">
        <f>X4*P4</f>
        <v>61825.380299999997</v>
      </c>
      <c r="AI4" s="3">
        <f t="shared" ref="AI4:AI18" si="2">+Y4*P4</f>
        <v>0</v>
      </c>
      <c r="AJ4" s="60">
        <f t="shared" ref="AJ4:AJ18" si="3">+P4*Z4</f>
        <v>12389.905529999998</v>
      </c>
      <c r="AK4" s="3">
        <f>+AA4*P4</f>
        <v>0</v>
      </c>
      <c r="AL4" s="3">
        <f t="shared" ref="AL4:AL18" si="4">+AB4*P4</f>
        <v>0</v>
      </c>
      <c r="AM4" s="3">
        <f t="shared" ref="AM4:AM18" si="5">+AC4*P4</f>
        <v>0</v>
      </c>
      <c r="AN4" s="3">
        <f t="shared" ref="AN4:AN18" si="6">+AD4*P4</f>
        <v>0</v>
      </c>
      <c r="AO4" s="3">
        <f t="shared" ref="AO4:AO18" si="7">+AE4*P4</f>
        <v>0</v>
      </c>
      <c r="AP4" s="3">
        <f>+AF4*P4</f>
        <v>0</v>
      </c>
      <c r="AQ4" s="46"/>
    </row>
    <row r="5" spans="1:43" x14ac:dyDescent="0.3">
      <c r="A5" s="94">
        <v>0.29699999999999999</v>
      </c>
      <c r="B5" s="82" t="s">
        <v>2153</v>
      </c>
      <c r="C5" s="82" t="s">
        <v>1839</v>
      </c>
      <c r="D5" s="82">
        <v>2</v>
      </c>
      <c r="E5" s="19" t="s">
        <v>2116</v>
      </c>
      <c r="F5" s="2" t="s">
        <v>2136</v>
      </c>
      <c r="G5" s="27">
        <v>45982</v>
      </c>
      <c r="H5" s="19" t="s">
        <v>2117</v>
      </c>
      <c r="I5" s="2" t="s">
        <v>2118</v>
      </c>
      <c r="J5" s="13">
        <v>0</v>
      </c>
      <c r="K5" s="13">
        <v>3100</v>
      </c>
      <c r="L5" s="13">
        <v>0</v>
      </c>
      <c r="M5" s="13">
        <f t="shared" si="1"/>
        <v>3100</v>
      </c>
      <c r="N5" s="13">
        <v>3100</v>
      </c>
      <c r="O5" s="13">
        <f t="shared" ref="O5:O18" si="8">M5-N5</f>
        <v>0</v>
      </c>
      <c r="P5" s="18">
        <v>18.355</v>
      </c>
      <c r="Q5" s="3">
        <f t="shared" si="0"/>
        <v>56900.5</v>
      </c>
      <c r="R5" s="3">
        <f>L5*P5</f>
        <v>0</v>
      </c>
      <c r="S5" s="3">
        <f>M5*P5</f>
        <v>56900.5</v>
      </c>
      <c r="T5" s="3">
        <f>P5*N5</f>
        <v>56900.5</v>
      </c>
      <c r="U5" s="3">
        <f>O5*P5</f>
        <v>0</v>
      </c>
      <c r="V5" s="48"/>
      <c r="W5" s="44"/>
      <c r="X5" s="3">
        <v>3100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H5" s="3">
        <f>X5*P5</f>
        <v>56900.5</v>
      </c>
      <c r="AI5" s="3">
        <f t="shared" si="2"/>
        <v>0</v>
      </c>
      <c r="AJ5" s="3">
        <f t="shared" si="3"/>
        <v>0</v>
      </c>
      <c r="AK5" s="3">
        <f>+AA5*P5</f>
        <v>0</v>
      </c>
      <c r="AL5" s="3">
        <f t="shared" si="4"/>
        <v>0</v>
      </c>
      <c r="AM5" s="3">
        <f t="shared" si="5"/>
        <v>0</v>
      </c>
      <c r="AN5" s="3">
        <f t="shared" si="6"/>
        <v>0</v>
      </c>
      <c r="AO5" s="3">
        <f t="shared" si="7"/>
        <v>0</v>
      </c>
      <c r="AP5" s="3">
        <f>+AF5*P5</f>
        <v>0</v>
      </c>
      <c r="AQ5" s="46"/>
    </row>
    <row r="6" spans="1:43" x14ac:dyDescent="0.3">
      <c r="A6" s="94">
        <v>0.11899999999999999</v>
      </c>
      <c r="B6" s="82" t="s">
        <v>1862</v>
      </c>
      <c r="C6" s="82" t="s">
        <v>1839</v>
      </c>
      <c r="D6" s="82">
        <v>2</v>
      </c>
      <c r="E6" s="19" t="s">
        <v>2135</v>
      </c>
      <c r="F6" s="2" t="s">
        <v>2137</v>
      </c>
      <c r="G6" s="27">
        <v>45985</v>
      </c>
      <c r="H6" s="19" t="s">
        <v>61</v>
      </c>
      <c r="I6" s="2" t="s">
        <v>156</v>
      </c>
      <c r="J6" s="13">
        <v>0</v>
      </c>
      <c r="K6" s="13">
        <v>980</v>
      </c>
      <c r="L6" s="13">
        <v>0</v>
      </c>
      <c r="M6" s="13">
        <f t="shared" si="1"/>
        <v>980</v>
      </c>
      <c r="N6" s="13">
        <v>0</v>
      </c>
      <c r="O6" s="13">
        <f t="shared" si="8"/>
        <v>980</v>
      </c>
      <c r="P6" s="18">
        <v>18.496500000000001</v>
      </c>
      <c r="Q6" s="3">
        <f t="shared" si="0"/>
        <v>18126.57</v>
      </c>
      <c r="R6" s="3">
        <f t="shared" ref="R6:R18" si="9">L6*P6</f>
        <v>0</v>
      </c>
      <c r="S6" s="3">
        <f t="shared" ref="S6:S18" si="10">M6*P6</f>
        <v>18126.57</v>
      </c>
      <c r="T6" s="3">
        <f t="shared" ref="T6:T18" si="11">P6*N6</f>
        <v>0</v>
      </c>
      <c r="U6" s="3">
        <f t="shared" ref="U6:U18" si="12">O6*P6</f>
        <v>18126.57</v>
      </c>
      <c r="V6" s="48"/>
      <c r="W6" s="44"/>
      <c r="X6" s="3">
        <v>980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H6" s="3">
        <f>X6*P6</f>
        <v>18126.57</v>
      </c>
      <c r="AI6" s="3">
        <f t="shared" si="2"/>
        <v>0</v>
      </c>
      <c r="AJ6" s="3">
        <f t="shared" si="3"/>
        <v>0</v>
      </c>
      <c r="AK6" s="3">
        <f>+AA6*P6</f>
        <v>0</v>
      </c>
      <c r="AL6" s="3">
        <f t="shared" si="4"/>
        <v>0</v>
      </c>
      <c r="AM6" s="3">
        <f t="shared" si="5"/>
        <v>0</v>
      </c>
      <c r="AN6" s="3">
        <f t="shared" si="6"/>
        <v>0</v>
      </c>
      <c r="AO6" s="3">
        <f t="shared" si="7"/>
        <v>0</v>
      </c>
      <c r="AP6" s="3">
        <f>+AF6*P6</f>
        <v>0</v>
      </c>
      <c r="AQ6" s="46"/>
    </row>
    <row r="7" spans="1:43" x14ac:dyDescent="0.3">
      <c r="A7" s="94">
        <v>0.29099999999999998</v>
      </c>
      <c r="B7" s="82" t="s">
        <v>1857</v>
      </c>
      <c r="C7" s="82" t="s">
        <v>1844</v>
      </c>
      <c r="D7" s="82">
        <v>1</v>
      </c>
      <c r="E7" s="19" t="s">
        <v>2142</v>
      </c>
      <c r="F7" s="2" t="s">
        <v>2143</v>
      </c>
      <c r="G7" s="27">
        <v>45985</v>
      </c>
      <c r="H7" s="19" t="s">
        <v>40</v>
      </c>
      <c r="I7" s="2" t="s">
        <v>41</v>
      </c>
      <c r="J7" s="13">
        <v>0</v>
      </c>
      <c r="K7" s="13">
        <v>3589.65</v>
      </c>
      <c r="L7" s="13">
        <v>0</v>
      </c>
      <c r="M7" s="13">
        <f t="shared" si="1"/>
        <v>3589.65</v>
      </c>
      <c r="N7" s="13">
        <v>0</v>
      </c>
      <c r="O7" s="13">
        <f t="shared" si="8"/>
        <v>3589.65</v>
      </c>
      <c r="P7" s="18">
        <v>18.496500000000001</v>
      </c>
      <c r="Q7" s="3">
        <f t="shared" si="0"/>
        <v>66395.961225000006</v>
      </c>
      <c r="R7" s="3">
        <f t="shared" si="9"/>
        <v>0</v>
      </c>
      <c r="S7" s="3">
        <f t="shared" si="10"/>
        <v>66395.961225000006</v>
      </c>
      <c r="T7" s="3">
        <f t="shared" si="11"/>
        <v>0</v>
      </c>
      <c r="U7" s="3">
        <f t="shared" si="12"/>
        <v>66395.961225000006</v>
      </c>
      <c r="V7" s="48"/>
      <c r="W7" s="44"/>
      <c r="X7" s="3">
        <f>2160+756</f>
        <v>2916</v>
      </c>
      <c r="Y7" s="3">
        <v>0</v>
      </c>
      <c r="Z7" s="3">
        <v>673.65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H7" s="76">
        <f>X7*P7</f>
        <v>53935.794000000002</v>
      </c>
      <c r="AI7" s="3">
        <f t="shared" si="2"/>
        <v>0</v>
      </c>
      <c r="AJ7" s="3">
        <f t="shared" si="3"/>
        <v>12460.167225000001</v>
      </c>
      <c r="AK7" s="3">
        <f>+AA7*P7</f>
        <v>0</v>
      </c>
      <c r="AL7" s="3">
        <f t="shared" si="4"/>
        <v>0</v>
      </c>
      <c r="AM7" s="3">
        <f t="shared" si="5"/>
        <v>0</v>
      </c>
      <c r="AN7" s="3">
        <f t="shared" si="6"/>
        <v>0</v>
      </c>
      <c r="AO7" s="3">
        <f t="shared" si="7"/>
        <v>0</v>
      </c>
      <c r="AP7" s="3">
        <f>+AF7*P7</f>
        <v>0</v>
      </c>
      <c r="AQ7" s="46"/>
    </row>
    <row r="8" spans="1:43" x14ac:dyDescent="0.3">
      <c r="A8" s="94">
        <v>1</v>
      </c>
      <c r="B8" s="82" t="s">
        <v>1857</v>
      </c>
      <c r="C8" s="82" t="s">
        <v>1844</v>
      </c>
      <c r="D8" s="82">
        <v>1</v>
      </c>
      <c r="E8" s="19" t="s">
        <v>2206</v>
      </c>
      <c r="F8" s="2" t="s">
        <v>2207</v>
      </c>
      <c r="G8" s="27">
        <v>45989</v>
      </c>
      <c r="H8" s="19" t="s">
        <v>1187</v>
      </c>
      <c r="I8" s="2" t="s">
        <v>1464</v>
      </c>
      <c r="J8" s="13">
        <v>0</v>
      </c>
      <c r="K8" s="13">
        <v>560</v>
      </c>
      <c r="L8" s="13">
        <v>0</v>
      </c>
      <c r="M8" s="13">
        <f t="shared" si="1"/>
        <v>560</v>
      </c>
      <c r="N8" s="13">
        <v>0</v>
      </c>
      <c r="O8" s="13">
        <f t="shared" si="8"/>
        <v>560</v>
      </c>
      <c r="P8" s="18">
        <v>18.346699999999998</v>
      </c>
      <c r="Q8" s="3">
        <f t="shared" si="0"/>
        <v>10274.151999999998</v>
      </c>
      <c r="R8" s="3">
        <f t="shared" si="9"/>
        <v>0</v>
      </c>
      <c r="S8" s="3">
        <f t="shared" si="10"/>
        <v>10274.151999999998</v>
      </c>
      <c r="T8" s="3">
        <f t="shared" si="11"/>
        <v>0</v>
      </c>
      <c r="U8" s="3">
        <f t="shared" si="12"/>
        <v>10274.151999999998</v>
      </c>
      <c r="V8" s="48"/>
      <c r="W8" s="44"/>
      <c r="X8" s="3">
        <v>0</v>
      </c>
      <c r="Y8" s="3">
        <v>0</v>
      </c>
      <c r="Z8" s="3">
        <v>0</v>
      </c>
      <c r="AA8" s="3">
        <v>0</v>
      </c>
      <c r="AB8" s="3">
        <f>210+210+140</f>
        <v>560</v>
      </c>
      <c r="AC8" s="3">
        <v>0</v>
      </c>
      <c r="AD8" s="3">
        <v>0</v>
      </c>
      <c r="AE8" s="3">
        <v>0</v>
      </c>
      <c r="AF8" s="3">
        <v>0</v>
      </c>
      <c r="AH8" s="3">
        <f t="shared" ref="AH8:AH18" si="13">X8*P8</f>
        <v>0</v>
      </c>
      <c r="AI8" s="3">
        <f t="shared" si="2"/>
        <v>0</v>
      </c>
      <c r="AJ8" s="3">
        <f t="shared" si="3"/>
        <v>0</v>
      </c>
      <c r="AK8" s="3">
        <f t="shared" ref="AK8:AK18" si="14">+AA8*P8</f>
        <v>0</v>
      </c>
      <c r="AL8" s="3">
        <f t="shared" si="4"/>
        <v>10274.151999999998</v>
      </c>
      <c r="AM8" s="3">
        <f t="shared" si="5"/>
        <v>0</v>
      </c>
      <c r="AN8" s="3">
        <f t="shared" si="6"/>
        <v>0</v>
      </c>
      <c r="AO8" s="3">
        <f t="shared" si="7"/>
        <v>0</v>
      </c>
      <c r="AP8" s="3">
        <f t="shared" ref="AP8:AP18" si="15">+AF8*P8</f>
        <v>0</v>
      </c>
      <c r="AQ8" s="46"/>
    </row>
    <row r="9" spans="1:43" x14ac:dyDescent="0.3">
      <c r="A9" s="94"/>
      <c r="B9" s="82"/>
      <c r="C9" s="82"/>
      <c r="D9" s="82"/>
      <c r="E9" s="19"/>
      <c r="F9" s="2"/>
      <c r="G9" s="27"/>
      <c r="H9" s="19"/>
      <c r="I9" s="2"/>
      <c r="J9" s="13"/>
      <c r="K9" s="13"/>
      <c r="L9" s="13"/>
      <c r="M9" s="13">
        <f t="shared" si="1"/>
        <v>0</v>
      </c>
      <c r="N9" s="13"/>
      <c r="O9" s="13">
        <f t="shared" si="8"/>
        <v>0</v>
      </c>
      <c r="P9" s="18"/>
      <c r="Q9" s="3">
        <f t="shared" si="0"/>
        <v>0</v>
      </c>
      <c r="R9" s="3">
        <f t="shared" si="9"/>
        <v>0</v>
      </c>
      <c r="S9" s="3">
        <f t="shared" si="10"/>
        <v>0</v>
      </c>
      <c r="T9" s="3">
        <f t="shared" si="11"/>
        <v>0</v>
      </c>
      <c r="U9" s="3">
        <f t="shared" si="12"/>
        <v>0</v>
      </c>
      <c r="V9" s="48"/>
      <c r="W9" s="44"/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H9" s="3">
        <f t="shared" si="13"/>
        <v>0</v>
      </c>
      <c r="AI9" s="3">
        <f t="shared" si="2"/>
        <v>0</v>
      </c>
      <c r="AJ9" s="3">
        <f t="shared" si="3"/>
        <v>0</v>
      </c>
      <c r="AK9" s="3">
        <f t="shared" si="14"/>
        <v>0</v>
      </c>
      <c r="AL9" s="3">
        <f t="shared" si="4"/>
        <v>0</v>
      </c>
      <c r="AM9" s="3">
        <f t="shared" si="5"/>
        <v>0</v>
      </c>
      <c r="AN9" s="3">
        <f t="shared" si="6"/>
        <v>0</v>
      </c>
      <c r="AO9" s="3">
        <f t="shared" si="7"/>
        <v>0</v>
      </c>
      <c r="AP9" s="3">
        <f t="shared" si="15"/>
        <v>0</v>
      </c>
      <c r="AQ9" s="46"/>
    </row>
    <row r="10" spans="1:43" x14ac:dyDescent="0.3">
      <c r="A10" s="94"/>
      <c r="B10" s="82"/>
      <c r="C10" s="82"/>
      <c r="D10" s="82"/>
      <c r="E10" s="19"/>
      <c r="F10" s="2"/>
      <c r="G10" s="27"/>
      <c r="H10" s="19"/>
      <c r="I10" s="2"/>
      <c r="J10" s="13"/>
      <c r="K10" s="13"/>
      <c r="L10" s="13"/>
      <c r="M10" s="13">
        <f t="shared" si="1"/>
        <v>0</v>
      </c>
      <c r="N10" s="13"/>
      <c r="O10" s="13">
        <f t="shared" si="8"/>
        <v>0</v>
      </c>
      <c r="P10" s="18"/>
      <c r="Q10" s="3">
        <f t="shared" si="0"/>
        <v>0</v>
      </c>
      <c r="R10" s="3">
        <f t="shared" si="9"/>
        <v>0</v>
      </c>
      <c r="S10" s="3">
        <f t="shared" si="10"/>
        <v>0</v>
      </c>
      <c r="T10" s="3">
        <f t="shared" si="11"/>
        <v>0</v>
      </c>
      <c r="U10" s="3">
        <f t="shared" si="12"/>
        <v>0</v>
      </c>
      <c r="V10" s="48"/>
      <c r="W10" s="44"/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H10" s="3">
        <f t="shared" si="13"/>
        <v>0</v>
      </c>
      <c r="AI10" s="3">
        <f t="shared" si="2"/>
        <v>0</v>
      </c>
      <c r="AJ10" s="3">
        <f t="shared" si="3"/>
        <v>0</v>
      </c>
      <c r="AK10" s="3">
        <f t="shared" si="14"/>
        <v>0</v>
      </c>
      <c r="AL10" s="3">
        <f t="shared" si="4"/>
        <v>0</v>
      </c>
      <c r="AM10" s="3">
        <f t="shared" si="5"/>
        <v>0</v>
      </c>
      <c r="AN10" s="3">
        <f t="shared" si="6"/>
        <v>0</v>
      </c>
      <c r="AO10" s="3">
        <f t="shared" si="7"/>
        <v>0</v>
      </c>
      <c r="AP10" s="3">
        <f t="shared" si="15"/>
        <v>0</v>
      </c>
      <c r="AQ10" s="46"/>
    </row>
    <row r="11" spans="1:43" x14ac:dyDescent="0.3">
      <c r="A11" s="94"/>
      <c r="B11" s="82"/>
      <c r="C11" s="82"/>
      <c r="D11" s="82"/>
      <c r="E11" s="19"/>
      <c r="F11" s="2"/>
      <c r="G11" s="27"/>
      <c r="H11" s="19"/>
      <c r="I11" s="2"/>
      <c r="J11" s="13"/>
      <c r="K11" s="13"/>
      <c r="L11" s="13"/>
      <c r="M11" s="13">
        <f t="shared" si="1"/>
        <v>0</v>
      </c>
      <c r="N11" s="13"/>
      <c r="O11" s="13">
        <f t="shared" si="8"/>
        <v>0</v>
      </c>
      <c r="P11" s="18"/>
      <c r="Q11" s="3">
        <f t="shared" si="0"/>
        <v>0</v>
      </c>
      <c r="R11" s="3">
        <f t="shared" si="9"/>
        <v>0</v>
      </c>
      <c r="S11" s="3">
        <f t="shared" si="10"/>
        <v>0</v>
      </c>
      <c r="T11" s="3">
        <f t="shared" si="11"/>
        <v>0</v>
      </c>
      <c r="U11" s="3">
        <f t="shared" si="12"/>
        <v>0</v>
      </c>
      <c r="V11" s="48"/>
      <c r="W11" s="44"/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H11" s="3">
        <f t="shared" si="13"/>
        <v>0</v>
      </c>
      <c r="AI11" s="3">
        <f t="shared" si="2"/>
        <v>0</v>
      </c>
      <c r="AJ11" s="3">
        <f t="shared" si="3"/>
        <v>0</v>
      </c>
      <c r="AK11" s="3">
        <f t="shared" si="14"/>
        <v>0</v>
      </c>
      <c r="AL11" s="3">
        <f t="shared" si="4"/>
        <v>0</v>
      </c>
      <c r="AM11" s="3">
        <f t="shared" si="5"/>
        <v>0</v>
      </c>
      <c r="AN11" s="3">
        <f t="shared" si="6"/>
        <v>0</v>
      </c>
      <c r="AO11" s="3">
        <f t="shared" si="7"/>
        <v>0</v>
      </c>
      <c r="AP11" s="3">
        <f t="shared" si="15"/>
        <v>0</v>
      </c>
      <c r="AQ11" s="46"/>
    </row>
    <row r="12" spans="1:43" x14ac:dyDescent="0.3">
      <c r="A12" s="94"/>
      <c r="B12" s="82"/>
      <c r="C12" s="82"/>
      <c r="D12" s="82"/>
      <c r="E12" s="19"/>
      <c r="F12" s="2"/>
      <c r="G12" s="27"/>
      <c r="H12" s="19"/>
      <c r="I12" s="2"/>
      <c r="J12" s="13"/>
      <c r="K12" s="13"/>
      <c r="L12" s="13"/>
      <c r="M12" s="13">
        <f t="shared" si="1"/>
        <v>0</v>
      </c>
      <c r="N12" s="13"/>
      <c r="O12" s="13">
        <f t="shared" si="8"/>
        <v>0</v>
      </c>
      <c r="P12" s="18"/>
      <c r="Q12" s="3">
        <f t="shared" si="0"/>
        <v>0</v>
      </c>
      <c r="R12" s="3">
        <f t="shared" si="9"/>
        <v>0</v>
      </c>
      <c r="S12" s="3">
        <f t="shared" si="10"/>
        <v>0</v>
      </c>
      <c r="T12" s="3">
        <f t="shared" si="11"/>
        <v>0</v>
      </c>
      <c r="U12" s="3">
        <f t="shared" si="12"/>
        <v>0</v>
      </c>
      <c r="V12" s="48"/>
      <c r="W12" s="44"/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H12" s="3">
        <f t="shared" si="13"/>
        <v>0</v>
      </c>
      <c r="AI12" s="3">
        <f t="shared" si="2"/>
        <v>0</v>
      </c>
      <c r="AJ12" s="3">
        <f t="shared" si="3"/>
        <v>0</v>
      </c>
      <c r="AK12" s="3">
        <f t="shared" si="14"/>
        <v>0</v>
      </c>
      <c r="AL12" s="3">
        <f t="shared" si="4"/>
        <v>0</v>
      </c>
      <c r="AM12" s="3">
        <f t="shared" si="5"/>
        <v>0</v>
      </c>
      <c r="AN12" s="3">
        <f t="shared" si="6"/>
        <v>0</v>
      </c>
      <c r="AO12" s="3">
        <f t="shared" si="7"/>
        <v>0</v>
      </c>
      <c r="AP12" s="3">
        <f t="shared" si="15"/>
        <v>0</v>
      </c>
      <c r="AQ12" s="46"/>
    </row>
    <row r="13" spans="1:43" x14ac:dyDescent="0.3">
      <c r="A13" s="94"/>
      <c r="B13" s="82"/>
      <c r="C13" s="82"/>
      <c r="D13" s="82"/>
      <c r="E13" s="19"/>
      <c r="F13" s="2"/>
      <c r="G13" s="27"/>
      <c r="H13" s="19"/>
      <c r="I13" s="2"/>
      <c r="J13" s="13"/>
      <c r="K13" s="13"/>
      <c r="L13" s="13"/>
      <c r="M13" s="13">
        <f t="shared" si="1"/>
        <v>0</v>
      </c>
      <c r="N13" s="13"/>
      <c r="O13" s="13">
        <f t="shared" si="8"/>
        <v>0</v>
      </c>
      <c r="P13" s="18"/>
      <c r="Q13" s="3">
        <f t="shared" si="0"/>
        <v>0</v>
      </c>
      <c r="R13" s="3">
        <f t="shared" si="9"/>
        <v>0</v>
      </c>
      <c r="S13" s="3">
        <f t="shared" si="10"/>
        <v>0</v>
      </c>
      <c r="T13" s="3">
        <f t="shared" si="11"/>
        <v>0</v>
      </c>
      <c r="U13" s="3">
        <f t="shared" si="12"/>
        <v>0</v>
      </c>
      <c r="V13" s="48"/>
      <c r="W13" s="44"/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H13" s="3">
        <f t="shared" si="13"/>
        <v>0</v>
      </c>
      <c r="AI13" s="3">
        <f t="shared" si="2"/>
        <v>0</v>
      </c>
      <c r="AJ13" s="3">
        <f t="shared" si="3"/>
        <v>0</v>
      </c>
      <c r="AK13" s="3">
        <f t="shared" si="14"/>
        <v>0</v>
      </c>
      <c r="AL13" s="3">
        <f t="shared" si="4"/>
        <v>0</v>
      </c>
      <c r="AM13" s="3">
        <f t="shared" si="5"/>
        <v>0</v>
      </c>
      <c r="AN13" s="3">
        <f t="shared" si="6"/>
        <v>0</v>
      </c>
      <c r="AO13" s="3">
        <f t="shared" si="7"/>
        <v>0</v>
      </c>
      <c r="AP13" s="3">
        <f t="shared" si="15"/>
        <v>0</v>
      </c>
      <c r="AQ13" s="46"/>
    </row>
    <row r="14" spans="1:43" x14ac:dyDescent="0.3">
      <c r="A14" s="94"/>
      <c r="B14" s="82"/>
      <c r="C14" s="82"/>
      <c r="D14" s="82"/>
      <c r="E14" s="19"/>
      <c r="F14" s="2"/>
      <c r="G14" s="27"/>
      <c r="H14" s="19"/>
      <c r="I14" s="2"/>
      <c r="J14" s="13"/>
      <c r="K14" s="13"/>
      <c r="L14" s="13"/>
      <c r="M14" s="13">
        <f t="shared" si="1"/>
        <v>0</v>
      </c>
      <c r="N14" s="13"/>
      <c r="O14" s="13">
        <f t="shared" si="8"/>
        <v>0</v>
      </c>
      <c r="P14" s="18"/>
      <c r="Q14" s="3">
        <f t="shared" si="0"/>
        <v>0</v>
      </c>
      <c r="R14" s="3">
        <f t="shared" si="9"/>
        <v>0</v>
      </c>
      <c r="S14" s="3">
        <f t="shared" si="10"/>
        <v>0</v>
      </c>
      <c r="T14" s="3">
        <f t="shared" si="11"/>
        <v>0</v>
      </c>
      <c r="U14" s="3">
        <f t="shared" si="12"/>
        <v>0</v>
      </c>
      <c r="V14" s="48"/>
      <c r="W14" s="44"/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H14" s="3">
        <f t="shared" si="13"/>
        <v>0</v>
      </c>
      <c r="AI14" s="3">
        <f t="shared" si="2"/>
        <v>0</v>
      </c>
      <c r="AJ14" s="3">
        <f t="shared" si="3"/>
        <v>0</v>
      </c>
      <c r="AK14" s="3">
        <f t="shared" si="14"/>
        <v>0</v>
      </c>
      <c r="AL14" s="3">
        <f t="shared" si="4"/>
        <v>0</v>
      </c>
      <c r="AM14" s="3">
        <f t="shared" si="5"/>
        <v>0</v>
      </c>
      <c r="AN14" s="3">
        <f t="shared" si="6"/>
        <v>0</v>
      </c>
      <c r="AO14" s="3">
        <f t="shared" si="7"/>
        <v>0</v>
      </c>
      <c r="AP14" s="3">
        <f t="shared" si="15"/>
        <v>0</v>
      </c>
      <c r="AQ14" s="46"/>
    </row>
    <row r="15" spans="1:43" x14ac:dyDescent="0.3">
      <c r="A15" s="94"/>
      <c r="B15" s="82"/>
      <c r="C15" s="82"/>
      <c r="D15" s="82"/>
      <c r="E15" s="19"/>
      <c r="F15" s="2"/>
      <c r="G15" s="27"/>
      <c r="H15" s="19"/>
      <c r="I15" s="2"/>
      <c r="J15" s="13"/>
      <c r="K15" s="13"/>
      <c r="L15" s="13"/>
      <c r="M15" s="13">
        <f t="shared" si="1"/>
        <v>0</v>
      </c>
      <c r="N15" s="13"/>
      <c r="O15" s="13">
        <f t="shared" si="8"/>
        <v>0</v>
      </c>
      <c r="P15" s="18"/>
      <c r="Q15" s="3">
        <f t="shared" si="0"/>
        <v>0</v>
      </c>
      <c r="R15" s="3">
        <f t="shared" si="9"/>
        <v>0</v>
      </c>
      <c r="S15" s="3">
        <f t="shared" si="10"/>
        <v>0</v>
      </c>
      <c r="T15" s="3">
        <f t="shared" si="11"/>
        <v>0</v>
      </c>
      <c r="U15" s="3">
        <f t="shared" si="12"/>
        <v>0</v>
      </c>
      <c r="V15" s="48"/>
      <c r="W15" s="44"/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H15" s="3">
        <f t="shared" si="13"/>
        <v>0</v>
      </c>
      <c r="AI15" s="3">
        <f t="shared" si="2"/>
        <v>0</v>
      </c>
      <c r="AJ15" s="3">
        <f t="shared" si="3"/>
        <v>0</v>
      </c>
      <c r="AK15" s="3">
        <f t="shared" si="14"/>
        <v>0</v>
      </c>
      <c r="AL15" s="3">
        <f t="shared" si="4"/>
        <v>0</v>
      </c>
      <c r="AM15" s="3">
        <f t="shared" si="5"/>
        <v>0</v>
      </c>
      <c r="AN15" s="3">
        <f t="shared" si="6"/>
        <v>0</v>
      </c>
      <c r="AO15" s="3">
        <f t="shared" si="7"/>
        <v>0</v>
      </c>
      <c r="AP15" s="3">
        <f t="shared" si="15"/>
        <v>0</v>
      </c>
      <c r="AQ15" s="46"/>
    </row>
    <row r="16" spans="1:43" x14ac:dyDescent="0.3">
      <c r="A16" s="94"/>
      <c r="B16" s="82"/>
      <c r="C16" s="82"/>
      <c r="D16" s="51"/>
      <c r="E16" s="19"/>
      <c r="F16" s="2"/>
      <c r="G16" s="27"/>
      <c r="H16" s="19"/>
      <c r="I16" s="2"/>
      <c r="J16" s="13"/>
      <c r="K16" s="13"/>
      <c r="L16" s="13"/>
      <c r="M16" s="13">
        <f t="shared" si="1"/>
        <v>0</v>
      </c>
      <c r="N16" s="13"/>
      <c r="O16" s="13">
        <f t="shared" si="8"/>
        <v>0</v>
      </c>
      <c r="P16" s="18"/>
      <c r="Q16" s="3">
        <f t="shared" si="0"/>
        <v>0</v>
      </c>
      <c r="R16" s="3">
        <f t="shared" si="9"/>
        <v>0</v>
      </c>
      <c r="S16" s="3">
        <f t="shared" si="10"/>
        <v>0</v>
      </c>
      <c r="T16" s="3">
        <f t="shared" si="11"/>
        <v>0</v>
      </c>
      <c r="U16" s="3">
        <f t="shared" si="12"/>
        <v>0</v>
      </c>
      <c r="V16" s="48"/>
      <c r="W16" s="44"/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H16" s="3">
        <f t="shared" si="13"/>
        <v>0</v>
      </c>
      <c r="AI16" s="3">
        <f t="shared" si="2"/>
        <v>0</v>
      </c>
      <c r="AJ16" s="3">
        <f t="shared" si="3"/>
        <v>0</v>
      </c>
      <c r="AK16" s="3">
        <f t="shared" si="14"/>
        <v>0</v>
      </c>
      <c r="AL16" s="3">
        <f t="shared" si="4"/>
        <v>0</v>
      </c>
      <c r="AM16" s="3">
        <f t="shared" si="5"/>
        <v>0</v>
      </c>
      <c r="AN16" s="3">
        <f t="shared" si="6"/>
        <v>0</v>
      </c>
      <c r="AO16" s="3">
        <f t="shared" si="7"/>
        <v>0</v>
      </c>
      <c r="AP16" s="3">
        <f t="shared" si="15"/>
        <v>0</v>
      </c>
      <c r="AQ16" s="46"/>
    </row>
    <row r="17" spans="1:43" x14ac:dyDescent="0.3">
      <c r="A17" s="94"/>
      <c r="B17" s="82"/>
      <c r="C17" s="82"/>
      <c r="D17" s="51"/>
      <c r="E17" s="19"/>
      <c r="F17" s="2"/>
      <c r="G17" s="27"/>
      <c r="H17" s="19"/>
      <c r="I17" s="2"/>
      <c r="J17" s="13"/>
      <c r="K17" s="13"/>
      <c r="L17" s="13"/>
      <c r="M17" s="13">
        <f t="shared" si="1"/>
        <v>0</v>
      </c>
      <c r="N17" s="13"/>
      <c r="O17" s="13">
        <f t="shared" si="8"/>
        <v>0</v>
      </c>
      <c r="P17" s="18"/>
      <c r="Q17" s="3">
        <f t="shared" si="0"/>
        <v>0</v>
      </c>
      <c r="R17" s="3">
        <f t="shared" si="9"/>
        <v>0</v>
      </c>
      <c r="S17" s="3">
        <f t="shared" si="10"/>
        <v>0</v>
      </c>
      <c r="T17" s="3">
        <f t="shared" si="11"/>
        <v>0</v>
      </c>
      <c r="U17" s="3">
        <f t="shared" si="12"/>
        <v>0</v>
      </c>
      <c r="V17" s="48"/>
      <c r="W17" s="44"/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H17" s="3">
        <f t="shared" si="13"/>
        <v>0</v>
      </c>
      <c r="AI17" s="3">
        <f t="shared" si="2"/>
        <v>0</v>
      </c>
      <c r="AJ17" s="3">
        <f t="shared" si="3"/>
        <v>0</v>
      </c>
      <c r="AK17" s="3">
        <f t="shared" si="14"/>
        <v>0</v>
      </c>
      <c r="AL17" s="3">
        <f t="shared" si="4"/>
        <v>0</v>
      </c>
      <c r="AM17" s="3">
        <f t="shared" si="5"/>
        <v>0</v>
      </c>
      <c r="AN17" s="3">
        <f t="shared" si="6"/>
        <v>0</v>
      </c>
      <c r="AO17" s="3">
        <f t="shared" si="7"/>
        <v>0</v>
      </c>
      <c r="AP17" s="3">
        <f t="shared" si="15"/>
        <v>0</v>
      </c>
      <c r="AQ17" s="46"/>
    </row>
    <row r="18" spans="1:43" x14ac:dyDescent="0.3">
      <c r="A18" s="94"/>
      <c r="B18" s="82"/>
      <c r="C18" s="82"/>
      <c r="D18" s="51"/>
      <c r="E18" s="19"/>
      <c r="F18" s="2"/>
      <c r="G18" s="27"/>
      <c r="H18" s="19"/>
      <c r="I18" s="2"/>
      <c r="J18" s="13"/>
      <c r="K18" s="13"/>
      <c r="L18" s="13"/>
      <c r="M18" s="13">
        <f t="shared" si="1"/>
        <v>0</v>
      </c>
      <c r="N18" s="13"/>
      <c r="O18" s="13">
        <f t="shared" si="8"/>
        <v>0</v>
      </c>
      <c r="P18" s="18"/>
      <c r="Q18" s="3">
        <f t="shared" si="0"/>
        <v>0</v>
      </c>
      <c r="R18" s="3">
        <f t="shared" si="9"/>
        <v>0</v>
      </c>
      <c r="S18" s="3">
        <f t="shared" si="10"/>
        <v>0</v>
      </c>
      <c r="T18" s="3">
        <f t="shared" si="11"/>
        <v>0</v>
      </c>
      <c r="U18" s="3">
        <f t="shared" si="12"/>
        <v>0</v>
      </c>
      <c r="V18" s="48"/>
      <c r="W18" s="44"/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H18" s="3">
        <f t="shared" si="13"/>
        <v>0</v>
      </c>
      <c r="AI18" s="3">
        <f t="shared" si="2"/>
        <v>0</v>
      </c>
      <c r="AJ18" s="3">
        <f t="shared" si="3"/>
        <v>0</v>
      </c>
      <c r="AK18" s="3">
        <f t="shared" si="14"/>
        <v>0</v>
      </c>
      <c r="AL18" s="3">
        <f t="shared" si="4"/>
        <v>0</v>
      </c>
      <c r="AM18" s="3">
        <f t="shared" si="5"/>
        <v>0</v>
      </c>
      <c r="AN18" s="3">
        <f t="shared" si="6"/>
        <v>0</v>
      </c>
      <c r="AO18" s="3">
        <f t="shared" si="7"/>
        <v>0</v>
      </c>
      <c r="AP18" s="3">
        <f t="shared" si="15"/>
        <v>0</v>
      </c>
      <c r="AQ18" s="46"/>
    </row>
    <row r="19" spans="1:43" ht="15" thickBot="1" x14ac:dyDescent="0.35">
      <c r="D19" s="14"/>
      <c r="E19" s="14"/>
      <c r="F19" s="14"/>
      <c r="G19" s="28"/>
      <c r="H19" s="14"/>
      <c r="I19" s="14"/>
      <c r="J19" s="17">
        <f t="shared" ref="J19:O19" si="16">+SUM(J3:J18)</f>
        <v>0</v>
      </c>
      <c r="K19" s="59">
        <f t="shared" si="16"/>
        <v>12664.8</v>
      </c>
      <c r="L19" s="17">
        <f t="shared" si="16"/>
        <v>0</v>
      </c>
      <c r="M19" s="17">
        <f t="shared" si="16"/>
        <v>12664.8</v>
      </c>
      <c r="N19" s="17">
        <f t="shared" si="16"/>
        <v>3100</v>
      </c>
      <c r="O19" s="17">
        <f t="shared" si="16"/>
        <v>9564.7999999999993</v>
      </c>
      <c r="P19" s="14"/>
      <c r="Q19" s="55">
        <f>+SUM(Q3:Q18)</f>
        <v>233312.46905500002</v>
      </c>
      <c r="R19" s="16">
        <f>+SUM(R3:R18)</f>
        <v>0</v>
      </c>
      <c r="S19" s="16">
        <f>+SUM(S3:S18)</f>
        <v>233312.46905500002</v>
      </c>
      <c r="T19" s="16">
        <f>+SUM(T3:T18)</f>
        <v>56900.5</v>
      </c>
      <c r="U19" s="16">
        <f>+SUM(U3:U18)</f>
        <v>176411.96905499999</v>
      </c>
      <c r="V19" s="15"/>
      <c r="W19" s="15"/>
      <c r="X19" s="17">
        <f t="shared" ref="X19:AF19" si="17">+SUM(X3:X18)</f>
        <v>10757.5</v>
      </c>
      <c r="Y19" s="17">
        <f t="shared" si="17"/>
        <v>0</v>
      </c>
      <c r="Z19" s="17">
        <f t="shared" si="17"/>
        <v>1347.3</v>
      </c>
      <c r="AA19" s="17">
        <f t="shared" si="17"/>
        <v>0</v>
      </c>
      <c r="AB19" s="17">
        <f t="shared" si="17"/>
        <v>560</v>
      </c>
      <c r="AC19" s="17">
        <f t="shared" si="17"/>
        <v>0</v>
      </c>
      <c r="AD19" s="17">
        <f t="shared" si="17"/>
        <v>0</v>
      </c>
      <c r="AE19" s="17">
        <f t="shared" si="17"/>
        <v>0</v>
      </c>
      <c r="AF19" s="17">
        <f t="shared" si="17"/>
        <v>0</v>
      </c>
      <c r="AG19" s="14"/>
      <c r="AH19" s="16">
        <f t="shared" ref="AH19:AP19" si="18">+SUM(AH3:AH18)</f>
        <v>198188.24429999999</v>
      </c>
      <c r="AI19" s="16">
        <f t="shared" si="18"/>
        <v>0</v>
      </c>
      <c r="AJ19" s="16">
        <f t="shared" si="18"/>
        <v>24850.072755000001</v>
      </c>
      <c r="AK19" s="16">
        <f t="shared" si="18"/>
        <v>0</v>
      </c>
      <c r="AL19" s="16">
        <f t="shared" si="18"/>
        <v>10274.151999999998</v>
      </c>
      <c r="AM19" s="16">
        <f t="shared" si="18"/>
        <v>0</v>
      </c>
      <c r="AN19" s="16">
        <f t="shared" si="18"/>
        <v>0</v>
      </c>
      <c r="AO19" s="16">
        <f t="shared" si="18"/>
        <v>0</v>
      </c>
      <c r="AP19" s="16">
        <f t="shared" si="18"/>
        <v>0</v>
      </c>
      <c r="AQ19" s="14"/>
    </row>
    <row r="20" spans="1:43" ht="15" thickTop="1" x14ac:dyDescent="0.3">
      <c r="AF20" s="34">
        <f>+SUM(W19:AF19)</f>
        <v>12664.8</v>
      </c>
      <c r="AP20" s="1">
        <f>+SUM(AH19:AP19)</f>
        <v>233312.46905499999</v>
      </c>
    </row>
    <row r="21" spans="1:43" x14ac:dyDescent="0.3">
      <c r="K21" s="23"/>
      <c r="Q21" s="1"/>
      <c r="R21" s="23"/>
      <c r="S21" s="32"/>
      <c r="AF21" s="34">
        <f>+AF20-K19</f>
        <v>0</v>
      </c>
      <c r="AP21" s="1">
        <f>+AP20-Q19</f>
        <v>0</v>
      </c>
    </row>
    <row r="22" spans="1:43" x14ac:dyDescent="0.3">
      <c r="K22" s="23"/>
      <c r="L22" s="32"/>
      <c r="P22">
        <v>16</v>
      </c>
      <c r="Q22" s="46"/>
      <c r="R22" s="81"/>
    </row>
    <row r="23" spans="1:43" x14ac:dyDescent="0.3">
      <c r="P23">
        <v>0</v>
      </c>
      <c r="Q23" s="23">
        <f>+Q3+Q4+Q5+Q6+Q7+Q8</f>
        <v>233312.46905500002</v>
      </c>
      <c r="R23" s="81"/>
    </row>
    <row r="24" spans="1:43" x14ac:dyDescent="0.3">
      <c r="Q24" s="23"/>
    </row>
    <row r="25" spans="1:43" x14ac:dyDescent="0.3">
      <c r="Q25" s="23">
        <f>+Q19-Q22-Q23</f>
        <v>0</v>
      </c>
    </row>
    <row r="26" spans="1:43" x14ac:dyDescent="0.3">
      <c r="P26" s="32"/>
    </row>
    <row r="27" spans="1:43" x14ac:dyDescent="0.3">
      <c r="P27" s="32"/>
    </row>
  </sheetData>
  <autoFilter ref="D2:AP19" xr:uid="{8AB32C8C-2F1A-4C1B-BB94-CF5A4C8E86AF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F66C-3A9C-420E-B5FA-F8E629E9B3DE}">
  <sheetPr filterMode="1">
    <tabColor rgb="FF0070C0"/>
  </sheetPr>
  <dimension ref="A1:AS116"/>
  <sheetViews>
    <sheetView showGridLines="0" tabSelected="1" zoomScaleNormal="100" zoomScaleSheetLayoutView="50" workbookViewId="0">
      <pane xSplit="3" ySplit="1" topLeftCell="F4" activePane="bottomRight" state="frozen"/>
      <selection activeCell="F21" sqref="F21"/>
      <selection pane="topRight" activeCell="F21" sqref="F21"/>
      <selection pane="bottomLeft" activeCell="F21" sqref="F21"/>
      <selection pane="bottomRight" activeCell="G44" sqref="G44"/>
    </sheetView>
  </sheetViews>
  <sheetFormatPr baseColWidth="10" defaultRowHeight="14.4" x14ac:dyDescent="0.3"/>
  <cols>
    <col min="1" max="1" width="12" bestFit="1" customWidth="1"/>
    <col min="2" max="2" width="19.21875" bestFit="1" customWidth="1"/>
    <col min="3" max="3" width="14.44140625" customWidth="1"/>
    <col min="4" max="4" width="13.88671875" style="25" customWidth="1"/>
    <col min="5" max="5" width="13.33203125" customWidth="1"/>
    <col min="6" max="6" width="42.5546875" customWidth="1"/>
    <col min="7" max="7" width="19.109375" style="1" customWidth="1"/>
    <col min="8" max="8" width="21.44140625" style="1" customWidth="1"/>
    <col min="9" max="12" width="15.6640625" style="1" customWidth="1"/>
    <col min="13" max="13" width="15.33203125" customWidth="1"/>
    <col min="14" max="14" width="12.109375" customWidth="1"/>
    <col min="15" max="15" width="11.6640625" customWidth="1"/>
    <col min="16" max="16" width="23.44140625" style="1" customWidth="1"/>
    <col min="17" max="17" width="19.44140625" style="1" customWidth="1"/>
    <col min="18" max="18" width="1.6640625" customWidth="1"/>
    <col min="19" max="19" width="21.5546875" style="1" customWidth="1"/>
    <col min="20" max="20" width="18.33203125" style="1" customWidth="1"/>
    <col min="21" max="23" width="15.6640625" style="1" customWidth="1"/>
    <col min="24" max="24" width="17" style="1" customWidth="1"/>
    <col min="25" max="25" width="15.6640625" style="1" customWidth="1"/>
    <col min="26" max="26" width="18.5546875" style="1" customWidth="1"/>
    <col min="27" max="27" width="17.109375" style="1" customWidth="1"/>
    <col min="28" max="28" width="21.88671875" style="1" customWidth="1"/>
    <col min="29" max="33" width="17.109375" style="1" customWidth="1"/>
    <col min="34" max="34" width="16.44140625" style="1" customWidth="1"/>
    <col min="35" max="37" width="15.6640625" style="1" customWidth="1"/>
    <col min="38" max="38" width="18.109375" style="1" bestFit="1" customWidth="1"/>
    <col min="39" max="39" width="38.109375" style="1" customWidth="1"/>
    <col min="40" max="40" width="35.6640625" style="1" customWidth="1"/>
    <col min="41" max="41" width="15.6640625" style="1" customWidth="1"/>
    <col min="42" max="42" width="12.33203125" bestFit="1" customWidth="1"/>
    <col min="43" max="43" width="13.88671875" bestFit="1" customWidth="1"/>
    <col min="44" max="44" width="12.5546875" bestFit="1" customWidth="1"/>
  </cols>
  <sheetData>
    <row r="1" spans="1:44" ht="43.2" x14ac:dyDescent="0.3">
      <c r="A1" s="4" t="s">
        <v>6</v>
      </c>
      <c r="B1" s="4" t="s">
        <v>7</v>
      </c>
      <c r="C1" s="4" t="s">
        <v>792</v>
      </c>
      <c r="D1" s="24" t="s">
        <v>9</v>
      </c>
      <c r="E1" s="4" t="s">
        <v>10</v>
      </c>
      <c r="F1" s="4" t="s">
        <v>37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6" t="s">
        <v>19</v>
      </c>
      <c r="N1" s="43"/>
      <c r="O1" s="42"/>
      <c r="P1" s="5" t="s">
        <v>58</v>
      </c>
      <c r="Q1" s="5" t="s">
        <v>44</v>
      </c>
      <c r="R1" s="12"/>
      <c r="S1" s="5" t="s">
        <v>1</v>
      </c>
      <c r="T1" s="5" t="s">
        <v>50</v>
      </c>
      <c r="U1" s="5" t="s">
        <v>54</v>
      </c>
      <c r="V1" s="5" t="s">
        <v>43</v>
      </c>
      <c r="W1" s="5" t="s">
        <v>0</v>
      </c>
      <c r="X1" s="5" t="s">
        <v>478</v>
      </c>
      <c r="Y1" s="5" t="s">
        <v>2369</v>
      </c>
      <c r="Z1" s="5" t="s">
        <v>546</v>
      </c>
      <c r="AA1" s="5" t="s">
        <v>545</v>
      </c>
      <c r="AB1" s="5" t="s">
        <v>763</v>
      </c>
      <c r="AC1" s="5" t="s">
        <v>55</v>
      </c>
      <c r="AD1" s="5" t="s">
        <v>1219</v>
      </c>
      <c r="AE1" s="5" t="s">
        <v>1220</v>
      </c>
      <c r="AF1" s="5" t="s">
        <v>396</v>
      </c>
      <c r="AG1" s="5" t="s">
        <v>585</v>
      </c>
      <c r="AH1" s="5" t="s">
        <v>48</v>
      </c>
      <c r="AI1"/>
      <c r="AJ1" s="92" t="s">
        <v>1815</v>
      </c>
      <c r="AK1" s="92" t="s">
        <v>1816</v>
      </c>
      <c r="AL1" s="92" t="s">
        <v>1817</v>
      </c>
      <c r="AM1" s="9"/>
      <c r="AN1" s="7"/>
      <c r="AO1" s="5" t="s">
        <v>35</v>
      </c>
      <c r="AP1" s="5" t="s">
        <v>36</v>
      </c>
      <c r="AQ1" s="5" t="s">
        <v>17</v>
      </c>
      <c r="AR1" s="5" t="s">
        <v>59</v>
      </c>
    </row>
    <row r="2" spans="1:44" hidden="1" x14ac:dyDescent="0.3">
      <c r="A2" s="38">
        <v>1</v>
      </c>
      <c r="B2" s="38" t="s">
        <v>2224</v>
      </c>
      <c r="C2" s="38" t="s">
        <v>2225</v>
      </c>
      <c r="D2" s="39">
        <v>45995</v>
      </c>
      <c r="E2" s="38" t="s">
        <v>40</v>
      </c>
      <c r="F2" s="38" t="s">
        <v>41</v>
      </c>
      <c r="G2" s="40">
        <v>0</v>
      </c>
      <c r="H2" s="87">
        <v>73252.3</v>
      </c>
      <c r="I2" s="40">
        <f>+H2*0.16</f>
        <v>11720.368</v>
      </c>
      <c r="J2" s="40">
        <f>SUM(G2:I2)</f>
        <v>84972.668000000005</v>
      </c>
      <c r="K2" s="40">
        <v>0</v>
      </c>
      <c r="L2" s="40">
        <f>+J2-K2</f>
        <v>84972.668000000005</v>
      </c>
      <c r="M2" s="38" t="s">
        <v>35</v>
      </c>
      <c r="N2" s="54"/>
      <c r="O2" s="36"/>
      <c r="P2" s="40">
        <v>0</v>
      </c>
      <c r="Q2" s="40">
        <v>0</v>
      </c>
      <c r="R2" s="41"/>
      <c r="S2" s="40">
        <v>5502.3</v>
      </c>
      <c r="T2" s="40">
        <v>0</v>
      </c>
      <c r="U2" s="40">
        <v>25750</v>
      </c>
      <c r="V2" s="40">
        <v>0</v>
      </c>
      <c r="W2" s="40">
        <v>42000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>
        <v>0</v>
      </c>
      <c r="AH2" s="40">
        <v>0</v>
      </c>
      <c r="AI2" s="36">
        <f t="shared" ref="AI2:AI30" si="0">+SUM(S2:AH2)-H2</f>
        <v>0</v>
      </c>
      <c r="AJ2" s="93">
        <v>0.214</v>
      </c>
      <c r="AK2" s="40" t="s">
        <v>1857</v>
      </c>
      <c r="AL2" s="40" t="s">
        <v>1844</v>
      </c>
      <c r="AM2"/>
      <c r="AN2" s="58" t="s">
        <v>1</v>
      </c>
      <c r="AO2" s="1">
        <f>+S99</f>
        <v>836978.74000000011</v>
      </c>
      <c r="AP2" s="1">
        <f>+'DIC USD'!AI21</f>
        <v>0</v>
      </c>
      <c r="AQ2" s="1">
        <f>SUM(AO2:AP2)</f>
        <v>836978.74000000011</v>
      </c>
      <c r="AR2" s="56">
        <f>+AQ2/AQ21</f>
        <v>0.2196887387161999</v>
      </c>
    </row>
    <row r="3" spans="1:44" hidden="1" x14ac:dyDescent="0.3">
      <c r="A3" s="38">
        <v>2</v>
      </c>
      <c r="B3" s="38" t="s">
        <v>2226</v>
      </c>
      <c r="C3" s="38" t="s">
        <v>2227</v>
      </c>
      <c r="D3" s="39">
        <v>45996</v>
      </c>
      <c r="E3" s="38" t="s">
        <v>40</v>
      </c>
      <c r="F3" s="38" t="s">
        <v>41</v>
      </c>
      <c r="G3" s="40">
        <v>68390</v>
      </c>
      <c r="H3" s="87">
        <f>4500+37500</f>
        <v>42000</v>
      </c>
      <c r="I3" s="40">
        <f t="shared" ref="I3:I65" si="1">+H3*0.16</f>
        <v>6720</v>
      </c>
      <c r="J3" s="40">
        <f t="shared" ref="J3:J60" si="2">SUM(G3:I3)</f>
        <v>117110</v>
      </c>
      <c r="K3" s="40">
        <v>0</v>
      </c>
      <c r="L3" s="40">
        <f t="shared" ref="L3:L65" si="3">+J3-K3</f>
        <v>117110</v>
      </c>
      <c r="M3" s="38" t="s">
        <v>35</v>
      </c>
      <c r="N3" s="54"/>
      <c r="O3" s="36"/>
      <c r="P3" s="40">
        <v>0</v>
      </c>
      <c r="Q3" s="40">
        <v>68390</v>
      </c>
      <c r="R3" s="40"/>
      <c r="S3" s="40">
        <v>4500</v>
      </c>
      <c r="T3" s="40">
        <v>0</v>
      </c>
      <c r="U3" s="40">
        <v>0</v>
      </c>
      <c r="V3" s="40">
        <v>0</v>
      </c>
      <c r="W3" s="40">
        <v>37500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36">
        <f t="shared" si="0"/>
        <v>0</v>
      </c>
      <c r="AJ3" s="93">
        <v>0.39800000000000002</v>
      </c>
      <c r="AK3" s="40" t="s">
        <v>1859</v>
      </c>
      <c r="AL3" s="40" t="s">
        <v>1839</v>
      </c>
      <c r="AM3"/>
      <c r="AN3" s="58" t="s">
        <v>50</v>
      </c>
      <c r="AO3" s="1">
        <f>+T99</f>
        <v>12466.970000000001</v>
      </c>
      <c r="AP3" s="1">
        <f>+'DIC USD'!AN21</f>
        <v>5390.01</v>
      </c>
      <c r="AQ3" s="1">
        <f t="shared" ref="AQ3:AQ20" si="4">SUM(AO3:AP3)</f>
        <v>17856.980000000003</v>
      </c>
      <c r="AR3" s="56">
        <f>+AQ3/AQ21</f>
        <v>4.6870693674733099E-3</v>
      </c>
    </row>
    <row r="4" spans="1:44" x14ac:dyDescent="0.3">
      <c r="A4" s="38">
        <v>1</v>
      </c>
      <c r="B4" s="38" t="s">
        <v>2228</v>
      </c>
      <c r="C4" s="38" t="s">
        <v>2229</v>
      </c>
      <c r="D4" s="39">
        <v>45996</v>
      </c>
      <c r="E4" s="38" t="s">
        <v>53</v>
      </c>
      <c r="F4" s="38" t="s">
        <v>199</v>
      </c>
      <c r="G4" s="40">
        <v>0</v>
      </c>
      <c r="H4" s="87">
        <f>7200+12522.08</f>
        <v>19722.080000000002</v>
      </c>
      <c r="I4" s="40">
        <f t="shared" si="1"/>
        <v>3155.5328000000004</v>
      </c>
      <c r="J4" s="40">
        <f t="shared" si="2"/>
        <v>22877.612800000003</v>
      </c>
      <c r="K4" s="40">
        <v>54752</v>
      </c>
      <c r="L4" s="40">
        <f t="shared" si="3"/>
        <v>-31874.387199999997</v>
      </c>
      <c r="M4" s="38" t="s">
        <v>35</v>
      </c>
      <c r="N4" s="54"/>
      <c r="O4" s="36"/>
      <c r="P4" s="40">
        <v>0</v>
      </c>
      <c r="Q4" s="40">
        <v>0</v>
      </c>
      <c r="R4" s="40"/>
      <c r="S4" s="40">
        <v>7200</v>
      </c>
      <c r="T4" s="40">
        <v>0</v>
      </c>
      <c r="U4" s="40">
        <v>12522.08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36">
        <f t="shared" si="0"/>
        <v>0</v>
      </c>
      <c r="AJ4" s="93">
        <v>0.19900000000000001</v>
      </c>
      <c r="AK4" s="40" t="s">
        <v>2056</v>
      </c>
      <c r="AL4" s="40" t="s">
        <v>1884</v>
      </c>
      <c r="AM4"/>
      <c r="AN4" s="58" t="s">
        <v>54</v>
      </c>
      <c r="AO4" s="1">
        <f>+U99</f>
        <v>1207212.3400000003</v>
      </c>
      <c r="AP4" s="1">
        <f>+'DIC USD'!AK21</f>
        <v>0</v>
      </c>
      <c r="AQ4" s="1">
        <f t="shared" si="4"/>
        <v>1207212.3400000003</v>
      </c>
      <c r="AR4" s="56">
        <f>+AQ4/AQ21</f>
        <v>0.31686701664277916</v>
      </c>
    </row>
    <row r="5" spans="1:44" x14ac:dyDescent="0.3">
      <c r="A5" s="38">
        <v>1</v>
      </c>
      <c r="B5" s="38" t="s">
        <v>2230</v>
      </c>
      <c r="C5" s="38" t="s">
        <v>2231</v>
      </c>
      <c r="D5" s="39">
        <v>45999</v>
      </c>
      <c r="E5" s="38" t="s">
        <v>53</v>
      </c>
      <c r="F5" s="38" t="s">
        <v>199</v>
      </c>
      <c r="G5" s="40">
        <v>0</v>
      </c>
      <c r="H5" s="87">
        <v>16394.97</v>
      </c>
      <c r="I5" s="40">
        <f t="shared" si="1"/>
        <v>2623.1952000000001</v>
      </c>
      <c r="J5" s="40">
        <f t="shared" si="2"/>
        <v>19018.165200000003</v>
      </c>
      <c r="K5" s="40">
        <v>54752</v>
      </c>
      <c r="L5" s="40">
        <f t="shared" si="3"/>
        <v>-35733.834799999997</v>
      </c>
      <c r="M5" s="38" t="s">
        <v>35</v>
      </c>
      <c r="N5" s="54"/>
      <c r="O5" s="36"/>
      <c r="P5" s="40">
        <v>0</v>
      </c>
      <c r="Q5" s="40">
        <v>0</v>
      </c>
      <c r="R5" s="41"/>
      <c r="S5" s="40">
        <v>7200</v>
      </c>
      <c r="T5" s="40">
        <v>0</v>
      </c>
      <c r="U5" s="40">
        <v>9194.9699999999993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6">
        <f t="shared" si="0"/>
        <v>0</v>
      </c>
      <c r="AJ5" s="93">
        <v>0.21299999999999999</v>
      </c>
      <c r="AK5" s="40" t="s">
        <v>2056</v>
      </c>
      <c r="AL5" s="40" t="s">
        <v>1884</v>
      </c>
      <c r="AM5"/>
      <c r="AN5" s="58" t="s">
        <v>43</v>
      </c>
      <c r="AO5" s="1">
        <f>+V99</f>
        <v>392114.8</v>
      </c>
      <c r="AP5" s="1">
        <v>0</v>
      </c>
      <c r="AQ5" s="1">
        <f t="shared" si="4"/>
        <v>392114.8</v>
      </c>
      <c r="AR5" s="56">
        <f>+AQ5/AQ21</f>
        <v>0.10292161763147648</v>
      </c>
    </row>
    <row r="6" spans="1:44" hidden="1" x14ac:dyDescent="0.3">
      <c r="A6" s="38">
        <v>1</v>
      </c>
      <c r="B6" s="38" t="s">
        <v>2232</v>
      </c>
      <c r="C6" s="38" t="s">
        <v>2233</v>
      </c>
      <c r="D6" s="39">
        <v>45999</v>
      </c>
      <c r="E6" s="38" t="s">
        <v>40</v>
      </c>
      <c r="F6" s="38" t="s">
        <v>41</v>
      </c>
      <c r="G6" s="40">
        <v>0</v>
      </c>
      <c r="H6" s="87">
        <v>3540</v>
      </c>
      <c r="I6" s="40">
        <f t="shared" si="1"/>
        <v>566.4</v>
      </c>
      <c r="J6" s="40">
        <f t="shared" si="2"/>
        <v>4106.3999999999996</v>
      </c>
      <c r="K6" s="40">
        <v>0</v>
      </c>
      <c r="L6" s="40">
        <f t="shared" si="3"/>
        <v>4106.3999999999996</v>
      </c>
      <c r="M6" s="38" t="s">
        <v>35</v>
      </c>
      <c r="N6" s="54"/>
      <c r="O6" s="36"/>
      <c r="P6" s="40">
        <v>0</v>
      </c>
      <c r="Q6" s="40">
        <v>0</v>
      </c>
      <c r="R6" s="41"/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3540</v>
      </c>
      <c r="AI6" s="36">
        <f t="shared" si="0"/>
        <v>0</v>
      </c>
      <c r="AJ6" s="93">
        <v>0.25900000000000001</v>
      </c>
      <c r="AK6" s="40" t="s">
        <v>1857</v>
      </c>
      <c r="AL6" s="40" t="s">
        <v>1844</v>
      </c>
      <c r="AM6"/>
      <c r="AN6" s="58" t="s">
        <v>0</v>
      </c>
      <c r="AO6" s="1">
        <f>+W99</f>
        <v>523975</v>
      </c>
      <c r="AP6" s="1">
        <f>+'DIC USD'!AH21</f>
        <v>675217.89100000006</v>
      </c>
      <c r="AQ6" s="1">
        <f t="shared" si="4"/>
        <v>1199192.8910000001</v>
      </c>
      <c r="AR6" s="56">
        <f>+AQ6/AQ21</f>
        <v>0.31476208547569962</v>
      </c>
    </row>
    <row r="7" spans="1:44" hidden="1" x14ac:dyDescent="0.3">
      <c r="A7" s="38">
        <v>1</v>
      </c>
      <c r="B7" s="38" t="s">
        <v>2236</v>
      </c>
      <c r="C7" s="50" t="s">
        <v>2237</v>
      </c>
      <c r="D7" s="39">
        <v>45999</v>
      </c>
      <c r="E7" s="38" t="s">
        <v>40</v>
      </c>
      <c r="F7" s="38" t="s">
        <v>41</v>
      </c>
      <c r="G7" s="40">
        <v>0</v>
      </c>
      <c r="H7" s="87">
        <v>3540</v>
      </c>
      <c r="I7" s="40">
        <f t="shared" si="1"/>
        <v>566.4</v>
      </c>
      <c r="J7" s="40">
        <f t="shared" si="2"/>
        <v>4106.3999999999996</v>
      </c>
      <c r="K7" s="40">
        <v>0</v>
      </c>
      <c r="L7" s="40">
        <f t="shared" si="3"/>
        <v>4106.3999999999996</v>
      </c>
      <c r="M7" s="38" t="s">
        <v>35</v>
      </c>
      <c r="N7" s="54"/>
      <c r="O7" s="36"/>
      <c r="P7" s="40">
        <v>0</v>
      </c>
      <c r="Q7" s="40">
        <v>0</v>
      </c>
      <c r="R7" s="41"/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3540</v>
      </c>
      <c r="AI7" s="36">
        <f t="shared" si="0"/>
        <v>0</v>
      </c>
      <c r="AJ7" s="93">
        <v>0.25900000000000001</v>
      </c>
      <c r="AK7" s="40" t="s">
        <v>1857</v>
      </c>
      <c r="AL7" s="40" t="s">
        <v>1844</v>
      </c>
      <c r="AM7"/>
      <c r="AN7" s="58" t="s">
        <v>478</v>
      </c>
      <c r="AO7" s="1">
        <f>+X99</f>
        <v>9000</v>
      </c>
      <c r="AP7" s="1">
        <v>0</v>
      </c>
      <c r="AQ7" s="1">
        <f t="shared" si="4"/>
        <v>9000</v>
      </c>
      <c r="AR7" s="80">
        <f>+AQ7/AQ21</f>
        <v>2.3623045054236369E-3</v>
      </c>
    </row>
    <row r="8" spans="1:44" hidden="1" x14ac:dyDescent="0.3">
      <c r="A8" s="38">
        <v>1</v>
      </c>
      <c r="B8" s="38" t="s">
        <v>2238</v>
      </c>
      <c r="C8" s="38" t="s">
        <v>2239</v>
      </c>
      <c r="D8" s="39">
        <v>46000</v>
      </c>
      <c r="E8" s="38" t="s">
        <v>40</v>
      </c>
      <c r="F8" s="38" t="s">
        <v>41</v>
      </c>
      <c r="G8" s="40">
        <v>0</v>
      </c>
      <c r="H8" s="87">
        <v>10087.379999999999</v>
      </c>
      <c r="I8" s="40">
        <f t="shared" si="1"/>
        <v>1613.9807999999998</v>
      </c>
      <c r="J8" s="40">
        <f t="shared" si="2"/>
        <v>11701.360799999999</v>
      </c>
      <c r="K8" s="40">
        <v>0</v>
      </c>
      <c r="L8" s="40">
        <f t="shared" si="3"/>
        <v>11701.360799999999</v>
      </c>
      <c r="M8" s="38" t="s">
        <v>35</v>
      </c>
      <c r="N8" s="54"/>
      <c r="O8" s="36"/>
      <c r="P8" s="40">
        <v>0</v>
      </c>
      <c r="Q8" s="40">
        <v>0</v>
      </c>
      <c r="R8" s="41"/>
      <c r="S8" s="40">
        <v>3699.94</v>
      </c>
      <c r="T8" s="40">
        <v>472.5</v>
      </c>
      <c r="U8" s="40">
        <v>2237.46</v>
      </c>
      <c r="V8" s="40">
        <v>1177.48</v>
      </c>
      <c r="W8" s="40">
        <v>2500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36">
        <f t="shared" si="0"/>
        <v>0</v>
      </c>
      <c r="AJ8" s="93">
        <v>0.27100000000000002</v>
      </c>
      <c r="AK8" s="40" t="s">
        <v>1857</v>
      </c>
      <c r="AL8" s="40" t="s">
        <v>1884</v>
      </c>
      <c r="AM8"/>
      <c r="AN8" s="58" t="s">
        <v>2369</v>
      </c>
      <c r="AO8" s="1">
        <f>+Y99</f>
        <v>1480</v>
      </c>
      <c r="AP8" s="1">
        <v>0</v>
      </c>
      <c r="AQ8" s="1">
        <f t="shared" si="4"/>
        <v>1480</v>
      </c>
      <c r="AR8" s="56">
        <f>+AQ8/AQ21</f>
        <v>3.8846785200299808E-4</v>
      </c>
    </row>
    <row r="9" spans="1:44" x14ac:dyDescent="0.3">
      <c r="A9" s="38">
        <v>1</v>
      </c>
      <c r="B9" s="38" t="s">
        <v>2242</v>
      </c>
      <c r="C9" s="38" t="s">
        <v>2243</v>
      </c>
      <c r="D9" s="39">
        <v>46000</v>
      </c>
      <c r="E9" s="38" t="s">
        <v>53</v>
      </c>
      <c r="F9" s="38" t="s">
        <v>199</v>
      </c>
      <c r="G9" s="40">
        <v>1671</v>
      </c>
      <c r="H9" s="87">
        <f>7200+10290.11</f>
        <v>17490.11</v>
      </c>
      <c r="I9" s="40">
        <f t="shared" si="1"/>
        <v>2798.4176000000002</v>
      </c>
      <c r="J9" s="40">
        <f t="shared" si="2"/>
        <v>21959.527600000001</v>
      </c>
      <c r="K9" s="40">
        <v>56423</v>
      </c>
      <c r="L9" s="40">
        <f t="shared" si="3"/>
        <v>-34463.472399999999</v>
      </c>
      <c r="M9" s="38" t="s">
        <v>35</v>
      </c>
      <c r="N9" s="54"/>
      <c r="O9" s="36"/>
      <c r="P9" s="40">
        <v>0</v>
      </c>
      <c r="Q9" s="40">
        <v>1671</v>
      </c>
      <c r="R9" s="41"/>
      <c r="S9" s="40">
        <v>7200</v>
      </c>
      <c r="T9" s="40">
        <v>0</v>
      </c>
      <c r="U9" s="40">
        <v>10290.11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36">
        <f t="shared" si="0"/>
        <v>0</v>
      </c>
      <c r="AJ9" s="93">
        <v>0.20399999999999999</v>
      </c>
      <c r="AK9" s="40" t="s">
        <v>2056</v>
      </c>
      <c r="AL9" s="40" t="s">
        <v>1884</v>
      </c>
      <c r="AM9"/>
      <c r="AN9" s="58" t="s">
        <v>546</v>
      </c>
      <c r="AO9" s="1">
        <f>+Z99</f>
        <v>26800</v>
      </c>
      <c r="AP9" s="1">
        <v>0</v>
      </c>
      <c r="AQ9" s="1">
        <f t="shared" si="4"/>
        <v>26800</v>
      </c>
      <c r="AR9" s="56">
        <f>+AQ9/AQ21</f>
        <v>7.03441786059483E-3</v>
      </c>
    </row>
    <row r="10" spans="1:44" hidden="1" x14ac:dyDescent="0.3">
      <c r="A10" s="38">
        <v>2</v>
      </c>
      <c r="B10" s="38" t="s">
        <v>2244</v>
      </c>
      <c r="C10" s="38" t="s">
        <v>2245</v>
      </c>
      <c r="D10" s="39">
        <v>46001</v>
      </c>
      <c r="E10" s="38" t="s">
        <v>22</v>
      </c>
      <c r="F10" s="38" t="s">
        <v>45</v>
      </c>
      <c r="G10" s="40">
        <v>6136</v>
      </c>
      <c r="H10" s="87">
        <v>4500</v>
      </c>
      <c r="I10" s="40">
        <f t="shared" si="1"/>
        <v>720</v>
      </c>
      <c r="J10" s="40">
        <f t="shared" si="2"/>
        <v>11356</v>
      </c>
      <c r="K10" s="40">
        <v>11356</v>
      </c>
      <c r="L10" s="40">
        <f t="shared" si="3"/>
        <v>0</v>
      </c>
      <c r="M10" s="38" t="s">
        <v>35</v>
      </c>
      <c r="N10" s="54"/>
      <c r="O10" s="36"/>
      <c r="P10" s="40">
        <v>0</v>
      </c>
      <c r="Q10" s="40">
        <v>6136</v>
      </c>
      <c r="R10" s="41"/>
      <c r="S10" s="40">
        <v>4500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36">
        <f t="shared" si="0"/>
        <v>0</v>
      </c>
      <c r="AJ10" s="93">
        <v>0.6</v>
      </c>
      <c r="AK10" s="40" t="s">
        <v>1859</v>
      </c>
      <c r="AL10" s="40" t="s">
        <v>1839</v>
      </c>
      <c r="AM10"/>
      <c r="AN10" s="58" t="s">
        <v>545</v>
      </c>
      <c r="AO10" s="1">
        <f>+AA99</f>
        <v>11400</v>
      </c>
      <c r="AP10" s="1">
        <v>0</v>
      </c>
      <c r="AQ10" s="1">
        <f t="shared" si="4"/>
        <v>11400</v>
      </c>
      <c r="AR10" s="56">
        <f>+AQ10/AQ21</f>
        <v>2.992252373536607E-3</v>
      </c>
    </row>
    <row r="11" spans="1:44" hidden="1" x14ac:dyDescent="0.3">
      <c r="A11" s="38">
        <v>1</v>
      </c>
      <c r="B11" s="38" t="s">
        <v>2246</v>
      </c>
      <c r="C11" s="2" t="s">
        <v>2247</v>
      </c>
      <c r="D11" s="39">
        <v>46001</v>
      </c>
      <c r="E11" s="38" t="s">
        <v>22</v>
      </c>
      <c r="F11" s="38" t="s">
        <v>45</v>
      </c>
      <c r="G11" s="40">
        <v>336</v>
      </c>
      <c r="H11" s="87">
        <f>6000+3504.75</f>
        <v>9504.75</v>
      </c>
      <c r="I11" s="40">
        <f t="shared" si="1"/>
        <v>1520.76</v>
      </c>
      <c r="J11" s="40">
        <f t="shared" si="2"/>
        <v>11361.51</v>
      </c>
      <c r="K11" s="40">
        <v>11936</v>
      </c>
      <c r="L11" s="40">
        <f t="shared" si="3"/>
        <v>-574.48999999999978</v>
      </c>
      <c r="M11" s="38" t="s">
        <v>35</v>
      </c>
      <c r="N11" s="54"/>
      <c r="O11" s="36"/>
      <c r="P11" s="40">
        <v>0</v>
      </c>
      <c r="Q11" s="40">
        <v>336</v>
      </c>
      <c r="R11" s="41"/>
      <c r="S11" s="40">
        <v>6000</v>
      </c>
      <c r="T11" s="40">
        <v>0</v>
      </c>
      <c r="U11" s="40">
        <v>3504.75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36">
        <f t="shared" si="0"/>
        <v>0</v>
      </c>
      <c r="AJ11" s="93">
        <v>0.48799999999999999</v>
      </c>
      <c r="AK11" s="40" t="s">
        <v>1859</v>
      </c>
      <c r="AL11" s="40" t="s">
        <v>1884</v>
      </c>
      <c r="AM11"/>
      <c r="AN11" s="58" t="s">
        <v>763</v>
      </c>
      <c r="AO11" s="1">
        <f>+AB99</f>
        <v>3000</v>
      </c>
      <c r="AP11" s="1">
        <v>0</v>
      </c>
      <c r="AQ11" s="1">
        <f t="shared" si="4"/>
        <v>3000</v>
      </c>
      <c r="AR11" s="56">
        <f>+AQ11/AQ21</f>
        <v>7.8743483514121231E-4</v>
      </c>
    </row>
    <row r="12" spans="1:44" ht="14.4" hidden="1" customHeight="1" x14ac:dyDescent="0.3">
      <c r="A12" s="38">
        <v>1</v>
      </c>
      <c r="B12" s="38" t="s">
        <v>2248</v>
      </c>
      <c r="C12" s="2" t="s">
        <v>2249</v>
      </c>
      <c r="D12" s="39">
        <v>46001</v>
      </c>
      <c r="E12" s="38" t="s">
        <v>22</v>
      </c>
      <c r="F12" s="38" t="s">
        <v>45</v>
      </c>
      <c r="G12" s="40">
        <v>336</v>
      </c>
      <c r="H12" s="87">
        <f>9590-G12</f>
        <v>9254</v>
      </c>
      <c r="I12" s="40">
        <f t="shared" si="1"/>
        <v>1480.64</v>
      </c>
      <c r="J12" s="40">
        <f t="shared" si="2"/>
        <v>11070.64</v>
      </c>
      <c r="K12" s="40">
        <v>11936</v>
      </c>
      <c r="L12" s="40">
        <f t="shared" si="3"/>
        <v>-865.36000000000058</v>
      </c>
      <c r="M12" s="38" t="s">
        <v>35</v>
      </c>
      <c r="N12" s="54"/>
      <c r="O12" s="36"/>
      <c r="P12" s="40">
        <v>0</v>
      </c>
      <c r="Q12" s="40">
        <v>336</v>
      </c>
      <c r="R12" s="41"/>
      <c r="S12" s="40">
        <v>6000</v>
      </c>
      <c r="T12" s="40">
        <v>0</v>
      </c>
      <c r="U12" s="40">
        <v>1454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1800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36">
        <f t="shared" si="0"/>
        <v>0</v>
      </c>
      <c r="AJ12" s="93">
        <v>0.47599999999999998</v>
      </c>
      <c r="AK12" s="40" t="s">
        <v>1842</v>
      </c>
      <c r="AL12" s="40" t="s">
        <v>1884</v>
      </c>
      <c r="AM12"/>
      <c r="AN12" s="58" t="s">
        <v>55</v>
      </c>
      <c r="AO12" s="1">
        <f>+AC99</f>
        <v>18225</v>
      </c>
      <c r="AP12" s="1">
        <v>0</v>
      </c>
      <c r="AQ12" s="1">
        <f t="shared" si="4"/>
        <v>18225</v>
      </c>
      <c r="AR12" s="56">
        <f>+AQ12/AQ21</f>
        <v>4.7836666234828649E-3</v>
      </c>
    </row>
    <row r="13" spans="1:44" hidden="1" x14ac:dyDescent="0.3">
      <c r="A13" s="38">
        <v>2</v>
      </c>
      <c r="B13" s="38" t="s">
        <v>2250</v>
      </c>
      <c r="C13" s="2" t="s">
        <v>2251</v>
      </c>
      <c r="D13" s="39">
        <v>46001</v>
      </c>
      <c r="E13" s="38" t="s">
        <v>22</v>
      </c>
      <c r="F13" s="38" t="s">
        <v>45</v>
      </c>
      <c r="G13" s="40">
        <v>0</v>
      </c>
      <c r="H13" s="87">
        <v>4200</v>
      </c>
      <c r="I13" s="40">
        <f t="shared" si="1"/>
        <v>672</v>
      </c>
      <c r="J13" s="40">
        <f t="shared" si="2"/>
        <v>4872</v>
      </c>
      <c r="K13" s="40">
        <v>4872</v>
      </c>
      <c r="L13" s="40">
        <f t="shared" si="3"/>
        <v>0</v>
      </c>
      <c r="M13" s="38" t="s">
        <v>35</v>
      </c>
      <c r="N13" s="54"/>
      <c r="O13" s="36"/>
      <c r="P13" s="40">
        <v>0</v>
      </c>
      <c r="Q13" s="40">
        <v>0</v>
      </c>
      <c r="R13" s="41"/>
      <c r="S13" s="40">
        <v>4200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36">
        <f t="shared" si="0"/>
        <v>0</v>
      </c>
      <c r="AJ13" s="93">
        <v>0.61899999999999999</v>
      </c>
      <c r="AK13" s="40" t="s">
        <v>1842</v>
      </c>
      <c r="AL13" s="40" t="s">
        <v>1839</v>
      </c>
      <c r="AM13"/>
      <c r="AN13" s="58" t="s">
        <v>1219</v>
      </c>
      <c r="AO13" s="1">
        <f>+AD99</f>
        <v>0</v>
      </c>
      <c r="AP13" s="1">
        <f>+'DIC USD'!AO21</f>
        <v>0</v>
      </c>
      <c r="AQ13" s="1">
        <f t="shared" si="4"/>
        <v>0</v>
      </c>
      <c r="AR13" s="80">
        <f>+AQ13/AQ21</f>
        <v>0</v>
      </c>
    </row>
    <row r="14" spans="1:44" hidden="1" x14ac:dyDescent="0.3">
      <c r="A14" s="38">
        <v>2</v>
      </c>
      <c r="B14" s="38" t="s">
        <v>2252</v>
      </c>
      <c r="C14" s="2" t="s">
        <v>2253</v>
      </c>
      <c r="D14" s="39">
        <v>46001</v>
      </c>
      <c r="E14" s="38" t="s">
        <v>22</v>
      </c>
      <c r="F14" s="38" t="s">
        <v>45</v>
      </c>
      <c r="G14" s="40">
        <v>0</v>
      </c>
      <c r="H14" s="87">
        <v>4200</v>
      </c>
      <c r="I14" s="40">
        <f t="shared" si="1"/>
        <v>672</v>
      </c>
      <c r="J14" s="40">
        <f t="shared" si="2"/>
        <v>4872</v>
      </c>
      <c r="K14" s="40">
        <v>4872</v>
      </c>
      <c r="L14" s="40">
        <f t="shared" si="3"/>
        <v>0</v>
      </c>
      <c r="M14" s="38" t="s">
        <v>35</v>
      </c>
      <c r="N14" s="54"/>
      <c r="O14" s="36"/>
      <c r="P14" s="40">
        <v>0</v>
      </c>
      <c r="Q14" s="40">
        <v>0</v>
      </c>
      <c r="R14" s="41"/>
      <c r="S14" s="40">
        <v>4200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36">
        <f t="shared" si="0"/>
        <v>0</v>
      </c>
      <c r="AJ14" s="93">
        <v>0.61899999999999999</v>
      </c>
      <c r="AK14" s="40" t="s">
        <v>1842</v>
      </c>
      <c r="AL14" s="40" t="s">
        <v>1839</v>
      </c>
      <c r="AM14"/>
      <c r="AN14" s="58" t="s">
        <v>1220</v>
      </c>
      <c r="AO14" s="1">
        <f>+AE99</f>
        <v>0</v>
      </c>
      <c r="AP14" s="1">
        <f>+'DIC USD'!AM21</f>
        <v>1437.336</v>
      </c>
      <c r="AQ14" s="1">
        <f t="shared" si="4"/>
        <v>1437.336</v>
      </c>
      <c r="AR14" s="56">
        <f>+AQ14/AQ21</f>
        <v>3.7726947873417655E-4</v>
      </c>
    </row>
    <row r="15" spans="1:44" hidden="1" x14ac:dyDescent="0.3">
      <c r="A15" s="38">
        <v>2</v>
      </c>
      <c r="B15" s="38" t="s">
        <v>2254</v>
      </c>
      <c r="C15" s="2" t="s">
        <v>2255</v>
      </c>
      <c r="D15" s="39">
        <v>46001</v>
      </c>
      <c r="E15" s="38" t="s">
        <v>40</v>
      </c>
      <c r="F15" s="38" t="s">
        <v>41</v>
      </c>
      <c r="G15" s="40">
        <v>0</v>
      </c>
      <c r="H15" s="87">
        <v>42000</v>
      </c>
      <c r="I15" s="40">
        <f t="shared" si="1"/>
        <v>6720</v>
      </c>
      <c r="J15" s="40">
        <f t="shared" si="2"/>
        <v>48720</v>
      </c>
      <c r="K15" s="40">
        <v>0</v>
      </c>
      <c r="L15" s="40">
        <f t="shared" si="3"/>
        <v>48720</v>
      </c>
      <c r="M15" s="38" t="s">
        <v>35</v>
      </c>
      <c r="N15" s="54"/>
      <c r="O15" s="36"/>
      <c r="P15" s="40">
        <v>0</v>
      </c>
      <c r="Q15" s="40">
        <v>0</v>
      </c>
      <c r="R15" s="41"/>
      <c r="S15" s="40">
        <v>4500</v>
      </c>
      <c r="T15" s="40">
        <v>0</v>
      </c>
      <c r="U15" s="40">
        <v>0</v>
      </c>
      <c r="V15" s="40">
        <v>0</v>
      </c>
      <c r="W15" s="40">
        <v>37500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36">
        <f t="shared" si="0"/>
        <v>0</v>
      </c>
      <c r="AJ15" s="93">
        <v>0.34300000000000003</v>
      </c>
      <c r="AK15" s="40" t="s">
        <v>1859</v>
      </c>
      <c r="AL15" s="40" t="s">
        <v>1839</v>
      </c>
      <c r="AM15"/>
      <c r="AN15" s="58" t="s">
        <v>396</v>
      </c>
      <c r="AO15" s="1">
        <f>+AF99</f>
        <v>0</v>
      </c>
      <c r="AP15" s="1">
        <f>+'DIC USD'!AL21</f>
        <v>10569.728000000001</v>
      </c>
      <c r="AQ15" s="1">
        <f t="shared" si="4"/>
        <v>10569.728000000001</v>
      </c>
      <c r="AR15" s="56">
        <f>+AQ15/AQ21</f>
        <v>2.7743240083891521E-3</v>
      </c>
    </row>
    <row r="16" spans="1:44" hidden="1" x14ac:dyDescent="0.3">
      <c r="A16" s="38">
        <v>2</v>
      </c>
      <c r="B16" s="38" t="s">
        <v>2256</v>
      </c>
      <c r="C16" s="2" t="s">
        <v>2257</v>
      </c>
      <c r="D16" s="39">
        <v>46001</v>
      </c>
      <c r="E16" s="38" t="s">
        <v>40</v>
      </c>
      <c r="F16" s="38" t="s">
        <v>41</v>
      </c>
      <c r="G16" s="40">
        <v>0</v>
      </c>
      <c r="H16" s="87">
        <v>42000</v>
      </c>
      <c r="I16" s="40">
        <f t="shared" si="1"/>
        <v>6720</v>
      </c>
      <c r="J16" s="40">
        <f t="shared" si="2"/>
        <v>48720</v>
      </c>
      <c r="K16" s="40">
        <v>0</v>
      </c>
      <c r="L16" s="40">
        <f t="shared" si="3"/>
        <v>48720</v>
      </c>
      <c r="M16" s="38" t="s">
        <v>35</v>
      </c>
      <c r="N16" s="54"/>
      <c r="O16" s="36"/>
      <c r="P16" s="40">
        <v>0</v>
      </c>
      <c r="Q16" s="40">
        <v>0</v>
      </c>
      <c r="R16" s="41"/>
      <c r="S16" s="40">
        <v>4500</v>
      </c>
      <c r="T16" s="40">
        <v>0</v>
      </c>
      <c r="U16" s="40">
        <v>0</v>
      </c>
      <c r="V16" s="40">
        <v>0</v>
      </c>
      <c r="W16" s="40">
        <v>37500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36">
        <f t="shared" si="0"/>
        <v>0</v>
      </c>
      <c r="AJ16" s="93">
        <v>0.41</v>
      </c>
      <c r="AK16" s="40" t="s">
        <v>1859</v>
      </c>
      <c r="AL16" s="40" t="s">
        <v>1839</v>
      </c>
      <c r="AM16"/>
      <c r="AN16" s="58" t="s">
        <v>585</v>
      </c>
      <c r="AO16" s="1">
        <f>+AG99</f>
        <v>0</v>
      </c>
      <c r="AP16" s="1">
        <v>0</v>
      </c>
      <c r="AQ16" s="1">
        <f t="shared" si="4"/>
        <v>0</v>
      </c>
      <c r="AR16" s="56">
        <f>+AQ16/AQ21</f>
        <v>0</v>
      </c>
    </row>
    <row r="17" spans="1:44" hidden="1" x14ac:dyDescent="0.3">
      <c r="A17" s="38">
        <v>2</v>
      </c>
      <c r="B17" s="38" t="s">
        <v>2258</v>
      </c>
      <c r="C17" s="2" t="s">
        <v>2259</v>
      </c>
      <c r="D17" s="39">
        <v>46002</v>
      </c>
      <c r="E17" s="38" t="s">
        <v>198</v>
      </c>
      <c r="F17" s="38" t="s">
        <v>200</v>
      </c>
      <c r="G17" s="40">
        <v>0</v>
      </c>
      <c r="H17" s="87">
        <v>22000</v>
      </c>
      <c r="I17" s="40">
        <f t="shared" si="1"/>
        <v>3520</v>
      </c>
      <c r="J17" s="40">
        <f t="shared" si="2"/>
        <v>25520</v>
      </c>
      <c r="K17" s="40">
        <v>25520</v>
      </c>
      <c r="L17" s="40">
        <f t="shared" si="3"/>
        <v>0</v>
      </c>
      <c r="M17" s="38" t="s">
        <v>35</v>
      </c>
      <c r="N17" s="54"/>
      <c r="O17" s="36"/>
      <c r="P17" s="40">
        <v>0</v>
      </c>
      <c r="Q17" s="40">
        <v>0</v>
      </c>
      <c r="R17" s="41"/>
      <c r="S17" s="40">
        <v>0</v>
      </c>
      <c r="T17" s="40">
        <v>0</v>
      </c>
      <c r="U17" s="40">
        <v>0</v>
      </c>
      <c r="V17" s="40">
        <v>0</v>
      </c>
      <c r="W17" s="40">
        <v>22000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36">
        <f t="shared" si="0"/>
        <v>0</v>
      </c>
      <c r="AJ17" s="93">
        <v>0.46100000000000002</v>
      </c>
      <c r="AK17" s="40" t="s">
        <v>1842</v>
      </c>
      <c r="AL17" s="40" t="s">
        <v>1839</v>
      </c>
      <c r="AM17"/>
      <c r="AN17" s="58" t="s">
        <v>48</v>
      </c>
      <c r="AO17" s="1">
        <f>+AH99</f>
        <v>7080</v>
      </c>
      <c r="AP17" s="1">
        <v>0</v>
      </c>
      <c r="AQ17" s="1">
        <f t="shared" si="4"/>
        <v>7080</v>
      </c>
      <c r="AR17" s="56">
        <f>+AQ17/AQ21</f>
        <v>1.8583462109332612E-3</v>
      </c>
    </row>
    <row r="18" spans="1:44" hidden="1" x14ac:dyDescent="0.3">
      <c r="A18" s="38">
        <v>2</v>
      </c>
      <c r="B18" s="38" t="s">
        <v>2260</v>
      </c>
      <c r="C18" s="2" t="s">
        <v>2261</v>
      </c>
      <c r="D18" s="39">
        <v>46003</v>
      </c>
      <c r="E18" s="38" t="s">
        <v>22</v>
      </c>
      <c r="F18" s="38" t="s">
        <v>45</v>
      </c>
      <c r="G18" s="40">
        <v>336</v>
      </c>
      <c r="H18" s="87">
        <v>4200</v>
      </c>
      <c r="I18" s="40">
        <f t="shared" si="1"/>
        <v>672</v>
      </c>
      <c r="J18" s="40">
        <f t="shared" si="2"/>
        <v>5208</v>
      </c>
      <c r="K18" s="40">
        <v>5208</v>
      </c>
      <c r="L18" s="40">
        <f t="shared" si="3"/>
        <v>0</v>
      </c>
      <c r="M18" s="38" t="s">
        <v>35</v>
      </c>
      <c r="N18" s="54"/>
      <c r="O18" s="36"/>
      <c r="P18" s="40">
        <v>0</v>
      </c>
      <c r="Q18" s="40">
        <v>0</v>
      </c>
      <c r="R18" s="41"/>
      <c r="S18" s="40">
        <v>4200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36">
        <f t="shared" si="0"/>
        <v>0</v>
      </c>
      <c r="AJ18" s="93">
        <v>0.61899999999999999</v>
      </c>
      <c r="AK18" s="40" t="s">
        <v>1842</v>
      </c>
      <c r="AL18" s="40" t="s">
        <v>1839</v>
      </c>
      <c r="AM18"/>
      <c r="AN18" s="37" t="s">
        <v>514</v>
      </c>
      <c r="AO18" s="1">
        <v>0</v>
      </c>
      <c r="AP18" s="1">
        <f>+'DIC USD'!AJ21</f>
        <v>16326.630000000001</v>
      </c>
      <c r="AQ18" s="1">
        <f t="shared" si="4"/>
        <v>16326.630000000001</v>
      </c>
      <c r="AR18" s="56">
        <f>+AQ18/AQ21</f>
        <v>4.2853857341538576E-3</v>
      </c>
    </row>
    <row r="19" spans="1:44" hidden="1" x14ac:dyDescent="0.3">
      <c r="A19" s="38">
        <v>2</v>
      </c>
      <c r="B19" s="38" t="s">
        <v>2262</v>
      </c>
      <c r="C19" s="2" t="s">
        <v>2263</v>
      </c>
      <c r="D19" s="39">
        <v>46006</v>
      </c>
      <c r="E19" s="38" t="s">
        <v>40</v>
      </c>
      <c r="F19" s="38" t="s">
        <v>41</v>
      </c>
      <c r="G19" s="40">
        <f>782+428</f>
        <v>1210</v>
      </c>
      <c r="H19" s="87">
        <f>4200+3000</f>
        <v>7200</v>
      </c>
      <c r="I19" s="40">
        <f t="shared" si="1"/>
        <v>1152</v>
      </c>
      <c r="J19" s="40">
        <f t="shared" si="2"/>
        <v>9562</v>
      </c>
      <c r="K19" s="40">
        <v>0</v>
      </c>
      <c r="L19" s="40">
        <f t="shared" si="3"/>
        <v>9562</v>
      </c>
      <c r="M19" s="38" t="s">
        <v>35</v>
      </c>
      <c r="N19" s="54"/>
      <c r="O19" s="36"/>
      <c r="P19" s="40">
        <v>0</v>
      </c>
      <c r="Q19" s="40">
        <f>782+428</f>
        <v>1210</v>
      </c>
      <c r="R19" s="41"/>
      <c r="S19" s="40">
        <v>4200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3000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36">
        <f t="shared" si="0"/>
        <v>0</v>
      </c>
      <c r="AJ19" s="93">
        <v>0.58599999999999997</v>
      </c>
      <c r="AK19" s="40" t="s">
        <v>2352</v>
      </c>
      <c r="AL19" s="40" t="s">
        <v>1839</v>
      </c>
      <c r="AM19"/>
      <c r="AN19" s="37" t="s">
        <v>5</v>
      </c>
      <c r="AO19" s="1">
        <v>0</v>
      </c>
      <c r="AP19" s="1">
        <f>+'DIC USD'!AP21</f>
        <v>51164.625</v>
      </c>
      <c r="AQ19" s="1">
        <f t="shared" si="4"/>
        <v>51164.625</v>
      </c>
      <c r="AR19" s="56">
        <f>+AQ19/AQ21</f>
        <v>1.3429602683978983E-2</v>
      </c>
    </row>
    <row r="20" spans="1:44" hidden="1" x14ac:dyDescent="0.3">
      <c r="A20" s="38">
        <v>1</v>
      </c>
      <c r="B20" s="38" t="s">
        <v>2264</v>
      </c>
      <c r="C20" s="50" t="s">
        <v>2265</v>
      </c>
      <c r="D20" s="39">
        <v>46006</v>
      </c>
      <c r="E20" s="38" t="s">
        <v>22</v>
      </c>
      <c r="F20" s="38" t="s">
        <v>45</v>
      </c>
      <c r="G20" s="40">
        <v>336</v>
      </c>
      <c r="H20" s="87">
        <f>10336-G20</f>
        <v>10000</v>
      </c>
      <c r="I20" s="40">
        <f t="shared" si="1"/>
        <v>1600</v>
      </c>
      <c r="J20" s="40">
        <f t="shared" si="2"/>
        <v>11936</v>
      </c>
      <c r="K20" s="40">
        <v>11936</v>
      </c>
      <c r="L20" s="40">
        <f t="shared" si="3"/>
        <v>0</v>
      </c>
      <c r="M20" s="38" t="s">
        <v>35</v>
      </c>
      <c r="N20" s="54"/>
      <c r="O20" s="36"/>
      <c r="P20" s="40">
        <v>0</v>
      </c>
      <c r="Q20" s="40">
        <v>336</v>
      </c>
      <c r="R20" s="41"/>
      <c r="S20" s="40">
        <v>6000</v>
      </c>
      <c r="T20" s="40">
        <v>0</v>
      </c>
      <c r="U20" s="40">
        <v>2200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1800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36">
        <f t="shared" si="0"/>
        <v>0</v>
      </c>
      <c r="AJ20" s="93">
        <v>0.44600000000000001</v>
      </c>
      <c r="AK20" s="40" t="s">
        <v>1842</v>
      </c>
      <c r="AL20" s="40" t="s">
        <v>1884</v>
      </c>
      <c r="AM20"/>
      <c r="AN20" s="58"/>
      <c r="AO20" s="1">
        <v>0</v>
      </c>
      <c r="AP20" s="1">
        <v>0</v>
      </c>
      <c r="AQ20" s="1">
        <f t="shared" si="4"/>
        <v>0</v>
      </c>
      <c r="AR20" s="56">
        <f>+AQ20/AQ21</f>
        <v>0</v>
      </c>
    </row>
    <row r="21" spans="1:44" hidden="1" x14ac:dyDescent="0.3">
      <c r="A21" s="38">
        <v>2</v>
      </c>
      <c r="B21" s="38" t="s">
        <v>2266</v>
      </c>
      <c r="C21" s="50" t="s">
        <v>2267</v>
      </c>
      <c r="D21" s="39">
        <v>46006</v>
      </c>
      <c r="E21" s="38" t="s">
        <v>22</v>
      </c>
      <c r="F21" s="38" t="s">
        <v>45</v>
      </c>
      <c r="G21" s="40">
        <v>336</v>
      </c>
      <c r="H21" s="87">
        <v>4200</v>
      </c>
      <c r="I21" s="40">
        <f t="shared" si="1"/>
        <v>672</v>
      </c>
      <c r="J21" s="40">
        <f t="shared" si="2"/>
        <v>5208</v>
      </c>
      <c r="K21" s="40">
        <v>5208</v>
      </c>
      <c r="L21" s="40">
        <f t="shared" si="3"/>
        <v>0</v>
      </c>
      <c r="M21" s="38" t="s">
        <v>35</v>
      </c>
      <c r="N21" s="54"/>
      <c r="O21" s="36"/>
      <c r="P21" s="40">
        <v>0</v>
      </c>
      <c r="Q21" s="40">
        <v>336</v>
      </c>
      <c r="R21" s="41"/>
      <c r="S21" s="40">
        <v>4200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36">
        <f t="shared" si="0"/>
        <v>0</v>
      </c>
      <c r="AJ21" s="93">
        <v>0.61899999999999999</v>
      </c>
      <c r="AK21" s="40" t="s">
        <v>1842</v>
      </c>
      <c r="AL21" s="40" t="s">
        <v>1839</v>
      </c>
      <c r="AM21"/>
      <c r="AN21" s="37"/>
      <c r="AO21" s="45">
        <f>+SUM(AO2:AO20)</f>
        <v>3049732.85</v>
      </c>
      <c r="AP21" s="45">
        <f t="shared" ref="AP21:AQ21" si="5">+SUM(AP2:AP20)</f>
        <v>760106.22000000009</v>
      </c>
      <c r="AQ21" s="45">
        <f t="shared" si="5"/>
        <v>3809839.0700000003</v>
      </c>
      <c r="AR21" s="57">
        <f>+SUM(AR2:AR20)</f>
        <v>0.99999999999999989</v>
      </c>
    </row>
    <row r="22" spans="1:44" hidden="1" x14ac:dyDescent="0.3">
      <c r="A22" s="38">
        <v>2</v>
      </c>
      <c r="B22" s="95" t="s">
        <v>2268</v>
      </c>
      <c r="C22" s="50" t="s">
        <v>2269</v>
      </c>
      <c r="D22" s="39">
        <v>46006</v>
      </c>
      <c r="E22" s="38" t="s">
        <v>22</v>
      </c>
      <c r="F22" s="38" t="s">
        <v>45</v>
      </c>
      <c r="G22" s="40">
        <v>336</v>
      </c>
      <c r="H22" s="87">
        <v>4200</v>
      </c>
      <c r="I22" s="40">
        <f t="shared" si="1"/>
        <v>672</v>
      </c>
      <c r="J22" s="40">
        <f>SUM(G22:I22)</f>
        <v>5208</v>
      </c>
      <c r="K22" s="40">
        <v>5208</v>
      </c>
      <c r="L22" s="40">
        <f t="shared" si="3"/>
        <v>0</v>
      </c>
      <c r="M22" s="38" t="s">
        <v>35</v>
      </c>
      <c r="N22" s="54"/>
      <c r="O22" s="36"/>
      <c r="P22" s="40">
        <v>0</v>
      </c>
      <c r="Q22" s="40">
        <v>336</v>
      </c>
      <c r="R22" s="41"/>
      <c r="S22" s="40">
        <v>4200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36">
        <f t="shared" si="0"/>
        <v>0</v>
      </c>
      <c r="AJ22" s="93">
        <v>0.61899999999999999</v>
      </c>
      <c r="AK22" s="40" t="s">
        <v>1842</v>
      </c>
      <c r="AL22" s="40" t="s">
        <v>1839</v>
      </c>
      <c r="AM22"/>
      <c r="AO22" s="36"/>
      <c r="AP22" s="36"/>
      <c r="AQ22" s="1"/>
    </row>
    <row r="23" spans="1:44" hidden="1" x14ac:dyDescent="0.3">
      <c r="A23" s="38">
        <v>2</v>
      </c>
      <c r="B23" s="38" t="s">
        <v>2270</v>
      </c>
      <c r="C23" s="38" t="s">
        <v>2271</v>
      </c>
      <c r="D23" s="39">
        <v>46006</v>
      </c>
      <c r="E23" s="38" t="s">
        <v>22</v>
      </c>
      <c r="F23" s="38" t="s">
        <v>45</v>
      </c>
      <c r="G23" s="40">
        <v>336</v>
      </c>
      <c r="H23" s="87">
        <v>4200</v>
      </c>
      <c r="I23" s="40">
        <f t="shared" si="1"/>
        <v>672</v>
      </c>
      <c r="J23" s="40">
        <f t="shared" si="2"/>
        <v>5208</v>
      </c>
      <c r="K23" s="40">
        <v>5208</v>
      </c>
      <c r="L23" s="40">
        <f t="shared" si="3"/>
        <v>0</v>
      </c>
      <c r="M23" s="38" t="s">
        <v>35</v>
      </c>
      <c r="N23" s="54"/>
      <c r="O23" s="36"/>
      <c r="P23" s="40">
        <v>0</v>
      </c>
      <c r="Q23" s="40">
        <v>336</v>
      </c>
      <c r="R23" s="41"/>
      <c r="S23" s="40">
        <v>4200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36">
        <f t="shared" si="0"/>
        <v>0</v>
      </c>
      <c r="AJ23" s="93">
        <v>0.61899999999999999</v>
      </c>
      <c r="AK23" s="40" t="s">
        <v>1842</v>
      </c>
      <c r="AL23" s="40" t="s">
        <v>1839</v>
      </c>
      <c r="AM23"/>
      <c r="AN23" s="37"/>
      <c r="AP23" s="1"/>
      <c r="AQ23" s="1"/>
    </row>
    <row r="24" spans="1:44" hidden="1" x14ac:dyDescent="0.3">
      <c r="A24" s="38">
        <v>2</v>
      </c>
      <c r="B24" s="38" t="s">
        <v>2272</v>
      </c>
      <c r="C24" s="38" t="s">
        <v>2273</v>
      </c>
      <c r="D24" s="39">
        <v>46007</v>
      </c>
      <c r="E24" s="38" t="s">
        <v>61</v>
      </c>
      <c r="F24" s="38" t="s">
        <v>156</v>
      </c>
      <c r="G24" s="40">
        <v>0</v>
      </c>
      <c r="H24" s="87">
        <v>21000</v>
      </c>
      <c r="I24" s="40">
        <f t="shared" si="1"/>
        <v>3360</v>
      </c>
      <c r="J24" s="40">
        <f t="shared" si="2"/>
        <v>24360</v>
      </c>
      <c r="K24" s="40">
        <v>24360</v>
      </c>
      <c r="L24" s="40">
        <f t="shared" si="3"/>
        <v>0</v>
      </c>
      <c r="M24" s="38" t="s">
        <v>35</v>
      </c>
      <c r="N24" s="54"/>
      <c r="O24" s="36"/>
      <c r="P24" s="40">
        <v>0</v>
      </c>
      <c r="Q24" s="40">
        <v>0</v>
      </c>
      <c r="R24" s="41"/>
      <c r="S24" s="40">
        <v>0</v>
      </c>
      <c r="T24" s="40">
        <v>0</v>
      </c>
      <c r="U24" s="40">
        <v>0</v>
      </c>
      <c r="V24" s="40">
        <v>0</v>
      </c>
      <c r="W24" s="40">
        <v>21000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36">
        <f t="shared" si="0"/>
        <v>0</v>
      </c>
      <c r="AJ24" s="93">
        <v>0.27100000000000002</v>
      </c>
      <c r="AK24" s="40" t="s">
        <v>1842</v>
      </c>
      <c r="AL24" s="40" t="s">
        <v>1839</v>
      </c>
      <c r="AM24"/>
      <c r="AN24" s="37"/>
      <c r="AP24" s="1"/>
      <c r="AQ24" s="1"/>
    </row>
    <row r="25" spans="1:44" hidden="1" x14ac:dyDescent="0.3">
      <c r="A25" s="38">
        <v>2</v>
      </c>
      <c r="B25" s="38" t="s">
        <v>2274</v>
      </c>
      <c r="C25" s="38" t="s">
        <v>2275</v>
      </c>
      <c r="D25" s="39">
        <v>46007</v>
      </c>
      <c r="E25" s="38" t="s">
        <v>198</v>
      </c>
      <c r="F25" s="38" t="s">
        <v>200</v>
      </c>
      <c r="G25" s="40">
        <v>0</v>
      </c>
      <c r="H25" s="87">
        <v>22000</v>
      </c>
      <c r="I25" s="40">
        <f t="shared" si="1"/>
        <v>3520</v>
      </c>
      <c r="J25" s="40">
        <f t="shared" si="2"/>
        <v>25520</v>
      </c>
      <c r="K25" s="40">
        <v>25520</v>
      </c>
      <c r="L25" s="40">
        <f t="shared" si="3"/>
        <v>0</v>
      </c>
      <c r="M25" s="38" t="s">
        <v>35</v>
      </c>
      <c r="N25" s="54"/>
      <c r="O25" s="36"/>
      <c r="P25" s="40">
        <v>0</v>
      </c>
      <c r="Q25" s="40">
        <v>0</v>
      </c>
      <c r="R25" s="41"/>
      <c r="S25" s="40">
        <v>0</v>
      </c>
      <c r="T25" s="40">
        <v>0</v>
      </c>
      <c r="U25" s="40">
        <v>0</v>
      </c>
      <c r="V25" s="40">
        <v>0</v>
      </c>
      <c r="W25" s="40">
        <v>22000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6">
        <f t="shared" si="0"/>
        <v>0</v>
      </c>
      <c r="AJ25" s="93">
        <v>0.46200000000000002</v>
      </c>
      <c r="AK25" s="40" t="s">
        <v>1842</v>
      </c>
      <c r="AL25" s="40" t="s">
        <v>1839</v>
      </c>
      <c r="AM25"/>
      <c r="AN25" s="37"/>
      <c r="AO25" s="53"/>
      <c r="AP25" s="1"/>
      <c r="AQ25" s="1"/>
    </row>
    <row r="26" spans="1:44" x14ac:dyDescent="0.3">
      <c r="A26" s="38">
        <v>2</v>
      </c>
      <c r="B26" s="38" t="s">
        <v>2276</v>
      </c>
      <c r="C26" s="38" t="s">
        <v>2277</v>
      </c>
      <c r="D26" s="39">
        <v>46007</v>
      </c>
      <c r="E26" s="38" t="s">
        <v>53</v>
      </c>
      <c r="F26" s="38" t="s">
        <v>199</v>
      </c>
      <c r="G26" s="40">
        <v>336</v>
      </c>
      <c r="H26" s="87">
        <v>22200</v>
      </c>
      <c r="I26" s="40">
        <f t="shared" si="1"/>
        <v>3552</v>
      </c>
      <c r="J26" s="40">
        <f t="shared" si="2"/>
        <v>26088</v>
      </c>
      <c r="K26" s="40">
        <v>26088</v>
      </c>
      <c r="L26" s="40">
        <f t="shared" si="3"/>
        <v>0</v>
      </c>
      <c r="M26" s="38" t="s">
        <v>35</v>
      </c>
      <c r="N26" s="54"/>
      <c r="O26" s="36"/>
      <c r="P26" s="40">
        <v>0</v>
      </c>
      <c r="Q26" s="40">
        <v>336</v>
      </c>
      <c r="R26" s="41"/>
      <c r="S26" s="40">
        <v>22200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36">
        <f t="shared" si="0"/>
        <v>0</v>
      </c>
      <c r="AJ26" s="93">
        <v>0.69399999999999995</v>
      </c>
      <c r="AK26" s="40" t="s">
        <v>2056</v>
      </c>
      <c r="AL26" s="40" t="s">
        <v>1839</v>
      </c>
      <c r="AM26"/>
      <c r="AN26" s="37"/>
      <c r="AP26" s="1"/>
      <c r="AQ26" s="1"/>
    </row>
    <row r="27" spans="1:44" hidden="1" x14ac:dyDescent="0.3">
      <c r="A27" s="38">
        <v>2</v>
      </c>
      <c r="B27" s="38" t="s">
        <v>2278</v>
      </c>
      <c r="C27" s="38" t="s">
        <v>2279</v>
      </c>
      <c r="D27" s="39">
        <v>46007</v>
      </c>
      <c r="E27" s="38" t="s">
        <v>22</v>
      </c>
      <c r="F27" s="38" t="s">
        <v>45</v>
      </c>
      <c r="G27" s="40">
        <v>58927</v>
      </c>
      <c r="H27" s="87">
        <f>14000+4500</f>
        <v>18500</v>
      </c>
      <c r="I27" s="40">
        <f t="shared" si="1"/>
        <v>2960</v>
      </c>
      <c r="J27" s="40">
        <f t="shared" si="2"/>
        <v>80387</v>
      </c>
      <c r="K27" s="40">
        <v>80522</v>
      </c>
      <c r="L27" s="40">
        <f t="shared" si="3"/>
        <v>-135</v>
      </c>
      <c r="M27" s="38" t="s">
        <v>35</v>
      </c>
      <c r="N27" s="54"/>
      <c r="O27" s="36"/>
      <c r="P27" s="40">
        <v>0</v>
      </c>
      <c r="Q27" s="40">
        <v>58927</v>
      </c>
      <c r="R27" s="41"/>
      <c r="S27" s="40">
        <f>14000+4500</f>
        <v>18500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36">
        <f t="shared" si="0"/>
        <v>0</v>
      </c>
      <c r="AJ27" s="93">
        <v>0.52400000000000002</v>
      </c>
      <c r="AK27" s="40" t="s">
        <v>1842</v>
      </c>
      <c r="AL27" s="40" t="s">
        <v>1839</v>
      </c>
      <c r="AM27"/>
      <c r="AN27" s="37"/>
      <c r="AP27" s="1"/>
      <c r="AQ27" s="1"/>
    </row>
    <row r="28" spans="1:44" hidden="1" x14ac:dyDescent="0.3">
      <c r="A28" s="38">
        <v>1</v>
      </c>
      <c r="B28" s="38" t="s">
        <v>2280</v>
      </c>
      <c r="C28" s="38" t="s">
        <v>2281</v>
      </c>
      <c r="D28" s="39">
        <v>46007</v>
      </c>
      <c r="E28" s="38" t="s">
        <v>42</v>
      </c>
      <c r="F28" s="38" t="s">
        <v>1587</v>
      </c>
      <c r="G28" s="40">
        <v>11517</v>
      </c>
      <c r="H28" s="88">
        <f>23058.85-11517</f>
        <v>11541.849999999999</v>
      </c>
      <c r="I28" s="40">
        <f t="shared" si="1"/>
        <v>1846.6959999999999</v>
      </c>
      <c r="J28" s="40">
        <f t="shared" si="2"/>
        <v>24905.545999999998</v>
      </c>
      <c r="K28" s="40">
        <v>24905.55</v>
      </c>
      <c r="L28" s="40">
        <f t="shared" si="3"/>
        <v>-4.0000000008149073E-3</v>
      </c>
      <c r="M28" s="38" t="s">
        <v>35</v>
      </c>
      <c r="N28" s="54"/>
      <c r="O28" s="36"/>
      <c r="P28" s="40">
        <v>0</v>
      </c>
      <c r="Q28" s="40">
        <v>11517</v>
      </c>
      <c r="R28" s="41"/>
      <c r="S28" s="40">
        <v>6800</v>
      </c>
      <c r="T28" s="40">
        <v>0</v>
      </c>
      <c r="U28" s="40">
        <v>3738.81</v>
      </c>
      <c r="V28" s="40">
        <v>1003.04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36">
        <f t="shared" si="0"/>
        <v>0</v>
      </c>
      <c r="AJ28" s="93">
        <v>0.41099999999999998</v>
      </c>
      <c r="AK28" s="40" t="s">
        <v>1857</v>
      </c>
      <c r="AL28" s="40" t="s">
        <v>1884</v>
      </c>
      <c r="AM28"/>
      <c r="AN28" s="37"/>
      <c r="AP28" s="1"/>
      <c r="AQ28" s="1"/>
    </row>
    <row r="29" spans="1:44" hidden="1" x14ac:dyDescent="0.3">
      <c r="A29" s="38">
        <v>1</v>
      </c>
      <c r="B29" s="38" t="s">
        <v>2282</v>
      </c>
      <c r="C29" s="38" t="s">
        <v>2283</v>
      </c>
      <c r="D29" s="39">
        <v>46008</v>
      </c>
      <c r="E29" s="38" t="s">
        <v>40</v>
      </c>
      <c r="F29" s="38" t="s">
        <v>41</v>
      </c>
      <c r="G29" s="40">
        <v>0</v>
      </c>
      <c r="H29" s="87">
        <v>31571.54</v>
      </c>
      <c r="I29" s="40">
        <f t="shared" si="1"/>
        <v>5051.4463999999998</v>
      </c>
      <c r="J29" s="40">
        <f t="shared" si="2"/>
        <v>36622.986400000002</v>
      </c>
      <c r="K29" s="40">
        <v>0</v>
      </c>
      <c r="L29" s="40">
        <f t="shared" si="3"/>
        <v>36622.986400000002</v>
      </c>
      <c r="M29" s="38" t="s">
        <v>35</v>
      </c>
      <c r="N29" s="54"/>
      <c r="O29" s="36"/>
      <c r="P29" s="40">
        <v>0</v>
      </c>
      <c r="Q29" s="40">
        <v>0</v>
      </c>
      <c r="R29" s="41"/>
      <c r="S29" s="40">
        <v>3671</v>
      </c>
      <c r="T29" s="40">
        <v>3737.5</v>
      </c>
      <c r="U29" s="40">
        <v>8738.09</v>
      </c>
      <c r="V29" s="40">
        <v>3949.95</v>
      </c>
      <c r="W29" s="40">
        <v>11475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36">
        <f t="shared" si="0"/>
        <v>0</v>
      </c>
      <c r="AJ29" s="93">
        <v>0.21</v>
      </c>
      <c r="AK29" s="40" t="s">
        <v>1857</v>
      </c>
      <c r="AL29" s="40" t="s">
        <v>1884</v>
      </c>
      <c r="AM29"/>
      <c r="AN29" s="37"/>
      <c r="AP29" s="1"/>
      <c r="AQ29" s="1"/>
    </row>
    <row r="30" spans="1:44" hidden="1" x14ac:dyDescent="0.3">
      <c r="A30" s="38">
        <v>1</v>
      </c>
      <c r="B30" s="38" t="s">
        <v>2284</v>
      </c>
      <c r="C30" s="38" t="s">
        <v>2285</v>
      </c>
      <c r="D30" s="39">
        <v>46008</v>
      </c>
      <c r="E30" s="38" t="s">
        <v>40</v>
      </c>
      <c r="F30" s="38" t="s">
        <v>41</v>
      </c>
      <c r="G30" s="40">
        <v>0</v>
      </c>
      <c r="H30" s="87">
        <v>73254.009999999995</v>
      </c>
      <c r="I30" s="40">
        <f t="shared" si="1"/>
        <v>11720.641599999999</v>
      </c>
      <c r="J30" s="40">
        <f t="shared" si="2"/>
        <v>84974.651599999997</v>
      </c>
      <c r="K30" s="40">
        <v>0</v>
      </c>
      <c r="L30" s="40">
        <f t="shared" si="3"/>
        <v>84974.651599999997</v>
      </c>
      <c r="M30" s="38" t="s">
        <v>35</v>
      </c>
      <c r="N30" s="54"/>
      <c r="O30" s="36"/>
      <c r="P30" s="40">
        <v>0</v>
      </c>
      <c r="Q30" s="40">
        <v>0</v>
      </c>
      <c r="R30" s="41"/>
      <c r="S30" s="40">
        <v>5504.01</v>
      </c>
      <c r="T30" s="40">
        <v>0</v>
      </c>
      <c r="U30" s="40">
        <v>25750</v>
      </c>
      <c r="V30" s="40">
        <v>0</v>
      </c>
      <c r="W30" s="40">
        <v>42000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36">
        <f t="shared" si="0"/>
        <v>0</v>
      </c>
      <c r="AJ30" s="93">
        <v>0.20200000000000001</v>
      </c>
      <c r="AK30" s="40" t="s">
        <v>1857</v>
      </c>
      <c r="AL30" s="40" t="s">
        <v>1844</v>
      </c>
      <c r="AM30"/>
      <c r="AN30" s="37"/>
      <c r="AP30" s="1"/>
      <c r="AQ30" s="1"/>
    </row>
    <row r="31" spans="1:44" hidden="1" x14ac:dyDescent="0.3">
      <c r="A31" s="38">
        <v>2</v>
      </c>
      <c r="B31" s="38" t="s">
        <v>2295</v>
      </c>
      <c r="C31" s="38" t="s">
        <v>2296</v>
      </c>
      <c r="D31" s="39">
        <v>46008</v>
      </c>
      <c r="E31" s="38" t="s">
        <v>40</v>
      </c>
      <c r="F31" s="38" t="s">
        <v>41</v>
      </c>
      <c r="G31" s="40">
        <v>0</v>
      </c>
      <c r="H31" s="87">
        <f>4500+37500</f>
        <v>42000</v>
      </c>
      <c r="I31" s="40">
        <f t="shared" si="1"/>
        <v>6720</v>
      </c>
      <c r="J31" s="40">
        <f t="shared" si="2"/>
        <v>48720</v>
      </c>
      <c r="K31" s="40">
        <v>0</v>
      </c>
      <c r="L31" s="40">
        <f t="shared" si="3"/>
        <v>48720</v>
      </c>
      <c r="M31" s="38" t="s">
        <v>35</v>
      </c>
      <c r="N31" s="54"/>
      <c r="O31" s="36"/>
      <c r="P31" s="40">
        <v>0</v>
      </c>
      <c r="Q31" s="40">
        <v>0</v>
      </c>
      <c r="R31" s="41"/>
      <c r="S31" s="40">
        <v>4500</v>
      </c>
      <c r="T31" s="40">
        <v>0</v>
      </c>
      <c r="U31" s="40">
        <v>0</v>
      </c>
      <c r="V31" s="40">
        <v>0</v>
      </c>
      <c r="W31" s="40">
        <v>37500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36">
        <f t="shared" ref="AI31:AI60" si="6">+SUM(S31:AH31)-H31</f>
        <v>0</v>
      </c>
      <c r="AJ31" s="93">
        <v>0.41</v>
      </c>
      <c r="AK31" s="40" t="s">
        <v>1859</v>
      </c>
      <c r="AL31" s="40" t="s">
        <v>1839</v>
      </c>
      <c r="AM31"/>
      <c r="AN31" s="37"/>
      <c r="AP31" s="1"/>
      <c r="AQ31" s="1"/>
    </row>
    <row r="32" spans="1:44" hidden="1" x14ac:dyDescent="0.3">
      <c r="A32" s="38">
        <v>2</v>
      </c>
      <c r="B32" s="38" t="s">
        <v>2297</v>
      </c>
      <c r="C32" s="38" t="s">
        <v>2298</v>
      </c>
      <c r="D32" s="39">
        <v>46008</v>
      </c>
      <c r="E32" s="38" t="s">
        <v>22</v>
      </c>
      <c r="F32" s="38" t="s">
        <v>45</v>
      </c>
      <c r="G32" s="40">
        <v>336</v>
      </c>
      <c r="H32" s="87">
        <f>4536-G32</f>
        <v>4200</v>
      </c>
      <c r="I32" s="40">
        <f t="shared" si="1"/>
        <v>672</v>
      </c>
      <c r="J32" s="40">
        <f t="shared" si="2"/>
        <v>5208</v>
      </c>
      <c r="K32" s="40">
        <v>5208</v>
      </c>
      <c r="L32" s="40">
        <f t="shared" si="3"/>
        <v>0</v>
      </c>
      <c r="M32" s="38" t="s">
        <v>35</v>
      </c>
      <c r="N32" s="54"/>
      <c r="O32" s="36"/>
      <c r="P32" s="40">
        <v>0</v>
      </c>
      <c r="Q32" s="40">
        <v>336</v>
      </c>
      <c r="R32" s="41"/>
      <c r="S32" s="40">
        <v>4200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36">
        <f t="shared" si="6"/>
        <v>0</v>
      </c>
      <c r="AJ32" s="93">
        <v>0.61899999999999999</v>
      </c>
      <c r="AK32" s="40" t="s">
        <v>1842</v>
      </c>
      <c r="AL32" s="40" t="s">
        <v>1839</v>
      </c>
      <c r="AM32"/>
      <c r="AN32" s="37"/>
      <c r="AP32" s="1"/>
      <c r="AQ32" s="1"/>
    </row>
    <row r="33" spans="1:43" hidden="1" x14ac:dyDescent="0.3">
      <c r="A33" s="38">
        <v>2</v>
      </c>
      <c r="B33" s="38" t="s">
        <v>2299</v>
      </c>
      <c r="C33" s="38" t="s">
        <v>2300</v>
      </c>
      <c r="D33" s="39">
        <v>46008</v>
      </c>
      <c r="E33" s="38" t="s">
        <v>22</v>
      </c>
      <c r="F33" s="38" t="s">
        <v>45</v>
      </c>
      <c r="G33" s="40">
        <v>0</v>
      </c>
      <c r="H33" s="87">
        <v>4200</v>
      </c>
      <c r="I33" s="40">
        <f t="shared" si="1"/>
        <v>672</v>
      </c>
      <c r="J33" s="40">
        <f t="shared" si="2"/>
        <v>4872</v>
      </c>
      <c r="K33" s="40">
        <v>4872</v>
      </c>
      <c r="L33" s="40">
        <f t="shared" si="3"/>
        <v>0</v>
      </c>
      <c r="M33" s="38" t="s">
        <v>35</v>
      </c>
      <c r="N33" s="54"/>
      <c r="O33" s="36"/>
      <c r="P33" s="40">
        <v>0</v>
      </c>
      <c r="Q33" s="40">
        <v>0</v>
      </c>
      <c r="R33" s="41"/>
      <c r="S33" s="40">
        <v>4200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36">
        <f t="shared" si="6"/>
        <v>0</v>
      </c>
      <c r="AJ33" s="93">
        <v>0.61899999999999999</v>
      </c>
      <c r="AK33" s="40" t="s">
        <v>1842</v>
      </c>
      <c r="AL33" s="40" t="s">
        <v>1839</v>
      </c>
      <c r="AM33"/>
      <c r="AN33" s="37"/>
      <c r="AP33" s="1"/>
      <c r="AQ33" s="1"/>
    </row>
    <row r="34" spans="1:43" hidden="1" x14ac:dyDescent="0.3">
      <c r="A34" s="38">
        <v>2</v>
      </c>
      <c r="B34" s="38" t="s">
        <v>2305</v>
      </c>
      <c r="C34" s="38" t="s">
        <v>2306</v>
      </c>
      <c r="D34" s="39">
        <v>46008</v>
      </c>
      <c r="E34" s="38" t="s">
        <v>22</v>
      </c>
      <c r="F34" s="38" t="s">
        <v>45</v>
      </c>
      <c r="G34" s="40">
        <v>336</v>
      </c>
      <c r="H34" s="87">
        <v>4200</v>
      </c>
      <c r="I34" s="40">
        <f t="shared" si="1"/>
        <v>672</v>
      </c>
      <c r="J34" s="40">
        <f t="shared" si="2"/>
        <v>5208</v>
      </c>
      <c r="K34" s="40">
        <v>5208</v>
      </c>
      <c r="L34" s="40">
        <f t="shared" si="3"/>
        <v>0</v>
      </c>
      <c r="M34" s="38" t="s">
        <v>35</v>
      </c>
      <c r="N34" s="54"/>
      <c r="O34" s="36"/>
      <c r="P34" s="40">
        <v>0</v>
      </c>
      <c r="Q34" s="40">
        <v>336</v>
      </c>
      <c r="R34" s="41"/>
      <c r="S34" s="40">
        <v>4200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6">
        <f t="shared" si="6"/>
        <v>0</v>
      </c>
      <c r="AJ34" s="93">
        <v>0.61899999999999999</v>
      </c>
      <c r="AK34" s="40" t="s">
        <v>1842</v>
      </c>
      <c r="AL34" s="40" t="s">
        <v>1839</v>
      </c>
      <c r="AM34"/>
      <c r="AN34" s="37"/>
      <c r="AP34" s="1"/>
      <c r="AQ34" s="1"/>
    </row>
    <row r="35" spans="1:43" x14ac:dyDescent="0.3">
      <c r="A35" s="38">
        <v>1</v>
      </c>
      <c r="B35" s="38" t="s">
        <v>2307</v>
      </c>
      <c r="C35" s="50" t="s">
        <v>2308</v>
      </c>
      <c r="D35" s="39">
        <v>46008</v>
      </c>
      <c r="E35" s="38" t="s">
        <v>53</v>
      </c>
      <c r="F35" s="38" t="s">
        <v>199</v>
      </c>
      <c r="G35" s="40">
        <v>0</v>
      </c>
      <c r="H35" s="87">
        <v>23181.32</v>
      </c>
      <c r="I35" s="40">
        <f t="shared" si="1"/>
        <v>3709.0111999999999</v>
      </c>
      <c r="J35" s="40">
        <f t="shared" si="2"/>
        <v>26890.331200000001</v>
      </c>
      <c r="K35" s="40">
        <v>54752</v>
      </c>
      <c r="L35" s="40">
        <f t="shared" si="3"/>
        <v>-27861.668799999999</v>
      </c>
      <c r="M35" s="38" t="s">
        <v>35</v>
      </c>
      <c r="N35" s="54"/>
      <c r="O35" s="36"/>
      <c r="P35" s="40">
        <v>0</v>
      </c>
      <c r="Q35" s="40">
        <v>0</v>
      </c>
      <c r="R35" s="41"/>
      <c r="S35" s="40">
        <v>7200</v>
      </c>
      <c r="T35" s="40">
        <v>0</v>
      </c>
      <c r="U35" s="40">
        <v>15981.32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36">
        <f t="shared" si="6"/>
        <v>0</v>
      </c>
      <c r="AJ35" s="93">
        <v>0.17199999999999999</v>
      </c>
      <c r="AK35" s="40" t="s">
        <v>2056</v>
      </c>
      <c r="AL35" s="40" t="s">
        <v>1884</v>
      </c>
      <c r="AM35"/>
      <c r="AN35" s="37"/>
      <c r="AP35" s="1"/>
      <c r="AQ35" s="1"/>
    </row>
    <row r="36" spans="1:43" x14ac:dyDescent="0.3">
      <c r="A36" s="38">
        <v>1</v>
      </c>
      <c r="B36" s="38" t="s">
        <v>2309</v>
      </c>
      <c r="C36" s="50" t="s">
        <v>2310</v>
      </c>
      <c r="D36" s="39">
        <v>46008</v>
      </c>
      <c r="E36" s="38" t="s">
        <v>53</v>
      </c>
      <c r="F36" s="38" t="s">
        <v>199</v>
      </c>
      <c r="G36" s="40">
        <v>0</v>
      </c>
      <c r="H36" s="87">
        <v>24123.82</v>
      </c>
      <c r="I36" s="40">
        <f t="shared" si="1"/>
        <v>3859.8112000000001</v>
      </c>
      <c r="J36" s="40">
        <f t="shared" si="2"/>
        <v>27983.6312</v>
      </c>
      <c r="K36" s="40">
        <v>54752</v>
      </c>
      <c r="L36" s="40">
        <f t="shared" si="3"/>
        <v>-26768.3688</v>
      </c>
      <c r="M36" s="38" t="s">
        <v>35</v>
      </c>
      <c r="N36" s="54"/>
      <c r="O36" s="36"/>
      <c r="P36" s="40">
        <v>0</v>
      </c>
      <c r="Q36" s="40">
        <v>0</v>
      </c>
      <c r="R36" s="41"/>
      <c r="S36" s="40">
        <v>7200</v>
      </c>
      <c r="T36" s="40">
        <v>0</v>
      </c>
      <c r="U36" s="40">
        <v>16923.82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36">
        <f t="shared" si="6"/>
        <v>0</v>
      </c>
      <c r="AJ36" s="93">
        <v>0.187</v>
      </c>
      <c r="AK36" s="40" t="s">
        <v>2056</v>
      </c>
      <c r="AL36" s="40" t="s">
        <v>1884</v>
      </c>
      <c r="AM36"/>
      <c r="AN36" s="37"/>
      <c r="AP36" s="1"/>
      <c r="AQ36" s="1"/>
    </row>
    <row r="37" spans="1:43" x14ac:dyDescent="0.3">
      <c r="A37" s="38">
        <v>1</v>
      </c>
      <c r="B37" s="38" t="s">
        <v>2311</v>
      </c>
      <c r="C37" s="50" t="s">
        <v>2312</v>
      </c>
      <c r="D37" s="39">
        <v>46008</v>
      </c>
      <c r="E37" s="38" t="s">
        <v>53</v>
      </c>
      <c r="F37" s="38" t="s">
        <v>199</v>
      </c>
      <c r="G37" s="40">
        <v>0</v>
      </c>
      <c r="H37" s="87">
        <f>7200+26862.75</f>
        <v>34062.75</v>
      </c>
      <c r="I37" s="40">
        <f t="shared" si="1"/>
        <v>5450.04</v>
      </c>
      <c r="J37" s="40">
        <f t="shared" si="2"/>
        <v>39512.79</v>
      </c>
      <c r="K37" s="40">
        <v>54752</v>
      </c>
      <c r="L37" s="40">
        <f t="shared" si="3"/>
        <v>-15239.21</v>
      </c>
      <c r="M37" s="38" t="s">
        <v>35</v>
      </c>
      <c r="N37" s="54"/>
      <c r="O37" s="36"/>
      <c r="P37" s="40">
        <v>0</v>
      </c>
      <c r="Q37" s="40">
        <v>0</v>
      </c>
      <c r="R37" s="41"/>
      <c r="S37" s="40">
        <v>7200</v>
      </c>
      <c r="T37" s="40">
        <v>0</v>
      </c>
      <c r="U37" s="40">
        <v>26862.75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36">
        <f t="shared" si="6"/>
        <v>0</v>
      </c>
      <c r="AJ37" s="93">
        <v>0.17</v>
      </c>
      <c r="AK37" s="40" t="s">
        <v>2056</v>
      </c>
      <c r="AL37" s="40" t="s">
        <v>1884</v>
      </c>
      <c r="AM37"/>
      <c r="AN37" s="37"/>
      <c r="AP37" s="1"/>
      <c r="AQ37" s="1"/>
    </row>
    <row r="38" spans="1:43" x14ac:dyDescent="0.3">
      <c r="A38" s="38">
        <v>1</v>
      </c>
      <c r="B38" s="38" t="s">
        <v>2313</v>
      </c>
      <c r="C38" s="38" t="s">
        <v>2314</v>
      </c>
      <c r="D38" s="39">
        <v>46008</v>
      </c>
      <c r="E38" s="38" t="s">
        <v>53</v>
      </c>
      <c r="F38" s="38" t="s">
        <v>199</v>
      </c>
      <c r="G38" s="40">
        <v>0</v>
      </c>
      <c r="H38" s="87">
        <v>20627.97</v>
      </c>
      <c r="I38" s="40">
        <f t="shared" si="1"/>
        <v>3300.4752000000003</v>
      </c>
      <c r="J38" s="40">
        <f t="shared" si="2"/>
        <v>23928.445200000002</v>
      </c>
      <c r="K38" s="40">
        <v>54752</v>
      </c>
      <c r="L38" s="40">
        <f t="shared" si="3"/>
        <v>-30823.554799999998</v>
      </c>
      <c r="M38" s="38" t="s">
        <v>35</v>
      </c>
      <c r="N38" s="54"/>
      <c r="O38" s="36"/>
      <c r="P38" s="40">
        <v>0</v>
      </c>
      <c r="Q38" s="40">
        <v>0</v>
      </c>
      <c r="R38" s="41"/>
      <c r="S38" s="40">
        <v>7200</v>
      </c>
      <c r="T38" s="40">
        <v>0</v>
      </c>
      <c r="U38" s="40">
        <v>13427.97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36">
        <f t="shared" si="6"/>
        <v>0</v>
      </c>
      <c r="AJ38" s="93">
        <v>0.19600000000000001</v>
      </c>
      <c r="AK38" s="40" t="s">
        <v>2056</v>
      </c>
      <c r="AL38" s="40" t="s">
        <v>1884</v>
      </c>
      <c r="AM38"/>
      <c r="AN38" s="37"/>
      <c r="AP38" s="1"/>
      <c r="AQ38" s="1"/>
    </row>
    <row r="39" spans="1:43" hidden="1" x14ac:dyDescent="0.3">
      <c r="A39" s="38">
        <v>1</v>
      </c>
      <c r="B39" s="38" t="s">
        <v>2315</v>
      </c>
      <c r="C39" s="50" t="s">
        <v>2316</v>
      </c>
      <c r="D39" s="39">
        <v>46008</v>
      </c>
      <c r="E39" s="38" t="s">
        <v>22</v>
      </c>
      <c r="F39" s="38" t="s">
        <v>45</v>
      </c>
      <c r="G39" s="40">
        <v>336</v>
      </c>
      <c r="H39" s="87">
        <f>7718-336</f>
        <v>7382</v>
      </c>
      <c r="I39" s="40">
        <f t="shared" si="1"/>
        <v>1181.1200000000001</v>
      </c>
      <c r="J39" s="40">
        <f t="shared" si="2"/>
        <v>8899.1200000000008</v>
      </c>
      <c r="K39" s="40">
        <v>11936</v>
      </c>
      <c r="L39" s="40">
        <f t="shared" si="3"/>
        <v>-3036.8799999999992</v>
      </c>
      <c r="M39" s="38" t="s">
        <v>35</v>
      </c>
      <c r="N39" s="54"/>
      <c r="O39" s="36"/>
      <c r="P39" s="40">
        <v>0</v>
      </c>
      <c r="Q39" s="40">
        <v>336</v>
      </c>
      <c r="R39" s="41"/>
      <c r="S39" s="40">
        <v>6000</v>
      </c>
      <c r="T39" s="40">
        <v>0</v>
      </c>
      <c r="U39" s="40">
        <v>1382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36">
        <f t="shared" si="6"/>
        <v>0</v>
      </c>
      <c r="AJ39" s="93">
        <v>0.55300000000000005</v>
      </c>
      <c r="AK39" s="40" t="s">
        <v>1842</v>
      </c>
      <c r="AL39" s="40" t="s">
        <v>1884</v>
      </c>
      <c r="AM39"/>
      <c r="AN39" s="37"/>
      <c r="AP39" s="1"/>
      <c r="AQ39" s="1"/>
    </row>
    <row r="40" spans="1:43" hidden="1" x14ac:dyDescent="0.3">
      <c r="A40" s="38">
        <v>1</v>
      </c>
      <c r="B40" s="38" t="s">
        <v>2317</v>
      </c>
      <c r="C40" s="38" t="s">
        <v>2318</v>
      </c>
      <c r="D40" s="39">
        <v>46008</v>
      </c>
      <c r="E40" s="38" t="s">
        <v>22</v>
      </c>
      <c r="F40" s="38" t="s">
        <v>45</v>
      </c>
      <c r="G40" s="40">
        <v>336</v>
      </c>
      <c r="H40" s="88">
        <f>8317-G40</f>
        <v>7981</v>
      </c>
      <c r="I40" s="40">
        <f t="shared" si="1"/>
        <v>1276.96</v>
      </c>
      <c r="J40" s="40">
        <f t="shared" si="2"/>
        <v>9593.9599999999991</v>
      </c>
      <c r="K40" s="40">
        <v>11936</v>
      </c>
      <c r="L40" s="40">
        <f t="shared" si="3"/>
        <v>-2342.0400000000009</v>
      </c>
      <c r="M40" s="38" t="s">
        <v>35</v>
      </c>
      <c r="N40" s="54"/>
      <c r="O40" s="36"/>
      <c r="P40" s="40">
        <v>0</v>
      </c>
      <c r="Q40" s="40">
        <v>336</v>
      </c>
      <c r="R40" s="41"/>
      <c r="S40" s="40">
        <v>6000</v>
      </c>
      <c r="T40" s="40">
        <v>0</v>
      </c>
      <c r="U40" s="40">
        <v>1981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36">
        <f t="shared" si="6"/>
        <v>0</v>
      </c>
      <c r="AJ40" s="93">
        <v>0.53100000000000003</v>
      </c>
      <c r="AK40" s="40" t="s">
        <v>1842</v>
      </c>
      <c r="AL40" s="40" t="s">
        <v>1884</v>
      </c>
      <c r="AM40"/>
      <c r="AN40" s="37"/>
      <c r="AP40" s="1"/>
      <c r="AQ40" s="1"/>
    </row>
    <row r="41" spans="1:43" hidden="1" x14ac:dyDescent="0.3">
      <c r="A41" s="38">
        <v>1</v>
      </c>
      <c r="B41" s="38" t="s">
        <v>2319</v>
      </c>
      <c r="C41" s="38" t="s">
        <v>2320</v>
      </c>
      <c r="D41" s="39">
        <v>46008</v>
      </c>
      <c r="E41" s="38" t="s">
        <v>40</v>
      </c>
      <c r="F41" s="38" t="s">
        <v>41</v>
      </c>
      <c r="G41" s="40">
        <v>0</v>
      </c>
      <c r="H41" s="88">
        <v>116383.17</v>
      </c>
      <c r="I41" s="40">
        <f t="shared" si="1"/>
        <v>18621.307199999999</v>
      </c>
      <c r="J41" s="40">
        <f t="shared" si="2"/>
        <v>135004.47719999999</v>
      </c>
      <c r="K41" s="40">
        <v>0</v>
      </c>
      <c r="L41" s="40">
        <f t="shared" si="3"/>
        <v>135004.47719999999</v>
      </c>
      <c r="M41" s="38" t="s">
        <v>35</v>
      </c>
      <c r="N41" s="54"/>
      <c r="O41" s="36"/>
      <c r="P41" s="40">
        <v>0</v>
      </c>
      <c r="Q41" s="40">
        <v>0</v>
      </c>
      <c r="R41" s="41"/>
      <c r="S41" s="40">
        <v>5487.3</v>
      </c>
      <c r="T41" s="40">
        <v>0</v>
      </c>
      <c r="U41" s="40">
        <v>29072.04</v>
      </c>
      <c r="V41" s="40">
        <v>15823.83</v>
      </c>
      <c r="W41" s="40">
        <v>66000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36">
        <f t="shared" si="6"/>
        <v>0</v>
      </c>
      <c r="AJ41" s="93">
        <v>0.157</v>
      </c>
      <c r="AK41" s="40" t="s">
        <v>1857</v>
      </c>
      <c r="AL41" s="40" t="s">
        <v>1844</v>
      </c>
      <c r="AM41"/>
      <c r="AN41" s="37"/>
      <c r="AP41" s="1"/>
      <c r="AQ41" s="1"/>
    </row>
    <row r="42" spans="1:43" hidden="1" x14ac:dyDescent="0.3">
      <c r="A42" s="38">
        <v>1</v>
      </c>
      <c r="B42" s="38" t="s">
        <v>2323</v>
      </c>
      <c r="C42" s="38" t="s">
        <v>2324</v>
      </c>
      <c r="D42" s="39">
        <v>46009</v>
      </c>
      <c r="E42" s="38" t="s">
        <v>22</v>
      </c>
      <c r="F42" s="38" t="s">
        <v>45</v>
      </c>
      <c r="G42" s="40">
        <v>336</v>
      </c>
      <c r="H42" s="88">
        <f>10336-G42</f>
        <v>10000</v>
      </c>
      <c r="I42" s="40">
        <f t="shared" si="1"/>
        <v>1600</v>
      </c>
      <c r="J42" s="40">
        <f t="shared" si="2"/>
        <v>11936</v>
      </c>
      <c r="K42" s="40">
        <v>11936</v>
      </c>
      <c r="L42" s="40">
        <f t="shared" si="3"/>
        <v>0</v>
      </c>
      <c r="M42" s="38" t="s">
        <v>35</v>
      </c>
      <c r="N42" s="54"/>
      <c r="O42" s="36"/>
      <c r="P42" s="40">
        <v>0</v>
      </c>
      <c r="Q42" s="40">
        <v>336</v>
      </c>
      <c r="R42" s="41"/>
      <c r="S42" s="40">
        <v>6000</v>
      </c>
      <c r="T42" s="40">
        <v>0</v>
      </c>
      <c r="U42" s="40">
        <v>2200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1800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36">
        <f t="shared" si="6"/>
        <v>0</v>
      </c>
      <c r="AJ42" s="93">
        <v>0.434</v>
      </c>
      <c r="AK42" s="40" t="s">
        <v>1842</v>
      </c>
      <c r="AL42" s="40" t="s">
        <v>1884</v>
      </c>
      <c r="AM42"/>
      <c r="AN42" s="37"/>
      <c r="AP42" s="1"/>
      <c r="AQ42" s="1"/>
    </row>
    <row r="43" spans="1:43" x14ac:dyDescent="0.3">
      <c r="A43" s="38">
        <v>1</v>
      </c>
      <c r="B43" s="38" t="s">
        <v>2326</v>
      </c>
      <c r="C43" s="38" t="s">
        <v>2327</v>
      </c>
      <c r="D43" s="39">
        <v>46009</v>
      </c>
      <c r="E43" s="38" t="s">
        <v>53</v>
      </c>
      <c r="F43" s="38" t="s">
        <v>199</v>
      </c>
      <c r="G43" s="40">
        <v>781</v>
      </c>
      <c r="H43" s="87">
        <f>18940.36-781</f>
        <v>18159.36</v>
      </c>
      <c r="I43" s="40">
        <f t="shared" si="1"/>
        <v>2905.4976000000001</v>
      </c>
      <c r="J43" s="40">
        <f t="shared" si="2"/>
        <v>21845.857599999999</v>
      </c>
      <c r="K43" s="40">
        <v>36973</v>
      </c>
      <c r="L43" s="40">
        <f t="shared" si="3"/>
        <v>-15127.142400000001</v>
      </c>
      <c r="M43" s="38" t="s">
        <v>35</v>
      </c>
      <c r="N43" s="54"/>
      <c r="O43" s="36"/>
      <c r="P43" s="40">
        <v>0</v>
      </c>
      <c r="Q43" s="40">
        <v>781</v>
      </c>
      <c r="R43" s="41"/>
      <c r="S43" s="40">
        <v>7200</v>
      </c>
      <c r="T43" s="40">
        <v>608.91999999999996</v>
      </c>
      <c r="U43" s="40">
        <v>6350.44</v>
      </c>
      <c r="V43" s="40">
        <v>0</v>
      </c>
      <c r="W43" s="40">
        <v>4000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36">
        <f t="shared" si="6"/>
        <v>0</v>
      </c>
      <c r="AJ43" s="93">
        <v>0.41799999999999998</v>
      </c>
      <c r="AK43" s="40" t="s">
        <v>2056</v>
      </c>
      <c r="AL43" s="40" t="s">
        <v>1884</v>
      </c>
      <c r="AM43"/>
      <c r="AN43" s="37"/>
      <c r="AP43" s="1"/>
      <c r="AQ43" s="1"/>
    </row>
    <row r="44" spans="1:43" x14ac:dyDescent="0.3">
      <c r="A44" s="38">
        <v>1</v>
      </c>
      <c r="B44" s="38" t="s">
        <v>2328</v>
      </c>
      <c r="C44" s="38" t="s">
        <v>2329</v>
      </c>
      <c r="D44" s="39">
        <v>46009</v>
      </c>
      <c r="E44" s="38" t="s">
        <v>53</v>
      </c>
      <c r="F44" s="38" t="s">
        <v>199</v>
      </c>
      <c r="G44" s="40">
        <v>781</v>
      </c>
      <c r="H44" s="87">
        <f>23077.03-G44</f>
        <v>22296.03</v>
      </c>
      <c r="I44" s="40">
        <f t="shared" si="1"/>
        <v>3567.3647999999998</v>
      </c>
      <c r="J44" s="40">
        <f t="shared" si="2"/>
        <v>26644.394799999998</v>
      </c>
      <c r="K44" s="40">
        <v>55533</v>
      </c>
      <c r="L44" s="40">
        <f t="shared" si="3"/>
        <v>-28888.605200000002</v>
      </c>
      <c r="M44" s="38" t="s">
        <v>35</v>
      </c>
      <c r="N44" s="54"/>
      <c r="O44" s="36"/>
      <c r="P44" s="40">
        <v>0</v>
      </c>
      <c r="Q44" s="40">
        <v>781</v>
      </c>
      <c r="R44" s="41"/>
      <c r="S44" s="40">
        <v>7200</v>
      </c>
      <c r="T44" s="40">
        <v>0</v>
      </c>
      <c r="U44" s="40">
        <v>15096.03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36">
        <f t="shared" si="6"/>
        <v>0</v>
      </c>
      <c r="AJ44" s="93">
        <v>0.33900000000000002</v>
      </c>
      <c r="AK44" s="40" t="s">
        <v>2056</v>
      </c>
      <c r="AL44" s="40" t="s">
        <v>1884</v>
      </c>
      <c r="AM44"/>
      <c r="AN44" s="37"/>
      <c r="AP44" s="1"/>
      <c r="AQ44" s="1"/>
    </row>
    <row r="45" spans="1:43" x14ac:dyDescent="0.3">
      <c r="A45" s="38">
        <v>1</v>
      </c>
      <c r="B45" s="38" t="s">
        <v>2330</v>
      </c>
      <c r="C45" s="50" t="s">
        <v>2331</v>
      </c>
      <c r="D45" s="39">
        <v>46009</v>
      </c>
      <c r="E45" s="38" t="s">
        <v>53</v>
      </c>
      <c r="F45" s="38" t="s">
        <v>199</v>
      </c>
      <c r="G45" s="40">
        <v>781</v>
      </c>
      <c r="H45" s="87">
        <f>14807.99-781</f>
        <v>14026.99</v>
      </c>
      <c r="I45" s="40">
        <f t="shared" si="1"/>
        <v>2244.3184000000001</v>
      </c>
      <c r="J45" s="40">
        <f t="shared" si="2"/>
        <v>17052.308400000002</v>
      </c>
      <c r="K45" s="40">
        <v>23633</v>
      </c>
      <c r="L45" s="40">
        <f t="shared" si="3"/>
        <v>-6580.6915999999983</v>
      </c>
      <c r="M45" s="38" t="s">
        <v>35</v>
      </c>
      <c r="N45" s="54"/>
      <c r="O45" s="36"/>
      <c r="P45" s="40">
        <v>0</v>
      </c>
      <c r="Q45" s="40">
        <v>781</v>
      </c>
      <c r="R45" s="41"/>
      <c r="S45" s="40">
        <v>7200</v>
      </c>
      <c r="T45" s="40">
        <v>608.91999999999996</v>
      </c>
      <c r="U45" s="40">
        <v>2218.0700000000002</v>
      </c>
      <c r="V45" s="40">
        <v>0</v>
      </c>
      <c r="W45" s="40">
        <v>4000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36">
        <f t="shared" si="6"/>
        <v>0</v>
      </c>
      <c r="AJ45" s="93">
        <v>0.503</v>
      </c>
      <c r="AK45" s="40" t="s">
        <v>2056</v>
      </c>
      <c r="AL45" s="40" t="s">
        <v>1884</v>
      </c>
      <c r="AM45"/>
      <c r="AN45" s="37"/>
      <c r="AP45" s="1"/>
      <c r="AQ45" s="1"/>
    </row>
    <row r="46" spans="1:43" x14ac:dyDescent="0.3">
      <c r="A46" s="38">
        <v>1</v>
      </c>
      <c r="B46" s="38" t="s">
        <v>2332</v>
      </c>
      <c r="C46" s="50" t="s">
        <v>2333</v>
      </c>
      <c r="D46" s="39">
        <v>46009</v>
      </c>
      <c r="E46" s="38" t="s">
        <v>53</v>
      </c>
      <c r="F46" s="38" t="s">
        <v>199</v>
      </c>
      <c r="G46" s="40">
        <v>781</v>
      </c>
      <c r="H46" s="87">
        <f>15956.1-G46</f>
        <v>15175.1</v>
      </c>
      <c r="I46" s="40">
        <f t="shared" si="1"/>
        <v>2428.0160000000001</v>
      </c>
      <c r="J46" s="40">
        <f t="shared" si="2"/>
        <v>18384.116000000002</v>
      </c>
      <c r="K46" s="40">
        <v>23633</v>
      </c>
      <c r="L46" s="40">
        <f t="shared" si="3"/>
        <v>-5248.8839999999982</v>
      </c>
      <c r="M46" s="38" t="s">
        <v>35</v>
      </c>
      <c r="N46" s="54"/>
      <c r="O46" s="36"/>
      <c r="P46" s="40">
        <v>0</v>
      </c>
      <c r="Q46" s="40">
        <v>781</v>
      </c>
      <c r="R46" s="41"/>
      <c r="S46" s="40">
        <v>7200</v>
      </c>
      <c r="T46" s="40">
        <v>608.91999999999996</v>
      </c>
      <c r="U46" s="40">
        <v>3366.18</v>
      </c>
      <c r="V46" s="40">
        <v>0</v>
      </c>
      <c r="W46" s="40">
        <v>4000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36">
        <f t="shared" si="6"/>
        <v>0</v>
      </c>
      <c r="AJ46" s="93">
        <v>0.47399999999999998</v>
      </c>
      <c r="AK46" s="40" t="s">
        <v>2056</v>
      </c>
      <c r="AL46" s="40" t="s">
        <v>1884</v>
      </c>
      <c r="AM46"/>
      <c r="AN46" s="37"/>
      <c r="AP46" s="1"/>
      <c r="AQ46" s="1"/>
    </row>
    <row r="47" spans="1:43" x14ac:dyDescent="0.3">
      <c r="A47" s="38">
        <v>1</v>
      </c>
      <c r="B47" s="38" t="s">
        <v>2334</v>
      </c>
      <c r="C47" s="38" t="s">
        <v>2335</v>
      </c>
      <c r="D47" s="39">
        <v>46009</v>
      </c>
      <c r="E47" s="38" t="s">
        <v>53</v>
      </c>
      <c r="F47" s="38" t="s">
        <v>199</v>
      </c>
      <c r="G47" s="40">
        <v>781</v>
      </c>
      <c r="H47" s="87">
        <f>16505.31-G47</f>
        <v>15724.310000000001</v>
      </c>
      <c r="I47" s="40">
        <f t="shared" si="1"/>
        <v>2515.8896000000004</v>
      </c>
      <c r="J47" s="40">
        <f t="shared" si="2"/>
        <v>19021.1996</v>
      </c>
      <c r="K47" s="40">
        <v>23633</v>
      </c>
      <c r="L47" s="40">
        <f t="shared" si="3"/>
        <v>-4611.8004000000001</v>
      </c>
      <c r="M47" s="38" t="s">
        <v>35</v>
      </c>
      <c r="N47" s="54"/>
      <c r="O47" s="36"/>
      <c r="P47" s="40">
        <v>0</v>
      </c>
      <c r="Q47" s="40">
        <v>781</v>
      </c>
      <c r="R47" s="41"/>
      <c r="S47" s="40">
        <v>7200</v>
      </c>
      <c r="T47" s="40">
        <v>608.91999999999996</v>
      </c>
      <c r="U47" s="40">
        <v>3915.39</v>
      </c>
      <c r="V47" s="40">
        <v>0</v>
      </c>
      <c r="W47" s="40">
        <v>4000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36">
        <f t="shared" si="6"/>
        <v>0</v>
      </c>
      <c r="AJ47" s="93">
        <v>0.502</v>
      </c>
      <c r="AK47" s="40" t="s">
        <v>2056</v>
      </c>
      <c r="AL47" s="40" t="s">
        <v>1884</v>
      </c>
      <c r="AM47"/>
      <c r="AN47" s="37"/>
      <c r="AP47" s="1"/>
      <c r="AQ47" s="1"/>
    </row>
    <row r="48" spans="1:43" x14ac:dyDescent="0.3">
      <c r="A48" s="38">
        <v>1</v>
      </c>
      <c r="B48" s="2" t="s">
        <v>2336</v>
      </c>
      <c r="C48" s="50" t="s">
        <v>2337</v>
      </c>
      <c r="D48" s="39">
        <v>46009</v>
      </c>
      <c r="E48" s="38" t="s">
        <v>53</v>
      </c>
      <c r="F48" s="38" t="s">
        <v>199</v>
      </c>
      <c r="G48" s="40">
        <v>781</v>
      </c>
      <c r="H48" s="87">
        <f>15252.81-G48</f>
        <v>14471.81</v>
      </c>
      <c r="I48" s="40">
        <f t="shared" si="1"/>
        <v>2315.4895999999999</v>
      </c>
      <c r="J48" s="40">
        <f t="shared" si="2"/>
        <v>17568.299599999998</v>
      </c>
      <c r="K48" s="40">
        <v>23633</v>
      </c>
      <c r="L48" s="40">
        <f t="shared" si="3"/>
        <v>-6064.7004000000015</v>
      </c>
      <c r="M48" s="38" t="s">
        <v>35</v>
      </c>
      <c r="N48" s="54"/>
      <c r="O48" s="36"/>
      <c r="P48" s="40">
        <v>0</v>
      </c>
      <c r="Q48" s="40">
        <v>781</v>
      </c>
      <c r="R48" s="41"/>
      <c r="S48" s="40">
        <v>7200</v>
      </c>
      <c r="T48" s="40">
        <v>608.91999999999996</v>
      </c>
      <c r="U48" s="40">
        <v>2662.89</v>
      </c>
      <c r="V48" s="40">
        <v>0</v>
      </c>
      <c r="W48" s="40">
        <v>4000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36">
        <f t="shared" si="6"/>
        <v>0</v>
      </c>
      <c r="AJ48" s="93">
        <v>0.49099999999999999</v>
      </c>
      <c r="AK48" s="40" t="s">
        <v>2056</v>
      </c>
      <c r="AL48" s="40" t="s">
        <v>1884</v>
      </c>
      <c r="AM48"/>
      <c r="AN48" s="37"/>
      <c r="AP48" s="1"/>
      <c r="AQ48" s="1"/>
    </row>
    <row r="49" spans="1:43" x14ac:dyDescent="0.3">
      <c r="A49" s="38">
        <v>1</v>
      </c>
      <c r="B49" s="2" t="s">
        <v>2338</v>
      </c>
      <c r="C49" s="38" t="s">
        <v>2339</v>
      </c>
      <c r="D49" s="39">
        <v>46010</v>
      </c>
      <c r="E49" s="38" t="s">
        <v>53</v>
      </c>
      <c r="F49" s="38" t="s">
        <v>199</v>
      </c>
      <c r="G49" s="40">
        <v>781</v>
      </c>
      <c r="H49" s="87">
        <f>14807.99-G49</f>
        <v>14026.99</v>
      </c>
      <c r="I49" s="40">
        <f t="shared" si="1"/>
        <v>2244.3184000000001</v>
      </c>
      <c r="J49" s="40">
        <f t="shared" si="2"/>
        <v>17052.308400000002</v>
      </c>
      <c r="K49" s="40">
        <v>21313</v>
      </c>
      <c r="L49" s="40">
        <f t="shared" si="3"/>
        <v>-4260.6915999999983</v>
      </c>
      <c r="M49" s="38" t="s">
        <v>35</v>
      </c>
      <c r="N49" s="54"/>
      <c r="O49" s="36"/>
      <c r="P49" s="40">
        <v>0</v>
      </c>
      <c r="Q49" s="40">
        <v>781</v>
      </c>
      <c r="R49" s="41"/>
      <c r="S49" s="40">
        <v>7200</v>
      </c>
      <c r="T49" s="40">
        <v>608.91999999999996</v>
      </c>
      <c r="U49" s="40">
        <v>2218.0700000000002</v>
      </c>
      <c r="V49" s="40">
        <v>0</v>
      </c>
      <c r="W49" s="40">
        <v>4000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36">
        <f t="shared" si="6"/>
        <v>0</v>
      </c>
      <c r="AJ49" s="93">
        <v>0.503</v>
      </c>
      <c r="AK49" s="40" t="s">
        <v>2056</v>
      </c>
      <c r="AL49" s="40" t="s">
        <v>1884</v>
      </c>
      <c r="AM49"/>
      <c r="AN49" s="37"/>
      <c r="AP49" s="1"/>
      <c r="AQ49" s="1"/>
    </row>
    <row r="50" spans="1:43" x14ac:dyDescent="0.3">
      <c r="A50" s="38">
        <v>1</v>
      </c>
      <c r="B50" s="2" t="s">
        <v>2340</v>
      </c>
      <c r="C50" s="38" t="s">
        <v>2341</v>
      </c>
      <c r="D50" s="39">
        <v>46013</v>
      </c>
      <c r="E50" s="38" t="s">
        <v>53</v>
      </c>
      <c r="F50" s="38" t="s">
        <v>199</v>
      </c>
      <c r="G50" s="40">
        <f>6144+781</f>
        <v>6925</v>
      </c>
      <c r="H50" s="87">
        <f>31016.76-G50</f>
        <v>24091.759999999998</v>
      </c>
      <c r="I50" s="40">
        <f t="shared" si="1"/>
        <v>3854.6815999999999</v>
      </c>
      <c r="J50" s="40">
        <f t="shared" si="2"/>
        <v>34871.441599999998</v>
      </c>
      <c r="K50" s="40">
        <v>70029</v>
      </c>
      <c r="L50" s="40">
        <f t="shared" si="3"/>
        <v>-35157.558400000002</v>
      </c>
      <c r="M50" s="38" t="s">
        <v>35</v>
      </c>
      <c r="N50" s="54"/>
      <c r="O50" s="36"/>
      <c r="P50" s="40">
        <v>0</v>
      </c>
      <c r="Q50" s="40">
        <f>6144+781</f>
        <v>6925</v>
      </c>
      <c r="R50" s="41"/>
      <c r="S50" s="40">
        <v>14400</v>
      </c>
      <c r="T50" s="40">
        <v>0</v>
      </c>
      <c r="U50" s="40">
        <v>9691.76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36">
        <f t="shared" si="6"/>
        <v>0</v>
      </c>
      <c r="AJ50" s="93">
        <v>0.318</v>
      </c>
      <c r="AK50" s="40" t="s">
        <v>2056</v>
      </c>
      <c r="AL50" s="40" t="s">
        <v>1884</v>
      </c>
      <c r="AM50"/>
      <c r="AN50" s="37"/>
      <c r="AP50" s="1"/>
      <c r="AQ50" s="1"/>
    </row>
    <row r="51" spans="1:43" x14ac:dyDescent="0.3">
      <c r="A51" s="38">
        <v>1</v>
      </c>
      <c r="B51" s="2" t="s">
        <v>2342</v>
      </c>
      <c r="C51" s="50" t="s">
        <v>2343</v>
      </c>
      <c r="D51" s="39">
        <v>46013</v>
      </c>
      <c r="E51" s="38" t="s">
        <v>53</v>
      </c>
      <c r="F51" s="38" t="s">
        <v>199</v>
      </c>
      <c r="G51" s="40">
        <v>0</v>
      </c>
      <c r="H51" s="87">
        <f>7200+16936.98</f>
        <v>24136.98</v>
      </c>
      <c r="I51" s="40">
        <f t="shared" si="1"/>
        <v>3861.9168</v>
      </c>
      <c r="J51" s="40">
        <f t="shared" si="2"/>
        <v>27998.896799999999</v>
      </c>
      <c r="K51" s="40">
        <v>54752</v>
      </c>
      <c r="L51" s="40">
        <f t="shared" si="3"/>
        <v>-26753.103200000001</v>
      </c>
      <c r="M51" s="38" t="s">
        <v>35</v>
      </c>
      <c r="N51" s="54"/>
      <c r="O51" s="36"/>
      <c r="P51" s="40">
        <v>0</v>
      </c>
      <c r="Q51" s="40">
        <v>0</v>
      </c>
      <c r="R51" s="41"/>
      <c r="S51" s="40">
        <v>7200</v>
      </c>
      <c r="T51" s="40">
        <v>0</v>
      </c>
      <c r="U51" s="40">
        <v>16936.98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36">
        <f t="shared" si="6"/>
        <v>0</v>
      </c>
      <c r="AJ51" s="93">
        <v>0.187</v>
      </c>
      <c r="AK51" s="40" t="s">
        <v>2056</v>
      </c>
      <c r="AL51" s="40" t="s">
        <v>1884</v>
      </c>
      <c r="AM51"/>
      <c r="AN51" s="37"/>
      <c r="AP51" s="1"/>
      <c r="AQ51" s="1"/>
    </row>
    <row r="52" spans="1:43" x14ac:dyDescent="0.3">
      <c r="A52" s="38">
        <v>1</v>
      </c>
      <c r="B52" s="2" t="s">
        <v>2344</v>
      </c>
      <c r="C52" s="50" t="s">
        <v>2346</v>
      </c>
      <c r="D52" s="39">
        <v>46013</v>
      </c>
      <c r="E52" s="38" t="s">
        <v>53</v>
      </c>
      <c r="F52" s="38" t="s">
        <v>199</v>
      </c>
      <c r="G52" s="40">
        <v>0</v>
      </c>
      <c r="H52" s="87">
        <v>16525.45</v>
      </c>
      <c r="I52" s="40">
        <f t="shared" si="1"/>
        <v>2644.0720000000001</v>
      </c>
      <c r="J52" s="40">
        <f t="shared" si="2"/>
        <v>19169.522000000001</v>
      </c>
      <c r="K52" s="40">
        <v>54752</v>
      </c>
      <c r="L52" s="40">
        <f t="shared" si="3"/>
        <v>-35582.478000000003</v>
      </c>
      <c r="M52" s="38" t="s">
        <v>35</v>
      </c>
      <c r="N52" s="54"/>
      <c r="O52" s="36"/>
      <c r="P52" s="40">
        <v>0</v>
      </c>
      <c r="Q52" s="40">
        <v>0</v>
      </c>
      <c r="R52" s="41"/>
      <c r="S52" s="40">
        <v>7200</v>
      </c>
      <c r="T52" s="40">
        <v>0</v>
      </c>
      <c r="U52" s="40">
        <v>9325.4500000000007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36">
        <f t="shared" si="6"/>
        <v>0</v>
      </c>
      <c r="AJ52" s="93">
        <v>0.21299999999999999</v>
      </c>
      <c r="AK52" s="40" t="s">
        <v>2056</v>
      </c>
      <c r="AL52" s="40" t="s">
        <v>1884</v>
      </c>
      <c r="AM52"/>
      <c r="AN52" s="37"/>
      <c r="AP52" s="1"/>
      <c r="AQ52" s="1"/>
    </row>
    <row r="53" spans="1:43" x14ac:dyDescent="0.3">
      <c r="A53" s="38">
        <v>1</v>
      </c>
      <c r="B53" s="2" t="s">
        <v>2345</v>
      </c>
      <c r="C53" s="38" t="s">
        <v>2347</v>
      </c>
      <c r="D53" s="39">
        <v>46013</v>
      </c>
      <c r="E53" s="38" t="s">
        <v>53</v>
      </c>
      <c r="F53" s="38" t="s">
        <v>199</v>
      </c>
      <c r="G53" s="40">
        <v>0</v>
      </c>
      <c r="H53" s="87">
        <v>10022.1</v>
      </c>
      <c r="I53" s="40">
        <f t="shared" si="1"/>
        <v>1603.5360000000001</v>
      </c>
      <c r="J53" s="40">
        <f t="shared" si="2"/>
        <v>11625.636</v>
      </c>
      <c r="K53" s="40">
        <v>54752</v>
      </c>
      <c r="L53" s="40">
        <f t="shared" si="3"/>
        <v>-43126.364000000001</v>
      </c>
      <c r="M53" s="38" t="s">
        <v>35</v>
      </c>
      <c r="N53" s="54"/>
      <c r="O53" s="36"/>
      <c r="P53" s="40">
        <v>0</v>
      </c>
      <c r="Q53" s="40">
        <v>0</v>
      </c>
      <c r="R53" s="41"/>
      <c r="S53" s="40">
        <v>7200</v>
      </c>
      <c r="T53" s="40">
        <v>0</v>
      </c>
      <c r="U53" s="40">
        <v>2822.1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36">
        <f t="shared" si="6"/>
        <v>0</v>
      </c>
      <c r="AJ53" s="93">
        <v>0.26600000000000001</v>
      </c>
      <c r="AK53" s="40" t="s">
        <v>2056</v>
      </c>
      <c r="AL53" s="40" t="s">
        <v>1884</v>
      </c>
      <c r="AM53"/>
      <c r="AN53" s="37"/>
      <c r="AP53" s="1"/>
      <c r="AQ53" s="1"/>
    </row>
    <row r="54" spans="1:43" hidden="1" x14ac:dyDescent="0.3">
      <c r="A54" s="38">
        <v>2</v>
      </c>
      <c r="B54" s="2" t="s">
        <v>2348</v>
      </c>
      <c r="C54" s="38" t="s">
        <v>2349</v>
      </c>
      <c r="D54" s="39">
        <v>46013</v>
      </c>
      <c r="E54" s="38" t="s">
        <v>22</v>
      </c>
      <c r="F54" s="38" t="s">
        <v>45</v>
      </c>
      <c r="G54" s="40">
        <v>336</v>
      </c>
      <c r="H54" s="87">
        <v>4200</v>
      </c>
      <c r="I54" s="40">
        <f t="shared" si="1"/>
        <v>672</v>
      </c>
      <c r="J54" s="40">
        <f t="shared" si="2"/>
        <v>5208</v>
      </c>
      <c r="K54" s="40">
        <v>5208</v>
      </c>
      <c r="L54" s="40">
        <f t="shared" si="3"/>
        <v>0</v>
      </c>
      <c r="M54" s="38" t="s">
        <v>35</v>
      </c>
      <c r="N54" s="54"/>
      <c r="O54" s="36"/>
      <c r="P54" s="40">
        <v>0</v>
      </c>
      <c r="Q54" s="40">
        <v>336</v>
      </c>
      <c r="R54" s="41"/>
      <c r="S54" s="40">
        <v>4200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6">
        <f t="shared" si="6"/>
        <v>0</v>
      </c>
      <c r="AJ54" s="93">
        <v>0.61899999999999999</v>
      </c>
      <c r="AK54" s="40" t="s">
        <v>1842</v>
      </c>
      <c r="AL54" s="40" t="s">
        <v>1839</v>
      </c>
      <c r="AM54"/>
      <c r="AN54" s="37"/>
      <c r="AP54" s="1"/>
      <c r="AQ54" s="1"/>
    </row>
    <row r="55" spans="1:43" hidden="1" x14ac:dyDescent="0.3">
      <c r="A55" s="38">
        <v>2</v>
      </c>
      <c r="B55" s="2" t="s">
        <v>2350</v>
      </c>
      <c r="C55" s="38" t="s">
        <v>2351</v>
      </c>
      <c r="D55" s="39">
        <v>46013</v>
      </c>
      <c r="E55" s="38" t="s">
        <v>22</v>
      </c>
      <c r="F55" s="38" t="s">
        <v>45</v>
      </c>
      <c r="G55" s="40">
        <v>336</v>
      </c>
      <c r="H55" s="87">
        <v>4200</v>
      </c>
      <c r="I55" s="40">
        <f t="shared" si="1"/>
        <v>672</v>
      </c>
      <c r="J55" s="40">
        <f t="shared" si="2"/>
        <v>5208</v>
      </c>
      <c r="K55" s="40">
        <v>5208</v>
      </c>
      <c r="L55" s="40">
        <f t="shared" si="3"/>
        <v>0</v>
      </c>
      <c r="M55" s="38" t="s">
        <v>35</v>
      </c>
      <c r="N55" s="54"/>
      <c r="O55" s="36"/>
      <c r="P55" s="40">
        <v>0</v>
      </c>
      <c r="Q55" s="40">
        <v>336</v>
      </c>
      <c r="R55" s="41"/>
      <c r="S55" s="40">
        <v>4200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36">
        <f t="shared" si="6"/>
        <v>0</v>
      </c>
      <c r="AJ55" s="93">
        <v>0.61899999999999999</v>
      </c>
      <c r="AK55" s="40" t="s">
        <v>1842</v>
      </c>
      <c r="AL55" s="40" t="s">
        <v>1839</v>
      </c>
      <c r="AM55"/>
      <c r="AN55" s="37"/>
      <c r="AP55" s="1"/>
      <c r="AQ55" s="1"/>
    </row>
    <row r="56" spans="1:43" x14ac:dyDescent="0.3">
      <c r="A56" s="38">
        <v>1</v>
      </c>
      <c r="B56" s="2" t="s">
        <v>2353</v>
      </c>
      <c r="C56" s="38" t="s">
        <v>2354</v>
      </c>
      <c r="D56" s="39">
        <v>46014</v>
      </c>
      <c r="E56" s="38" t="s">
        <v>53</v>
      </c>
      <c r="F56" s="38" t="s">
        <v>199</v>
      </c>
      <c r="G56" s="40">
        <v>0</v>
      </c>
      <c r="H56" s="87">
        <v>53878.83</v>
      </c>
      <c r="I56" s="40">
        <f t="shared" si="1"/>
        <v>8620.6128000000008</v>
      </c>
      <c r="J56" s="40">
        <f t="shared" si="2"/>
        <v>62499.442800000004</v>
      </c>
      <c r="K56" s="40">
        <v>62499.44</v>
      </c>
      <c r="L56" s="40">
        <f t="shared" si="3"/>
        <v>2.8000000020256266E-3</v>
      </c>
      <c r="M56" s="38" t="s">
        <v>35</v>
      </c>
      <c r="N56" s="54"/>
      <c r="O56" s="36"/>
      <c r="P56" s="40">
        <v>0</v>
      </c>
      <c r="Q56" s="40">
        <v>0</v>
      </c>
      <c r="R56" s="41"/>
      <c r="S56" s="40">
        <v>7200</v>
      </c>
      <c r="T56" s="40">
        <v>0</v>
      </c>
      <c r="U56" s="40">
        <f>6678.83+40000</f>
        <v>46678.83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36">
        <f t="shared" si="6"/>
        <v>0</v>
      </c>
      <c r="AJ56" s="93">
        <v>0.156</v>
      </c>
      <c r="AK56" s="40" t="s">
        <v>2056</v>
      </c>
      <c r="AL56" s="40" t="s">
        <v>1884</v>
      </c>
      <c r="AM56"/>
      <c r="AN56" s="37"/>
      <c r="AP56" s="1"/>
      <c r="AQ56" s="1"/>
    </row>
    <row r="57" spans="1:43" hidden="1" x14ac:dyDescent="0.3">
      <c r="A57" s="38">
        <v>2</v>
      </c>
      <c r="B57" s="2" t="s">
        <v>2355</v>
      </c>
      <c r="C57" s="38" t="s">
        <v>2356</v>
      </c>
      <c r="D57" s="39">
        <v>46014</v>
      </c>
      <c r="E57" s="38" t="s">
        <v>198</v>
      </c>
      <c r="F57" s="38" t="s">
        <v>200</v>
      </c>
      <c r="G57" s="40">
        <v>0</v>
      </c>
      <c r="H57" s="84">
        <v>22000</v>
      </c>
      <c r="I57" s="40">
        <f t="shared" si="1"/>
        <v>3520</v>
      </c>
      <c r="J57" s="40">
        <f t="shared" si="2"/>
        <v>25520</v>
      </c>
      <c r="K57" s="40">
        <v>25520</v>
      </c>
      <c r="L57" s="40">
        <f t="shared" si="3"/>
        <v>0</v>
      </c>
      <c r="M57" s="38" t="s">
        <v>35</v>
      </c>
      <c r="N57" s="54"/>
      <c r="O57" s="36"/>
      <c r="P57" s="40">
        <v>0</v>
      </c>
      <c r="Q57" s="40">
        <v>0</v>
      </c>
      <c r="R57" s="41"/>
      <c r="S57" s="40">
        <v>0</v>
      </c>
      <c r="T57" s="40">
        <v>0</v>
      </c>
      <c r="U57" s="40">
        <v>0</v>
      </c>
      <c r="V57" s="40">
        <v>0</v>
      </c>
      <c r="W57" s="40">
        <v>22000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36">
        <f t="shared" si="6"/>
        <v>0</v>
      </c>
      <c r="AJ57" s="93">
        <v>0.46800000000000003</v>
      </c>
      <c r="AK57" s="40" t="s">
        <v>1842</v>
      </c>
      <c r="AL57" s="40" t="s">
        <v>1839</v>
      </c>
      <c r="AM57"/>
      <c r="AN57" s="37"/>
      <c r="AP57" s="1"/>
      <c r="AQ57" s="1"/>
    </row>
    <row r="58" spans="1:43" x14ac:dyDescent="0.3">
      <c r="A58" s="38">
        <v>2</v>
      </c>
      <c r="B58" s="2" t="s">
        <v>2357</v>
      </c>
      <c r="C58" s="38" t="s">
        <v>2358</v>
      </c>
      <c r="D58" s="39">
        <v>46014</v>
      </c>
      <c r="E58" s="38" t="s">
        <v>53</v>
      </c>
      <c r="F58" s="38" t="s">
        <v>199</v>
      </c>
      <c r="G58" s="40">
        <v>336</v>
      </c>
      <c r="H58" s="84">
        <v>7400</v>
      </c>
      <c r="I58" s="40">
        <f t="shared" si="1"/>
        <v>1184</v>
      </c>
      <c r="J58" s="40">
        <f t="shared" si="2"/>
        <v>8920</v>
      </c>
      <c r="K58" s="40">
        <v>8920</v>
      </c>
      <c r="L58" s="40">
        <f t="shared" si="3"/>
        <v>0</v>
      </c>
      <c r="M58" s="38" t="s">
        <v>35</v>
      </c>
      <c r="N58" s="54"/>
      <c r="O58" s="36"/>
      <c r="P58" s="40">
        <v>0</v>
      </c>
      <c r="Q58" s="40">
        <v>336</v>
      </c>
      <c r="R58" s="41"/>
      <c r="S58" s="40">
        <v>7400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36">
        <f t="shared" si="6"/>
        <v>0</v>
      </c>
      <c r="AJ58" s="93">
        <v>0.48899999999999999</v>
      </c>
      <c r="AK58" s="40" t="s">
        <v>2056</v>
      </c>
      <c r="AL58" s="40" t="s">
        <v>1839</v>
      </c>
      <c r="AM58"/>
      <c r="AN58" s="37"/>
      <c r="AP58" s="1"/>
      <c r="AQ58" s="1"/>
    </row>
    <row r="59" spans="1:43" x14ac:dyDescent="0.3">
      <c r="A59" s="38">
        <v>2</v>
      </c>
      <c r="B59" s="2" t="s">
        <v>2359</v>
      </c>
      <c r="C59" s="38" t="s">
        <v>2360</v>
      </c>
      <c r="D59" s="39">
        <v>46014</v>
      </c>
      <c r="E59" s="38" t="s">
        <v>53</v>
      </c>
      <c r="F59" s="38" t="s">
        <v>199</v>
      </c>
      <c r="G59" s="40">
        <v>0</v>
      </c>
      <c r="H59" s="84">
        <v>7400</v>
      </c>
      <c r="I59" s="40">
        <f t="shared" si="1"/>
        <v>1184</v>
      </c>
      <c r="J59" s="40">
        <f t="shared" si="2"/>
        <v>8584</v>
      </c>
      <c r="K59" s="40">
        <v>8584</v>
      </c>
      <c r="L59" s="40">
        <f t="shared" si="3"/>
        <v>0</v>
      </c>
      <c r="M59" s="38" t="s">
        <v>35</v>
      </c>
      <c r="N59" s="54"/>
      <c r="O59" s="36"/>
      <c r="P59" s="40">
        <v>0</v>
      </c>
      <c r="Q59" s="40">
        <v>0</v>
      </c>
      <c r="R59" s="41"/>
      <c r="S59" s="40">
        <v>7400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36">
        <f t="shared" si="6"/>
        <v>0</v>
      </c>
      <c r="AJ59" s="93">
        <v>0.75900000000000001</v>
      </c>
      <c r="AK59" s="40" t="s">
        <v>2056</v>
      </c>
      <c r="AL59" s="40" t="s">
        <v>1839</v>
      </c>
      <c r="AM59"/>
      <c r="AN59" s="37"/>
      <c r="AP59" s="1"/>
      <c r="AQ59" s="1"/>
    </row>
    <row r="60" spans="1:43" x14ac:dyDescent="0.3">
      <c r="A60" s="38">
        <v>1</v>
      </c>
      <c r="B60" s="38" t="s">
        <v>2361</v>
      </c>
      <c r="C60" s="38" t="s">
        <v>2362</v>
      </c>
      <c r="D60" s="39">
        <v>46014</v>
      </c>
      <c r="E60" s="38" t="s">
        <v>53</v>
      </c>
      <c r="F60" s="38" t="s">
        <v>199</v>
      </c>
      <c r="G60" s="40">
        <v>781</v>
      </c>
      <c r="H60" s="84">
        <f>20891.64-G60</f>
        <v>20110.64</v>
      </c>
      <c r="I60" s="40">
        <f t="shared" si="1"/>
        <v>3217.7024000000001</v>
      </c>
      <c r="J60" s="40">
        <f t="shared" si="2"/>
        <v>24109.342400000001</v>
      </c>
      <c r="K60" s="40">
        <v>55533</v>
      </c>
      <c r="L60" s="40">
        <f t="shared" si="3"/>
        <v>-31423.657599999999</v>
      </c>
      <c r="M60" s="38" t="s">
        <v>35</v>
      </c>
      <c r="N60" s="54"/>
      <c r="O60" s="36"/>
      <c r="P60" s="40">
        <v>0</v>
      </c>
      <c r="Q60" s="40">
        <v>781</v>
      </c>
      <c r="R60" s="41"/>
      <c r="S60" s="40">
        <v>7200</v>
      </c>
      <c r="T60" s="40">
        <v>0</v>
      </c>
      <c r="U60" s="40">
        <v>12910.64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36">
        <f t="shared" si="6"/>
        <v>0</v>
      </c>
      <c r="AJ60" s="93">
        <v>0.19500000000000001</v>
      </c>
      <c r="AK60" s="40" t="s">
        <v>2056</v>
      </c>
      <c r="AL60" s="40" t="s">
        <v>1884</v>
      </c>
      <c r="AM60"/>
      <c r="AN60" s="37"/>
      <c r="AP60" s="1"/>
      <c r="AQ60" s="1"/>
    </row>
    <row r="61" spans="1:43" hidden="1" x14ac:dyDescent="0.3">
      <c r="A61" s="38">
        <v>2</v>
      </c>
      <c r="B61" s="38" t="s">
        <v>2363</v>
      </c>
      <c r="C61" s="38" t="s">
        <v>2364</v>
      </c>
      <c r="D61" s="39">
        <v>46017</v>
      </c>
      <c r="E61" s="38" t="s">
        <v>22</v>
      </c>
      <c r="F61" s="38" t="s">
        <v>45</v>
      </c>
      <c r="G61" s="40">
        <v>0</v>
      </c>
      <c r="H61" s="84">
        <v>4200</v>
      </c>
      <c r="I61" s="40">
        <f t="shared" si="1"/>
        <v>672</v>
      </c>
      <c r="J61" s="40">
        <f t="shared" ref="J61:J98" si="7">SUM(G61:I61)</f>
        <v>4872</v>
      </c>
      <c r="K61" s="40">
        <v>4872</v>
      </c>
      <c r="L61" s="40">
        <f t="shared" si="3"/>
        <v>0</v>
      </c>
      <c r="M61" s="38" t="s">
        <v>35</v>
      </c>
      <c r="N61" s="54"/>
      <c r="O61" s="36"/>
      <c r="P61" s="40">
        <v>0</v>
      </c>
      <c r="Q61" s="40">
        <v>0</v>
      </c>
      <c r="R61" s="41"/>
      <c r="S61" s="40">
        <v>4200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36">
        <f t="shared" ref="AI61:AI98" si="8">+SUM(S61:AH61)-H61</f>
        <v>0</v>
      </c>
      <c r="AJ61" s="93">
        <v>0.61899999999999999</v>
      </c>
      <c r="AK61" s="40" t="s">
        <v>1842</v>
      </c>
      <c r="AL61" s="40" t="s">
        <v>1839</v>
      </c>
      <c r="AM61"/>
      <c r="AN61" s="37"/>
      <c r="AP61" s="1"/>
      <c r="AQ61" s="1"/>
    </row>
    <row r="62" spans="1:43" x14ac:dyDescent="0.3">
      <c r="A62" s="38">
        <v>1</v>
      </c>
      <c r="B62" s="38" t="s">
        <v>2365</v>
      </c>
      <c r="C62" s="38" t="s">
        <v>2366</v>
      </c>
      <c r="D62" s="39">
        <v>46017</v>
      </c>
      <c r="E62" s="38" t="s">
        <v>53</v>
      </c>
      <c r="F62" s="38" t="s">
        <v>199</v>
      </c>
      <c r="G62" s="40">
        <f>781+110509</f>
        <v>111290</v>
      </c>
      <c r="H62" s="90">
        <f>157753.32-G62</f>
        <v>46463.320000000007</v>
      </c>
      <c r="I62" s="40">
        <f t="shared" si="1"/>
        <v>7434.1312000000016</v>
      </c>
      <c r="J62" s="40">
        <f t="shared" si="7"/>
        <v>165187.45120000001</v>
      </c>
      <c r="K62" s="40">
        <v>174394</v>
      </c>
      <c r="L62" s="40">
        <f t="shared" si="3"/>
        <v>-9206.5487999999896</v>
      </c>
      <c r="M62" s="38" t="s">
        <v>35</v>
      </c>
      <c r="N62" s="54"/>
      <c r="O62" s="36"/>
      <c r="P62" s="40">
        <v>0</v>
      </c>
      <c r="Q62" s="40">
        <f>781+110509</f>
        <v>111290</v>
      </c>
      <c r="R62" s="41"/>
      <c r="S62" s="40">
        <f>7200+7200</f>
        <v>14400</v>
      </c>
      <c r="T62" s="40">
        <v>0</v>
      </c>
      <c r="U62" s="40">
        <v>26063.32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6000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36">
        <f t="shared" si="8"/>
        <v>0</v>
      </c>
      <c r="AJ62" s="93">
        <v>0.24199999999999999</v>
      </c>
      <c r="AK62" s="40" t="s">
        <v>2056</v>
      </c>
      <c r="AL62" s="40" t="s">
        <v>1884</v>
      </c>
      <c r="AM62"/>
      <c r="AN62" s="37"/>
      <c r="AP62" s="1"/>
      <c r="AQ62" s="1"/>
    </row>
    <row r="63" spans="1:43" hidden="1" x14ac:dyDescent="0.3">
      <c r="A63" s="38">
        <v>2</v>
      </c>
      <c r="B63" s="38" t="s">
        <v>2367</v>
      </c>
      <c r="C63" s="38" t="s">
        <v>2368</v>
      </c>
      <c r="D63" s="39">
        <v>46017</v>
      </c>
      <c r="E63" s="38" t="s">
        <v>22</v>
      </c>
      <c r="F63" s="38" t="s">
        <v>45</v>
      </c>
      <c r="G63" s="40">
        <v>19648</v>
      </c>
      <c r="H63" s="90">
        <f>33876-G63</f>
        <v>14228</v>
      </c>
      <c r="I63" s="40">
        <f t="shared" si="1"/>
        <v>2276.48</v>
      </c>
      <c r="J63" s="40">
        <f t="shared" si="7"/>
        <v>36152.480000000003</v>
      </c>
      <c r="K63" s="40">
        <v>37048</v>
      </c>
      <c r="L63" s="40">
        <f t="shared" si="3"/>
        <v>-895.5199999999968</v>
      </c>
      <c r="M63" s="38" t="s">
        <v>35</v>
      </c>
      <c r="N63" s="54"/>
      <c r="O63" s="36"/>
      <c r="P63" s="40">
        <v>0</v>
      </c>
      <c r="Q63" s="40">
        <v>19648</v>
      </c>
      <c r="R63" s="41"/>
      <c r="S63" s="40">
        <v>6000</v>
      </c>
      <c r="T63" s="40">
        <v>1500</v>
      </c>
      <c r="U63" s="40">
        <v>4478</v>
      </c>
      <c r="V63" s="40">
        <v>770</v>
      </c>
      <c r="W63" s="40">
        <v>0</v>
      </c>
      <c r="X63" s="40">
        <v>0</v>
      </c>
      <c r="Y63" s="40">
        <v>1480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36">
        <f t="shared" si="8"/>
        <v>0</v>
      </c>
      <c r="AJ63" s="93">
        <v>0.39400000000000002</v>
      </c>
      <c r="AK63" s="40" t="s">
        <v>1842</v>
      </c>
      <c r="AL63" s="40" t="s">
        <v>1839</v>
      </c>
      <c r="AM63"/>
      <c r="AN63" s="37"/>
      <c r="AP63" s="1"/>
      <c r="AQ63" s="1"/>
    </row>
    <row r="64" spans="1:43" x14ac:dyDescent="0.3">
      <c r="A64" s="38">
        <v>1</v>
      </c>
      <c r="B64" s="38" t="s">
        <v>2370</v>
      </c>
      <c r="C64" s="38" t="s">
        <v>2325</v>
      </c>
      <c r="D64" s="39">
        <v>46020</v>
      </c>
      <c r="E64" s="38" t="s">
        <v>53</v>
      </c>
      <c r="F64" s="38" t="s">
        <v>199</v>
      </c>
      <c r="G64" s="40">
        <v>1671</v>
      </c>
      <c r="H64" s="84">
        <f>7200+18556.82</f>
        <v>25756.82</v>
      </c>
      <c r="I64" s="40">
        <f t="shared" si="1"/>
        <v>4121.0911999999998</v>
      </c>
      <c r="J64" s="40">
        <f t="shared" si="7"/>
        <v>31548.911199999999</v>
      </c>
      <c r="K64" s="40">
        <v>56423</v>
      </c>
      <c r="L64" s="40">
        <f t="shared" si="3"/>
        <v>-24874.088800000001</v>
      </c>
      <c r="M64" s="38" t="s">
        <v>35</v>
      </c>
      <c r="N64" s="54"/>
      <c r="O64" s="36"/>
      <c r="P64" s="40">
        <v>0</v>
      </c>
      <c r="Q64" s="40">
        <v>1671</v>
      </c>
      <c r="R64" s="41"/>
      <c r="S64" s="40">
        <v>7200</v>
      </c>
      <c r="T64" s="40">
        <v>0</v>
      </c>
      <c r="U64" s="40">
        <v>18556.82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36">
        <f t="shared" si="8"/>
        <v>0</v>
      </c>
      <c r="AJ64" s="93">
        <v>0.18099999999999999</v>
      </c>
      <c r="AK64" s="40" t="s">
        <v>2056</v>
      </c>
      <c r="AL64" s="40" t="s">
        <v>1884</v>
      </c>
      <c r="AM64"/>
      <c r="AN64" s="37"/>
      <c r="AP64" s="1"/>
      <c r="AQ64" s="1"/>
    </row>
    <row r="65" spans="1:43" x14ac:dyDescent="0.3">
      <c r="A65" s="38">
        <v>2</v>
      </c>
      <c r="B65" s="38" t="s">
        <v>2371</v>
      </c>
      <c r="C65" s="38" t="s">
        <v>2372</v>
      </c>
      <c r="D65" s="39">
        <v>46020</v>
      </c>
      <c r="E65" s="38" t="s">
        <v>53</v>
      </c>
      <c r="F65" s="38" t="s">
        <v>199</v>
      </c>
      <c r="G65" s="40">
        <v>781</v>
      </c>
      <c r="H65" s="84">
        <f>41600+50600</f>
        <v>92200</v>
      </c>
      <c r="I65" s="40">
        <f t="shared" si="1"/>
        <v>14752</v>
      </c>
      <c r="J65" s="40">
        <f t="shared" si="7"/>
        <v>107733</v>
      </c>
      <c r="K65" s="40">
        <v>107733</v>
      </c>
      <c r="L65" s="40">
        <f t="shared" si="3"/>
        <v>0</v>
      </c>
      <c r="M65" s="38" t="s">
        <v>35</v>
      </c>
      <c r="N65" s="54"/>
      <c r="O65" s="36"/>
      <c r="P65" s="40">
        <v>0</v>
      </c>
      <c r="Q65" s="40">
        <v>781</v>
      </c>
      <c r="R65" s="41"/>
      <c r="S65" s="40">
        <f>41600+50600</f>
        <v>92200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36">
        <f t="shared" si="8"/>
        <v>0</v>
      </c>
      <c r="AJ65" s="93">
        <v>0.47</v>
      </c>
      <c r="AK65" s="40" t="s">
        <v>2056</v>
      </c>
      <c r="AL65" s="40" t="s">
        <v>1839</v>
      </c>
      <c r="AM65"/>
      <c r="AN65" s="37"/>
      <c r="AP65" s="1"/>
      <c r="AQ65" s="1"/>
    </row>
    <row r="66" spans="1:43" hidden="1" x14ac:dyDescent="0.3">
      <c r="A66" s="38">
        <v>2</v>
      </c>
      <c r="B66" s="38" t="s">
        <v>2373</v>
      </c>
      <c r="C66" s="38" t="s">
        <v>2374</v>
      </c>
      <c r="D66" s="39">
        <v>46020</v>
      </c>
      <c r="E66" s="38" t="s">
        <v>61</v>
      </c>
      <c r="F66" s="38" t="s">
        <v>156</v>
      </c>
      <c r="G66" s="40">
        <v>0</v>
      </c>
      <c r="H66" s="84">
        <v>21000</v>
      </c>
      <c r="I66" s="40">
        <f t="shared" ref="I66:I98" si="9">+H66*0.16</f>
        <v>3360</v>
      </c>
      <c r="J66" s="40">
        <f t="shared" si="7"/>
        <v>24360</v>
      </c>
      <c r="K66" s="40">
        <v>24360</v>
      </c>
      <c r="L66" s="40">
        <f t="shared" ref="L66:L98" si="10">+J66-K66</f>
        <v>0</v>
      </c>
      <c r="M66" s="38" t="s">
        <v>35</v>
      </c>
      <c r="N66" s="54"/>
      <c r="O66" s="36"/>
      <c r="P66" s="40">
        <v>0</v>
      </c>
      <c r="Q66" s="40">
        <v>0</v>
      </c>
      <c r="R66" s="41"/>
      <c r="S66" s="40">
        <v>0</v>
      </c>
      <c r="T66" s="40">
        <v>0</v>
      </c>
      <c r="U66" s="40">
        <v>0</v>
      </c>
      <c r="V66" s="40">
        <v>0</v>
      </c>
      <c r="W66" s="40">
        <v>21000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36">
        <f t="shared" si="8"/>
        <v>0</v>
      </c>
      <c r="AJ66" s="93">
        <v>0.35499999999999998</v>
      </c>
      <c r="AK66" s="40" t="s">
        <v>1857</v>
      </c>
      <c r="AL66" s="40" t="s">
        <v>1839</v>
      </c>
      <c r="AM66"/>
      <c r="AN66" s="37"/>
      <c r="AP66" s="1"/>
      <c r="AQ66" s="1"/>
    </row>
    <row r="67" spans="1:43" x14ac:dyDescent="0.3">
      <c r="A67" s="38">
        <v>2</v>
      </c>
      <c r="B67" s="38" t="s">
        <v>2379</v>
      </c>
      <c r="C67" s="38" t="s">
        <v>2380</v>
      </c>
      <c r="D67" s="39">
        <v>46020</v>
      </c>
      <c r="E67" s="38" t="s">
        <v>53</v>
      </c>
      <c r="F67" s="38" t="s">
        <v>199</v>
      </c>
      <c r="G67" s="40">
        <f>781+781</f>
        <v>1562</v>
      </c>
      <c r="H67" s="84">
        <f>51900+31200</f>
        <v>83100</v>
      </c>
      <c r="I67" s="40">
        <f t="shared" si="9"/>
        <v>13296</v>
      </c>
      <c r="J67" s="40">
        <f t="shared" si="7"/>
        <v>97958</v>
      </c>
      <c r="K67" s="40">
        <v>97958</v>
      </c>
      <c r="L67" s="40">
        <f t="shared" si="10"/>
        <v>0</v>
      </c>
      <c r="M67" s="38" t="s">
        <v>35</v>
      </c>
      <c r="N67" s="54"/>
      <c r="O67" s="36"/>
      <c r="P67" s="40">
        <v>0</v>
      </c>
      <c r="Q67" s="40">
        <f>781+781</f>
        <v>1562</v>
      </c>
      <c r="R67" s="41"/>
      <c r="S67" s="40">
        <f>51900+31200</f>
        <v>83100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36">
        <f t="shared" si="8"/>
        <v>0</v>
      </c>
      <c r="AJ67" s="93">
        <v>0.53300000000000003</v>
      </c>
      <c r="AK67" s="40" t="s">
        <v>2056</v>
      </c>
      <c r="AL67" s="40" t="s">
        <v>1839</v>
      </c>
      <c r="AM67"/>
      <c r="AN67" s="37"/>
      <c r="AP67" s="1"/>
      <c r="AQ67" s="1"/>
    </row>
    <row r="68" spans="1:43" x14ac:dyDescent="0.3">
      <c r="A68" s="38">
        <v>1</v>
      </c>
      <c r="B68" s="38" t="s">
        <v>2381</v>
      </c>
      <c r="C68" s="38" t="s">
        <v>2382</v>
      </c>
      <c r="D68" s="39">
        <v>46020</v>
      </c>
      <c r="E68" s="38" t="s">
        <v>53</v>
      </c>
      <c r="F68" s="38" t="s">
        <v>199</v>
      </c>
      <c r="G68" s="40">
        <f>781+781</f>
        <v>1562</v>
      </c>
      <c r="H68" s="84">
        <f>391865.42-G68</f>
        <v>390303.42</v>
      </c>
      <c r="I68" s="40">
        <f t="shared" si="9"/>
        <v>62448.547200000001</v>
      </c>
      <c r="J68" s="40">
        <f t="shared" si="7"/>
        <v>454313.96719999996</v>
      </c>
      <c r="K68" s="40">
        <v>924562.4</v>
      </c>
      <c r="L68" s="40">
        <f t="shared" si="10"/>
        <v>-470248.43280000007</v>
      </c>
      <c r="M68" s="38" t="s">
        <v>35</v>
      </c>
      <c r="N68" s="54"/>
      <c r="O68" s="36"/>
      <c r="P68" s="40">
        <v>0</v>
      </c>
      <c r="Q68" s="40">
        <f>781+781</f>
        <v>1562</v>
      </c>
      <c r="R68" s="41"/>
      <c r="S68" s="40">
        <v>52500.38</v>
      </c>
      <c r="T68" s="40">
        <v>0</v>
      </c>
      <c r="U68" s="40">
        <v>238287.04</v>
      </c>
      <c r="V68" s="40">
        <v>94116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5400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36">
        <f t="shared" si="8"/>
        <v>0</v>
      </c>
      <c r="AJ68" s="93">
        <v>0.22</v>
      </c>
      <c r="AK68" s="40" t="s">
        <v>1843</v>
      </c>
      <c r="AL68" s="40" t="s">
        <v>1844</v>
      </c>
      <c r="AM68"/>
      <c r="AN68" s="37"/>
      <c r="AP68" s="1"/>
      <c r="AQ68" s="1"/>
    </row>
    <row r="69" spans="1:43" ht="15.6" customHeight="1" x14ac:dyDescent="0.3">
      <c r="A69" s="38">
        <v>2</v>
      </c>
      <c r="B69" s="38" t="s">
        <v>2383</v>
      </c>
      <c r="C69" s="38" t="s">
        <v>2384</v>
      </c>
      <c r="D69" s="39">
        <v>46020</v>
      </c>
      <c r="E69" s="38" t="s">
        <v>53</v>
      </c>
      <c r="F69" s="38" t="s">
        <v>199</v>
      </c>
      <c r="G69" s="40">
        <v>0</v>
      </c>
      <c r="H69" s="90">
        <v>7400</v>
      </c>
      <c r="I69" s="40">
        <f t="shared" si="9"/>
        <v>1184</v>
      </c>
      <c r="J69" s="40">
        <f t="shared" si="7"/>
        <v>8584</v>
      </c>
      <c r="K69" s="40">
        <v>8920</v>
      </c>
      <c r="L69" s="40">
        <f t="shared" si="10"/>
        <v>-336</v>
      </c>
      <c r="M69" s="38" t="s">
        <v>35</v>
      </c>
      <c r="N69" s="54"/>
      <c r="O69" s="36"/>
      <c r="P69" s="40">
        <v>0</v>
      </c>
      <c r="Q69" s="40">
        <v>0</v>
      </c>
      <c r="R69" s="41"/>
      <c r="S69" s="40">
        <v>7400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36">
        <f t="shared" si="8"/>
        <v>0</v>
      </c>
      <c r="AJ69" s="93">
        <v>0.41699999999999998</v>
      </c>
      <c r="AK69" s="40" t="s">
        <v>2056</v>
      </c>
      <c r="AL69" s="40" t="s">
        <v>1839</v>
      </c>
      <c r="AM69"/>
      <c r="AN69" s="37"/>
      <c r="AP69" s="1"/>
      <c r="AQ69" s="1"/>
    </row>
    <row r="70" spans="1:43" ht="15.6" customHeight="1" x14ac:dyDescent="0.3">
      <c r="A70" s="38">
        <v>2</v>
      </c>
      <c r="B70" s="38" t="s">
        <v>2385</v>
      </c>
      <c r="C70" s="38" t="s">
        <v>2386</v>
      </c>
      <c r="D70" s="39">
        <v>46020</v>
      </c>
      <c r="E70" s="38" t="s">
        <v>53</v>
      </c>
      <c r="F70" s="38" t="s">
        <v>199</v>
      </c>
      <c r="G70" s="40">
        <v>0</v>
      </c>
      <c r="H70" s="84">
        <v>7400</v>
      </c>
      <c r="I70" s="40">
        <f t="shared" si="9"/>
        <v>1184</v>
      </c>
      <c r="J70" s="40">
        <f t="shared" si="7"/>
        <v>8584</v>
      </c>
      <c r="K70" s="40">
        <v>8584</v>
      </c>
      <c r="L70" s="40">
        <f t="shared" si="10"/>
        <v>0</v>
      </c>
      <c r="M70" s="38" t="s">
        <v>35</v>
      </c>
      <c r="N70" s="54"/>
      <c r="O70" s="36"/>
      <c r="P70" s="40">
        <v>0</v>
      </c>
      <c r="Q70" s="40">
        <v>0</v>
      </c>
      <c r="R70" s="41"/>
      <c r="S70" s="40">
        <v>7400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36">
        <f t="shared" si="8"/>
        <v>0</v>
      </c>
      <c r="AJ70" s="93">
        <v>0.75900000000000001</v>
      </c>
      <c r="AK70" s="40" t="s">
        <v>2056</v>
      </c>
      <c r="AL70" s="40" t="s">
        <v>1839</v>
      </c>
      <c r="AM70"/>
      <c r="AN70" s="37"/>
      <c r="AP70" s="1"/>
      <c r="AQ70" s="1"/>
    </row>
    <row r="71" spans="1:43" ht="15.6" customHeight="1" x14ac:dyDescent="0.3">
      <c r="A71" s="38">
        <v>1</v>
      </c>
      <c r="B71" s="38" t="s">
        <v>2387</v>
      </c>
      <c r="C71" s="38" t="s">
        <v>2388</v>
      </c>
      <c r="D71" s="39">
        <v>46021</v>
      </c>
      <c r="E71" s="38" t="s">
        <v>53</v>
      </c>
      <c r="F71" s="38" t="s">
        <v>199</v>
      </c>
      <c r="G71" s="40">
        <f>781+127646</f>
        <v>128427</v>
      </c>
      <c r="H71" s="84">
        <f>200448.95-G71</f>
        <v>72021.950000000012</v>
      </c>
      <c r="I71" s="40">
        <f t="shared" si="9"/>
        <v>11523.512000000002</v>
      </c>
      <c r="J71" s="40">
        <f t="shared" si="7"/>
        <v>211972.462</v>
      </c>
      <c r="K71" s="40">
        <v>272311.8</v>
      </c>
      <c r="L71" s="40">
        <f t="shared" si="10"/>
        <v>-60339.337999999989</v>
      </c>
      <c r="M71" s="38" t="s">
        <v>35</v>
      </c>
      <c r="N71" s="54"/>
      <c r="O71" s="36"/>
      <c r="P71" s="40">
        <v>0</v>
      </c>
      <c r="Q71" s="40">
        <f>781+127646</f>
        <v>128427</v>
      </c>
      <c r="R71" s="41"/>
      <c r="S71" s="40">
        <v>12926</v>
      </c>
      <c r="T71" s="40">
        <v>0</v>
      </c>
      <c r="U71" s="40">
        <v>28598.45</v>
      </c>
      <c r="V71" s="40">
        <v>29147.5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1350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36">
        <f t="shared" si="8"/>
        <v>0</v>
      </c>
      <c r="AJ71" s="93">
        <v>0.08</v>
      </c>
      <c r="AK71" s="40" t="s">
        <v>1843</v>
      </c>
      <c r="AL71" s="40" t="s">
        <v>1844</v>
      </c>
      <c r="AM71"/>
      <c r="AN71" s="37"/>
      <c r="AP71" s="1"/>
      <c r="AQ71" s="1"/>
    </row>
    <row r="72" spans="1:43" ht="15.6" hidden="1" customHeight="1" x14ac:dyDescent="0.3">
      <c r="A72" s="38">
        <v>2</v>
      </c>
      <c r="B72" s="38" t="s">
        <v>2389</v>
      </c>
      <c r="C72" s="38" t="s">
        <v>2390</v>
      </c>
      <c r="D72" s="39">
        <v>46021</v>
      </c>
      <c r="E72" s="38" t="s">
        <v>22</v>
      </c>
      <c r="F72" s="38" t="s">
        <v>45</v>
      </c>
      <c r="G72" s="40">
        <v>0</v>
      </c>
      <c r="H72" s="84">
        <v>4200</v>
      </c>
      <c r="I72" s="40">
        <f t="shared" si="9"/>
        <v>672</v>
      </c>
      <c r="J72" s="40">
        <f t="shared" si="7"/>
        <v>4872</v>
      </c>
      <c r="K72" s="40">
        <v>4872</v>
      </c>
      <c r="L72" s="40">
        <f t="shared" si="10"/>
        <v>0</v>
      </c>
      <c r="M72" s="38" t="s">
        <v>35</v>
      </c>
      <c r="N72" s="54"/>
      <c r="O72" s="36"/>
      <c r="P72" s="40">
        <v>0</v>
      </c>
      <c r="Q72" s="40">
        <v>0</v>
      </c>
      <c r="R72" s="41"/>
      <c r="S72" s="40">
        <v>4200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36">
        <f t="shared" si="8"/>
        <v>0</v>
      </c>
      <c r="AJ72" s="93">
        <v>0.61899999999999999</v>
      </c>
      <c r="AK72" s="40" t="s">
        <v>1842</v>
      </c>
      <c r="AL72" s="40" t="s">
        <v>1839</v>
      </c>
      <c r="AM72"/>
      <c r="AN72" s="37"/>
      <c r="AP72" s="1"/>
      <c r="AQ72" s="1"/>
    </row>
    <row r="73" spans="1:43" ht="15.6" hidden="1" customHeight="1" x14ac:dyDescent="0.3">
      <c r="A73" s="38">
        <v>2</v>
      </c>
      <c r="B73" s="38" t="s">
        <v>2391</v>
      </c>
      <c r="C73" s="38" t="s">
        <v>2392</v>
      </c>
      <c r="D73" s="39">
        <v>46021</v>
      </c>
      <c r="E73" s="38" t="s">
        <v>22</v>
      </c>
      <c r="F73" s="38" t="s">
        <v>45</v>
      </c>
      <c r="G73" s="40">
        <v>0</v>
      </c>
      <c r="H73" s="84">
        <v>7761.6</v>
      </c>
      <c r="I73" s="40">
        <f t="shared" si="9"/>
        <v>1241.856</v>
      </c>
      <c r="J73" s="40">
        <f t="shared" si="7"/>
        <v>9003.4560000000001</v>
      </c>
      <c r="K73" s="40">
        <v>9003.4599999999991</v>
      </c>
      <c r="L73" s="40">
        <f t="shared" si="10"/>
        <v>-3.9999999989959178E-3</v>
      </c>
      <c r="M73" s="38" t="s">
        <v>35</v>
      </c>
      <c r="N73" s="54"/>
      <c r="O73" s="36"/>
      <c r="P73" s="40">
        <v>0</v>
      </c>
      <c r="Q73" s="40">
        <v>0</v>
      </c>
      <c r="R73" s="41"/>
      <c r="S73" s="40">
        <v>4200</v>
      </c>
      <c r="T73" s="40">
        <v>0</v>
      </c>
      <c r="U73" s="40">
        <v>561.6</v>
      </c>
      <c r="V73" s="40">
        <v>0</v>
      </c>
      <c r="W73" s="40">
        <v>0</v>
      </c>
      <c r="X73" s="40">
        <v>3000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36">
        <f t="shared" si="8"/>
        <v>0</v>
      </c>
      <c r="AJ73" s="93">
        <v>0.70199999999999996</v>
      </c>
      <c r="AK73" s="40" t="s">
        <v>1842</v>
      </c>
      <c r="AL73" s="40" t="s">
        <v>1839</v>
      </c>
      <c r="AM73"/>
      <c r="AN73" s="37"/>
      <c r="AP73" s="1"/>
      <c r="AQ73" s="1"/>
    </row>
    <row r="74" spans="1:43" ht="15.6" hidden="1" customHeight="1" x14ac:dyDescent="0.3">
      <c r="A74" s="38">
        <v>2</v>
      </c>
      <c r="B74" s="38" t="s">
        <v>2393</v>
      </c>
      <c r="C74" s="38" t="s">
        <v>2394</v>
      </c>
      <c r="D74" s="39">
        <v>46021</v>
      </c>
      <c r="E74" s="38" t="s">
        <v>22</v>
      </c>
      <c r="F74" s="38" t="s">
        <v>45</v>
      </c>
      <c r="G74" s="40">
        <v>0</v>
      </c>
      <c r="H74" s="84">
        <v>7200</v>
      </c>
      <c r="I74" s="40">
        <f t="shared" si="9"/>
        <v>1152</v>
      </c>
      <c r="J74" s="40">
        <f t="shared" si="7"/>
        <v>8352</v>
      </c>
      <c r="K74" s="40">
        <v>8352</v>
      </c>
      <c r="L74" s="40">
        <f t="shared" si="10"/>
        <v>0</v>
      </c>
      <c r="M74" s="38" t="s">
        <v>35</v>
      </c>
      <c r="N74" s="54"/>
      <c r="O74" s="36"/>
      <c r="P74" s="40">
        <v>0</v>
      </c>
      <c r="Q74" s="40">
        <v>0</v>
      </c>
      <c r="R74" s="41"/>
      <c r="S74" s="40">
        <v>4200</v>
      </c>
      <c r="T74" s="40">
        <v>0</v>
      </c>
      <c r="U74" s="40">
        <v>0</v>
      </c>
      <c r="V74" s="40">
        <v>0</v>
      </c>
      <c r="W74" s="40">
        <v>0</v>
      </c>
      <c r="X74" s="40">
        <v>3000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36">
        <f t="shared" si="8"/>
        <v>0</v>
      </c>
      <c r="AJ74" s="93">
        <v>0.73599999999999999</v>
      </c>
      <c r="AK74" s="40" t="s">
        <v>1842</v>
      </c>
      <c r="AL74" s="40" t="s">
        <v>1839</v>
      </c>
      <c r="AM74"/>
      <c r="AN74" s="37"/>
      <c r="AP74" s="1"/>
      <c r="AQ74" s="1"/>
    </row>
    <row r="75" spans="1:43" ht="15.6" customHeight="1" x14ac:dyDescent="0.3">
      <c r="A75" s="38">
        <v>1</v>
      </c>
      <c r="B75" s="38" t="s">
        <v>2395</v>
      </c>
      <c r="C75" s="38" t="s">
        <v>2396</v>
      </c>
      <c r="D75" s="39">
        <v>46021</v>
      </c>
      <c r="E75" s="38" t="s">
        <v>53</v>
      </c>
      <c r="F75" s="38" t="s">
        <v>199</v>
      </c>
      <c r="G75" s="40">
        <f>781+781</f>
        <v>1562</v>
      </c>
      <c r="H75" s="84">
        <f>314238.79-G75</f>
        <v>312676.78999999998</v>
      </c>
      <c r="I75" s="40">
        <f t="shared" si="9"/>
        <v>50028.286399999997</v>
      </c>
      <c r="J75" s="40">
        <f t="shared" si="7"/>
        <v>364267.07639999996</v>
      </c>
      <c r="K75" s="40">
        <v>616416.19999999995</v>
      </c>
      <c r="L75" s="40">
        <f t="shared" si="10"/>
        <v>-252149.12359999999</v>
      </c>
      <c r="M75" s="38" t="s">
        <v>35</v>
      </c>
      <c r="N75" s="54"/>
      <c r="O75" s="36"/>
      <c r="P75" s="40">
        <v>0</v>
      </c>
      <c r="Q75" s="40">
        <f>781+781</f>
        <v>1562</v>
      </c>
      <c r="R75" s="41"/>
      <c r="S75" s="40">
        <f>45360+6000</f>
        <v>51360</v>
      </c>
      <c r="T75" s="40">
        <v>0</v>
      </c>
      <c r="U75" s="40">
        <v>179418.79</v>
      </c>
      <c r="V75" s="40">
        <v>76498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5400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36">
        <f t="shared" si="8"/>
        <v>0</v>
      </c>
      <c r="AJ75" s="93">
        <v>0.24</v>
      </c>
      <c r="AK75" s="40" t="s">
        <v>1843</v>
      </c>
      <c r="AL75" s="40" t="s">
        <v>1844</v>
      </c>
      <c r="AM75"/>
      <c r="AN75" s="37"/>
      <c r="AP75" s="1"/>
      <c r="AQ75" s="1"/>
    </row>
    <row r="76" spans="1:43" ht="15.6" hidden="1" customHeight="1" x14ac:dyDescent="0.3">
      <c r="A76" s="38">
        <v>2</v>
      </c>
      <c r="B76" s="38" t="s">
        <v>2397</v>
      </c>
      <c r="C76" s="38" t="s">
        <v>2398</v>
      </c>
      <c r="D76" s="39">
        <v>46021</v>
      </c>
      <c r="E76" s="38" t="s">
        <v>22</v>
      </c>
      <c r="F76" s="38" t="s">
        <v>45</v>
      </c>
      <c r="G76" s="40">
        <v>336</v>
      </c>
      <c r="H76" s="84">
        <f>8009-G76</f>
        <v>7673</v>
      </c>
      <c r="I76" s="40">
        <f t="shared" si="9"/>
        <v>1227.68</v>
      </c>
      <c r="J76" s="40">
        <f t="shared" si="7"/>
        <v>9236.68</v>
      </c>
      <c r="K76" s="40">
        <v>9236.68</v>
      </c>
      <c r="L76" s="40">
        <f t="shared" si="10"/>
        <v>0</v>
      </c>
      <c r="M76" s="38" t="s">
        <v>35</v>
      </c>
      <c r="N76" s="54"/>
      <c r="O76" s="36"/>
      <c r="P76" s="40">
        <v>0</v>
      </c>
      <c r="Q76" s="40">
        <v>336</v>
      </c>
      <c r="R76" s="41"/>
      <c r="S76" s="40">
        <v>4200</v>
      </c>
      <c r="T76" s="40">
        <v>0</v>
      </c>
      <c r="U76" s="40">
        <v>473</v>
      </c>
      <c r="V76" s="40">
        <v>0</v>
      </c>
      <c r="W76" s="40">
        <v>0</v>
      </c>
      <c r="X76" s="40">
        <v>3000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36">
        <f t="shared" si="8"/>
        <v>0</v>
      </c>
      <c r="AJ76" s="93">
        <v>0.70699999999999996</v>
      </c>
      <c r="AK76" s="40" t="s">
        <v>1842</v>
      </c>
      <c r="AL76" s="40" t="s">
        <v>1839</v>
      </c>
      <c r="AM76"/>
      <c r="AN76" s="37"/>
      <c r="AP76" s="1"/>
      <c r="AQ76" s="1"/>
    </row>
    <row r="77" spans="1:43" ht="15.6" customHeight="1" x14ac:dyDescent="0.3">
      <c r="A77" s="38">
        <v>2</v>
      </c>
      <c r="B77" s="38" t="s">
        <v>2399</v>
      </c>
      <c r="C77" s="38" t="s">
        <v>2400</v>
      </c>
      <c r="D77" s="39">
        <v>46021</v>
      </c>
      <c r="E77" s="38" t="s">
        <v>53</v>
      </c>
      <c r="F77" s="38" t="s">
        <v>199</v>
      </c>
      <c r="G77" s="40">
        <v>0</v>
      </c>
      <c r="H77" s="84">
        <f>8000+13400</f>
        <v>21400</v>
      </c>
      <c r="I77" s="40">
        <f t="shared" si="9"/>
        <v>3424</v>
      </c>
      <c r="J77" s="40">
        <f t="shared" si="7"/>
        <v>24824</v>
      </c>
      <c r="K77" s="40">
        <v>24824</v>
      </c>
      <c r="L77" s="40">
        <f t="shared" si="10"/>
        <v>0</v>
      </c>
      <c r="M77" s="38" t="s">
        <v>35</v>
      </c>
      <c r="N77" s="54"/>
      <c r="O77" s="36"/>
      <c r="P77" s="40">
        <v>0</v>
      </c>
      <c r="Q77" s="40">
        <v>0</v>
      </c>
      <c r="R77" s="41"/>
      <c r="S77" s="40">
        <v>8000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13400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36">
        <f t="shared" si="8"/>
        <v>0</v>
      </c>
      <c r="AJ77" s="93">
        <v>0.504</v>
      </c>
      <c r="AK77" s="40" t="s">
        <v>2056</v>
      </c>
      <c r="AL77" s="40" t="s">
        <v>1839</v>
      </c>
      <c r="AM77"/>
      <c r="AN77" s="37"/>
      <c r="AP77" s="1"/>
      <c r="AQ77" s="1"/>
    </row>
    <row r="78" spans="1:43" ht="15.6" hidden="1" customHeight="1" x14ac:dyDescent="0.3">
      <c r="A78" s="38">
        <v>1</v>
      </c>
      <c r="B78" s="38" t="s">
        <v>2402</v>
      </c>
      <c r="C78" s="38" t="s">
        <v>2287</v>
      </c>
      <c r="D78" s="39">
        <v>46021</v>
      </c>
      <c r="E78" s="38" t="s">
        <v>223</v>
      </c>
      <c r="F78" s="38" t="s">
        <v>1178</v>
      </c>
      <c r="G78" s="40">
        <v>314589</v>
      </c>
      <c r="H78" s="84">
        <f>432692.45-G78</f>
        <v>118103.45000000001</v>
      </c>
      <c r="I78" s="40">
        <f t="shared" si="9"/>
        <v>18896.552000000003</v>
      </c>
      <c r="J78" s="40">
        <f t="shared" si="7"/>
        <v>451589.00200000004</v>
      </c>
      <c r="K78" s="40">
        <v>451589</v>
      </c>
      <c r="L78" s="40">
        <f t="shared" si="10"/>
        <v>2.0000000367872417E-3</v>
      </c>
      <c r="M78" s="38" t="s">
        <v>35</v>
      </c>
      <c r="N78" s="54"/>
      <c r="O78" s="36"/>
      <c r="P78" s="40">
        <v>0</v>
      </c>
      <c r="Q78" s="40">
        <v>314589</v>
      </c>
      <c r="R78" s="41"/>
      <c r="S78" s="40">
        <v>7500</v>
      </c>
      <c r="T78" s="40">
        <v>3103.45</v>
      </c>
      <c r="U78" s="40">
        <v>29500</v>
      </c>
      <c r="V78" s="40">
        <v>0</v>
      </c>
      <c r="W78" s="40">
        <v>78000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36">
        <f t="shared" si="8"/>
        <v>0</v>
      </c>
      <c r="AJ78" s="93">
        <v>0.26600000000000001</v>
      </c>
      <c r="AK78" s="40" t="s">
        <v>1857</v>
      </c>
      <c r="AL78" s="40" t="s">
        <v>2442</v>
      </c>
      <c r="AM78"/>
      <c r="AN78" s="37"/>
      <c r="AP78" s="1"/>
      <c r="AQ78" s="1"/>
    </row>
    <row r="79" spans="1:43" ht="15.6" customHeight="1" x14ac:dyDescent="0.3">
      <c r="A79" s="38">
        <v>2</v>
      </c>
      <c r="B79" s="38" t="s">
        <v>2403</v>
      </c>
      <c r="C79" s="38" t="s">
        <v>2404</v>
      </c>
      <c r="D79" s="39">
        <v>46021</v>
      </c>
      <c r="E79" s="38" t="s">
        <v>53</v>
      </c>
      <c r="F79" s="38" t="s">
        <v>199</v>
      </c>
      <c r="G79" s="40">
        <v>2276</v>
      </c>
      <c r="H79" s="84">
        <f>8000+13400</f>
        <v>21400</v>
      </c>
      <c r="I79" s="40">
        <f t="shared" si="9"/>
        <v>3424</v>
      </c>
      <c r="J79" s="40">
        <f t="shared" si="7"/>
        <v>27100</v>
      </c>
      <c r="K79" s="40">
        <v>27102</v>
      </c>
      <c r="L79" s="40">
        <f t="shared" si="10"/>
        <v>-2</v>
      </c>
      <c r="M79" s="38" t="s">
        <v>35</v>
      </c>
      <c r="N79" s="54"/>
      <c r="O79" s="36"/>
      <c r="P79" s="40">
        <v>0</v>
      </c>
      <c r="Q79" s="40">
        <v>2276</v>
      </c>
      <c r="R79" s="41"/>
      <c r="S79" s="40">
        <v>8000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13400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36">
        <f t="shared" si="8"/>
        <v>0</v>
      </c>
      <c r="AJ79" s="93">
        <v>0.504</v>
      </c>
      <c r="AK79" s="40" t="s">
        <v>2056</v>
      </c>
      <c r="AL79" s="40" t="s">
        <v>1839</v>
      </c>
      <c r="AM79"/>
      <c r="AN79" s="37"/>
      <c r="AP79" s="1"/>
      <c r="AQ79" s="1"/>
    </row>
    <row r="80" spans="1:43" ht="15.6" customHeight="1" x14ac:dyDescent="0.3">
      <c r="A80" s="38">
        <v>1</v>
      </c>
      <c r="B80" s="38" t="s">
        <v>2409</v>
      </c>
      <c r="C80" s="38" t="s">
        <v>2410</v>
      </c>
      <c r="D80" s="39">
        <v>46021</v>
      </c>
      <c r="E80" s="38" t="s">
        <v>53</v>
      </c>
      <c r="F80" s="38" t="s">
        <v>199</v>
      </c>
      <c r="G80" s="40">
        <v>0</v>
      </c>
      <c r="H80" s="84">
        <v>22425.64</v>
      </c>
      <c r="I80" s="40">
        <f t="shared" si="9"/>
        <v>3588.1023999999998</v>
      </c>
      <c r="J80" s="40">
        <f t="shared" si="7"/>
        <v>26013.742399999999</v>
      </c>
      <c r="K80" s="40">
        <v>54752</v>
      </c>
      <c r="L80" s="40">
        <f t="shared" si="10"/>
        <v>-28738.257600000001</v>
      </c>
      <c r="M80" s="38" t="s">
        <v>35</v>
      </c>
      <c r="N80" s="54"/>
      <c r="O80" s="36"/>
      <c r="P80" s="40">
        <v>0</v>
      </c>
      <c r="Q80" s="40">
        <v>0</v>
      </c>
      <c r="R80" s="41"/>
      <c r="S80" s="40">
        <v>7200</v>
      </c>
      <c r="T80" s="40">
        <v>0</v>
      </c>
      <c r="U80" s="40">
        <v>15225.64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36">
        <f t="shared" si="8"/>
        <v>0</v>
      </c>
      <c r="AJ80" s="93">
        <v>0.188</v>
      </c>
      <c r="AK80" s="40" t="s">
        <v>2056</v>
      </c>
      <c r="AL80" s="40" t="s">
        <v>1884</v>
      </c>
      <c r="AM80"/>
      <c r="AN80" s="37"/>
      <c r="AP80" s="1"/>
      <c r="AQ80" s="1"/>
    </row>
    <row r="81" spans="1:43" ht="15.6" customHeight="1" x14ac:dyDescent="0.3">
      <c r="A81" s="38">
        <v>1</v>
      </c>
      <c r="B81" s="38" t="s">
        <v>2414</v>
      </c>
      <c r="C81" s="38" t="s">
        <v>2415</v>
      </c>
      <c r="D81" s="39">
        <v>46021</v>
      </c>
      <c r="E81" s="38" t="s">
        <v>53</v>
      </c>
      <c r="F81" s="38" t="s">
        <v>199</v>
      </c>
      <c r="G81" s="40">
        <v>90760</v>
      </c>
      <c r="H81" s="84">
        <f>140883.8-G81</f>
        <v>50123.799999999988</v>
      </c>
      <c r="I81" s="40">
        <f t="shared" si="9"/>
        <v>8019.8079999999982</v>
      </c>
      <c r="J81" s="40">
        <f t="shared" si="7"/>
        <v>148903.60799999998</v>
      </c>
      <c r="K81" s="40">
        <v>158312.6</v>
      </c>
      <c r="L81" s="40">
        <f t="shared" si="10"/>
        <v>-9408.9920000000275</v>
      </c>
      <c r="M81" s="38" t="s">
        <v>35</v>
      </c>
      <c r="N81" s="54"/>
      <c r="O81" s="36"/>
      <c r="P81" s="40">
        <v>0</v>
      </c>
      <c r="Q81" s="40">
        <v>90760</v>
      </c>
      <c r="R81" s="41"/>
      <c r="S81" s="40">
        <v>6607.8</v>
      </c>
      <c r="T81" s="40">
        <v>0</v>
      </c>
      <c r="U81" s="40">
        <v>30141</v>
      </c>
      <c r="V81" s="40">
        <v>12700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675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36">
        <f t="shared" si="8"/>
        <v>0</v>
      </c>
      <c r="AJ81" s="93">
        <v>0.15</v>
      </c>
      <c r="AK81" s="40" t="s">
        <v>1843</v>
      </c>
      <c r="AL81" s="40" t="s">
        <v>1844</v>
      </c>
      <c r="AM81"/>
      <c r="AN81" s="37"/>
      <c r="AP81" s="1"/>
      <c r="AQ81" s="1"/>
    </row>
    <row r="82" spans="1:43" ht="15.6" customHeight="1" x14ac:dyDescent="0.3">
      <c r="A82" s="38">
        <v>1</v>
      </c>
      <c r="B82" s="38" t="s">
        <v>2416</v>
      </c>
      <c r="C82" s="38" t="s">
        <v>2417</v>
      </c>
      <c r="D82" s="39">
        <v>46021</v>
      </c>
      <c r="E82" s="38" t="s">
        <v>53</v>
      </c>
      <c r="F82" s="38" t="s">
        <v>199</v>
      </c>
      <c r="G82" s="40">
        <v>781</v>
      </c>
      <c r="H82" s="84">
        <f>460585-781</f>
        <v>459804</v>
      </c>
      <c r="I82" s="40">
        <f t="shared" si="9"/>
        <v>73568.639999999999</v>
      </c>
      <c r="J82" s="40">
        <f t="shared" si="7"/>
        <v>534153.64</v>
      </c>
      <c r="K82" s="40">
        <v>540420.80000000005</v>
      </c>
      <c r="L82" s="40">
        <f t="shared" si="10"/>
        <v>-6267.1600000000326</v>
      </c>
      <c r="M82" s="38" t="s">
        <v>35</v>
      </c>
      <c r="N82" s="54"/>
      <c r="O82" s="36"/>
      <c r="P82" s="40">
        <v>0</v>
      </c>
      <c r="Q82" s="40">
        <v>781</v>
      </c>
      <c r="R82" s="41"/>
      <c r="S82" s="40">
        <v>54720</v>
      </c>
      <c r="T82" s="40">
        <v>0</v>
      </c>
      <c r="U82" s="40">
        <v>242755</v>
      </c>
      <c r="V82" s="40">
        <v>156929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5400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36">
        <f t="shared" si="8"/>
        <v>0</v>
      </c>
      <c r="AJ82" s="93">
        <v>0.155</v>
      </c>
      <c r="AK82" s="40" t="s">
        <v>1843</v>
      </c>
      <c r="AL82" s="40" t="s">
        <v>1844</v>
      </c>
      <c r="AM82"/>
      <c r="AN82" s="37"/>
      <c r="AP82" s="1"/>
      <c r="AQ82" s="1"/>
    </row>
    <row r="83" spans="1:43" ht="15.6" hidden="1" customHeight="1" x14ac:dyDescent="0.3">
      <c r="A83" s="38">
        <v>1</v>
      </c>
      <c r="B83" s="38" t="s">
        <v>2418</v>
      </c>
      <c r="C83" s="38" t="s">
        <v>2419</v>
      </c>
      <c r="D83" s="39">
        <v>46021</v>
      </c>
      <c r="E83" s="38" t="s">
        <v>22</v>
      </c>
      <c r="F83" s="38" t="s">
        <v>45</v>
      </c>
      <c r="G83" s="40">
        <v>336</v>
      </c>
      <c r="H83" s="84">
        <f>6000+2152</f>
        <v>8152</v>
      </c>
      <c r="I83" s="40">
        <f t="shared" si="9"/>
        <v>1304.32</v>
      </c>
      <c r="J83" s="40">
        <f t="shared" si="7"/>
        <v>9792.32</v>
      </c>
      <c r="K83" s="40">
        <v>11936</v>
      </c>
      <c r="L83" s="40">
        <f t="shared" si="10"/>
        <v>-2143.6800000000003</v>
      </c>
      <c r="M83" s="38" t="s">
        <v>35</v>
      </c>
      <c r="N83" s="54"/>
      <c r="O83" s="36"/>
      <c r="P83" s="40">
        <v>0</v>
      </c>
      <c r="Q83" s="40">
        <v>336</v>
      </c>
      <c r="R83" s="41"/>
      <c r="S83" s="40">
        <v>6000</v>
      </c>
      <c r="T83" s="40">
        <v>0</v>
      </c>
      <c r="U83" s="40">
        <v>2152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36">
        <f t="shared" si="8"/>
        <v>0</v>
      </c>
      <c r="AJ83" s="93">
        <v>0.52500000000000002</v>
      </c>
      <c r="AK83" s="40" t="s">
        <v>1842</v>
      </c>
      <c r="AL83" s="40" t="s">
        <v>1884</v>
      </c>
      <c r="AM83"/>
      <c r="AN83" s="37"/>
      <c r="AP83" s="1"/>
      <c r="AQ83" s="1"/>
    </row>
    <row r="84" spans="1:43" ht="15.6" hidden="1" customHeight="1" x14ac:dyDescent="0.3">
      <c r="A84" s="38">
        <v>2</v>
      </c>
      <c r="B84" s="38" t="s">
        <v>2420</v>
      </c>
      <c r="C84" s="38" t="s">
        <v>2421</v>
      </c>
      <c r="D84" s="39">
        <v>46021</v>
      </c>
      <c r="E84" s="38" t="s">
        <v>22</v>
      </c>
      <c r="F84" s="38" t="s">
        <v>45</v>
      </c>
      <c r="G84" s="40">
        <v>336</v>
      </c>
      <c r="H84" s="84">
        <v>4200</v>
      </c>
      <c r="I84" s="40">
        <f t="shared" si="9"/>
        <v>672</v>
      </c>
      <c r="J84" s="40">
        <f t="shared" si="7"/>
        <v>5208</v>
      </c>
      <c r="K84" s="40">
        <v>5208</v>
      </c>
      <c r="L84" s="40">
        <f t="shared" si="10"/>
        <v>0</v>
      </c>
      <c r="M84" s="38" t="s">
        <v>35</v>
      </c>
      <c r="N84" s="54"/>
      <c r="O84" s="36"/>
      <c r="P84" s="40">
        <v>0</v>
      </c>
      <c r="Q84" s="40">
        <v>336</v>
      </c>
      <c r="R84" s="41"/>
      <c r="S84" s="40">
        <v>4200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36">
        <f t="shared" si="8"/>
        <v>0</v>
      </c>
      <c r="AJ84" s="93">
        <v>0.61899999999999999</v>
      </c>
      <c r="AK84" s="40" t="s">
        <v>1842</v>
      </c>
      <c r="AL84" s="40" t="s">
        <v>1839</v>
      </c>
      <c r="AM84"/>
      <c r="AN84" s="37"/>
      <c r="AP84" s="1"/>
      <c r="AQ84" s="1"/>
    </row>
    <row r="85" spans="1:43" ht="15.6" hidden="1" customHeight="1" x14ac:dyDescent="0.3">
      <c r="A85" s="38">
        <v>1</v>
      </c>
      <c r="B85" s="38" t="s">
        <v>2422</v>
      </c>
      <c r="C85" s="38" t="s">
        <v>2423</v>
      </c>
      <c r="D85" s="39">
        <v>46021</v>
      </c>
      <c r="E85" s="38" t="s">
        <v>22</v>
      </c>
      <c r="F85" s="38" t="s">
        <v>45</v>
      </c>
      <c r="G85" s="40">
        <v>336</v>
      </c>
      <c r="H85" s="84">
        <f>6000+2380</f>
        <v>8380</v>
      </c>
      <c r="I85" s="40">
        <f t="shared" si="9"/>
        <v>1340.8</v>
      </c>
      <c r="J85" s="40">
        <f t="shared" si="7"/>
        <v>10056.799999999999</v>
      </c>
      <c r="K85" s="40">
        <v>11936</v>
      </c>
      <c r="L85" s="40">
        <f t="shared" si="10"/>
        <v>-1879.2000000000007</v>
      </c>
      <c r="M85" s="38" t="s">
        <v>35</v>
      </c>
      <c r="N85" s="54"/>
      <c r="O85" s="36"/>
      <c r="P85" s="40">
        <v>0</v>
      </c>
      <c r="Q85" s="40">
        <v>336</v>
      </c>
      <c r="R85" s="41"/>
      <c r="S85" s="40">
        <v>6000</v>
      </c>
      <c r="T85" s="40">
        <v>0</v>
      </c>
      <c r="U85" s="40">
        <v>2380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36">
        <f t="shared" si="8"/>
        <v>0</v>
      </c>
      <c r="AJ85" s="93">
        <v>0.19700000000000001</v>
      </c>
      <c r="AK85" s="40" t="s">
        <v>1842</v>
      </c>
      <c r="AL85" s="40" t="s">
        <v>1884</v>
      </c>
      <c r="AM85"/>
      <c r="AN85" s="37"/>
      <c r="AP85" s="1"/>
      <c r="AQ85" s="1"/>
    </row>
    <row r="86" spans="1:43" ht="15.6" hidden="1" customHeight="1" x14ac:dyDescent="0.3">
      <c r="A86" s="38">
        <v>2</v>
      </c>
      <c r="B86" s="38" t="s">
        <v>2424</v>
      </c>
      <c r="C86" s="38" t="s">
        <v>2425</v>
      </c>
      <c r="D86" s="39">
        <v>46022</v>
      </c>
      <c r="E86" s="38" t="s">
        <v>22</v>
      </c>
      <c r="F86" s="38" t="s">
        <v>45</v>
      </c>
      <c r="G86" s="40">
        <v>336</v>
      </c>
      <c r="H86" s="84">
        <v>4200</v>
      </c>
      <c r="I86" s="40">
        <f t="shared" si="9"/>
        <v>672</v>
      </c>
      <c r="J86" s="40">
        <f t="shared" si="7"/>
        <v>5208</v>
      </c>
      <c r="K86" s="40">
        <v>5208</v>
      </c>
      <c r="L86" s="40">
        <f t="shared" si="10"/>
        <v>0</v>
      </c>
      <c r="M86" s="38" t="s">
        <v>35</v>
      </c>
      <c r="N86" s="54"/>
      <c r="O86" s="36"/>
      <c r="P86" s="40">
        <v>0</v>
      </c>
      <c r="Q86" s="40">
        <v>336</v>
      </c>
      <c r="R86" s="41"/>
      <c r="S86" s="40">
        <v>4200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36">
        <f t="shared" si="8"/>
        <v>0</v>
      </c>
      <c r="AJ86" s="93">
        <v>0.61899999999999999</v>
      </c>
      <c r="AK86" s="40" t="s">
        <v>1842</v>
      </c>
      <c r="AL86" s="40" t="s">
        <v>1839</v>
      </c>
      <c r="AM86"/>
      <c r="AN86" s="37"/>
      <c r="AP86" s="1"/>
      <c r="AQ86" s="1"/>
    </row>
    <row r="87" spans="1:43" ht="15.6" hidden="1" customHeight="1" x14ac:dyDescent="0.3">
      <c r="A87" s="38">
        <v>2</v>
      </c>
      <c r="B87" s="38" t="s">
        <v>2426</v>
      </c>
      <c r="C87" s="38" t="s">
        <v>2427</v>
      </c>
      <c r="D87" s="39">
        <v>46022</v>
      </c>
      <c r="E87" s="38" t="s">
        <v>22</v>
      </c>
      <c r="F87" s="38" t="s">
        <v>45</v>
      </c>
      <c r="G87" s="40">
        <v>336</v>
      </c>
      <c r="H87" s="90">
        <v>4200</v>
      </c>
      <c r="I87" s="40">
        <f t="shared" si="9"/>
        <v>672</v>
      </c>
      <c r="J87" s="40">
        <f t="shared" si="7"/>
        <v>5208</v>
      </c>
      <c r="K87" s="40">
        <v>5208</v>
      </c>
      <c r="L87" s="40">
        <f t="shared" si="10"/>
        <v>0</v>
      </c>
      <c r="M87" s="38" t="s">
        <v>35</v>
      </c>
      <c r="N87" s="54"/>
      <c r="O87" s="36"/>
      <c r="P87" s="40">
        <v>0</v>
      </c>
      <c r="Q87" s="40">
        <v>336</v>
      </c>
      <c r="R87" s="41"/>
      <c r="S87" s="40">
        <v>4200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36">
        <f t="shared" si="8"/>
        <v>0</v>
      </c>
      <c r="AJ87" s="93">
        <v>0.61899999999999999</v>
      </c>
      <c r="AK87" s="40" t="s">
        <v>1842</v>
      </c>
      <c r="AL87" s="40" t="s">
        <v>1839</v>
      </c>
      <c r="AM87"/>
      <c r="AN87" s="37"/>
      <c r="AP87" s="1"/>
      <c r="AQ87" s="1"/>
    </row>
    <row r="88" spans="1:43" ht="15.6" hidden="1" customHeight="1" x14ac:dyDescent="0.3">
      <c r="A88" s="38">
        <v>2</v>
      </c>
      <c r="B88" s="38" t="s">
        <v>2428</v>
      </c>
      <c r="C88" s="38" t="s">
        <v>2429</v>
      </c>
      <c r="D88" s="39">
        <v>46022</v>
      </c>
      <c r="E88" s="38" t="s">
        <v>22</v>
      </c>
      <c r="F88" s="38" t="s">
        <v>45</v>
      </c>
      <c r="G88" s="40">
        <v>336</v>
      </c>
      <c r="H88" s="90">
        <v>4200</v>
      </c>
      <c r="I88" s="40">
        <f t="shared" si="9"/>
        <v>672</v>
      </c>
      <c r="J88" s="40">
        <f t="shared" si="7"/>
        <v>5208</v>
      </c>
      <c r="K88" s="40">
        <v>5208</v>
      </c>
      <c r="L88" s="40">
        <f t="shared" si="10"/>
        <v>0</v>
      </c>
      <c r="M88" s="38" t="s">
        <v>35</v>
      </c>
      <c r="N88" s="54"/>
      <c r="O88" s="36"/>
      <c r="P88" s="40">
        <v>0</v>
      </c>
      <c r="Q88" s="40">
        <v>336</v>
      </c>
      <c r="R88" s="41"/>
      <c r="S88" s="40">
        <v>4200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36">
        <f t="shared" si="8"/>
        <v>0</v>
      </c>
      <c r="AJ88" s="93">
        <v>0.61899999999999999</v>
      </c>
      <c r="AK88" s="40" t="s">
        <v>1842</v>
      </c>
      <c r="AL88" s="40" t="s">
        <v>1839</v>
      </c>
      <c r="AM88"/>
      <c r="AN88" s="37"/>
      <c r="AP88" s="1"/>
      <c r="AQ88" s="1"/>
    </row>
    <row r="89" spans="1:43" ht="15.6" customHeight="1" x14ac:dyDescent="0.3">
      <c r="A89" s="38">
        <v>1</v>
      </c>
      <c r="B89" s="38" t="s">
        <v>2430</v>
      </c>
      <c r="C89" s="38" t="s">
        <v>2431</v>
      </c>
      <c r="D89" s="39">
        <v>46022</v>
      </c>
      <c r="E89" s="38" t="s">
        <v>53</v>
      </c>
      <c r="F89" s="38" t="s">
        <v>199</v>
      </c>
      <c r="G89" s="40">
        <v>1003</v>
      </c>
      <c r="H89" s="90">
        <f>25239.56+7200</f>
        <v>32439.56</v>
      </c>
      <c r="I89" s="40">
        <f t="shared" si="9"/>
        <v>5190.3296</v>
      </c>
      <c r="J89" s="40">
        <f t="shared" si="7"/>
        <v>38632.889599999995</v>
      </c>
      <c r="K89" s="40">
        <v>55978</v>
      </c>
      <c r="L89" s="40">
        <f t="shared" si="10"/>
        <v>-17345.110400000005</v>
      </c>
      <c r="M89" s="38" t="s">
        <v>35</v>
      </c>
      <c r="N89" s="54"/>
      <c r="O89" s="36"/>
      <c r="P89" s="40">
        <v>0</v>
      </c>
      <c r="Q89" s="40">
        <v>1003</v>
      </c>
      <c r="R89" s="41"/>
      <c r="S89" s="40">
        <v>7200</v>
      </c>
      <c r="T89" s="40">
        <v>0</v>
      </c>
      <c r="U89" s="40">
        <v>25239.56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36">
        <f t="shared" si="8"/>
        <v>0</v>
      </c>
      <c r="AJ89" s="93">
        <v>0.158</v>
      </c>
      <c r="AK89" s="40" t="s">
        <v>2056</v>
      </c>
      <c r="AL89" s="40" t="s">
        <v>1884</v>
      </c>
      <c r="AM89"/>
      <c r="AN89" s="37"/>
      <c r="AP89" s="1"/>
      <c r="AQ89" s="1"/>
    </row>
    <row r="90" spans="1:43" ht="15.6" customHeight="1" x14ac:dyDescent="0.3">
      <c r="A90" s="38">
        <v>1</v>
      </c>
      <c r="B90" s="38" t="s">
        <v>2432</v>
      </c>
      <c r="C90" s="38" t="s">
        <v>2433</v>
      </c>
      <c r="D90" s="39">
        <v>46022</v>
      </c>
      <c r="E90" s="38" t="s">
        <v>53</v>
      </c>
      <c r="F90" s="38" t="s">
        <v>199</v>
      </c>
      <c r="G90" s="40">
        <v>1314</v>
      </c>
      <c r="H90" s="90">
        <f>7200+15978.12</f>
        <v>23178.120000000003</v>
      </c>
      <c r="I90" s="40">
        <f t="shared" si="9"/>
        <v>3708.4992000000007</v>
      </c>
      <c r="J90" s="40">
        <f t="shared" si="7"/>
        <v>28200.619200000005</v>
      </c>
      <c r="K90" s="40">
        <v>54752</v>
      </c>
      <c r="L90" s="40">
        <f t="shared" si="10"/>
        <v>-26551.380799999995</v>
      </c>
      <c r="M90" s="38" t="s">
        <v>35</v>
      </c>
      <c r="N90" s="54"/>
      <c r="O90" s="36"/>
      <c r="P90" s="40">
        <v>0</v>
      </c>
      <c r="Q90" s="40">
        <v>1314</v>
      </c>
      <c r="R90" s="41"/>
      <c r="S90" s="40">
        <v>7200</v>
      </c>
      <c r="T90" s="40">
        <v>0</v>
      </c>
      <c r="U90" s="40">
        <v>15978.12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36">
        <f t="shared" si="8"/>
        <v>0</v>
      </c>
      <c r="AJ90" s="93">
        <v>0.189</v>
      </c>
      <c r="AK90" s="40" t="s">
        <v>2056</v>
      </c>
      <c r="AL90" s="40" t="s">
        <v>1884</v>
      </c>
      <c r="AM90"/>
      <c r="AN90" s="37"/>
      <c r="AP90" s="1"/>
      <c r="AQ90" s="1"/>
    </row>
    <row r="91" spans="1:43" ht="15.6" hidden="1" customHeight="1" x14ac:dyDescent="0.3">
      <c r="A91" s="38">
        <v>2</v>
      </c>
      <c r="B91" s="38" t="s">
        <v>2434</v>
      </c>
      <c r="C91" s="38" t="s">
        <v>2435</v>
      </c>
      <c r="D91" s="39">
        <v>46022</v>
      </c>
      <c r="E91" s="38" t="s">
        <v>20</v>
      </c>
      <c r="F91" s="38" t="s">
        <v>1236</v>
      </c>
      <c r="G91" s="40">
        <v>212176</v>
      </c>
      <c r="H91" s="90">
        <v>0.01</v>
      </c>
      <c r="I91" s="40">
        <f t="shared" si="9"/>
        <v>1.6000000000000001E-3</v>
      </c>
      <c r="J91" s="40">
        <f t="shared" si="7"/>
        <v>212176.0116</v>
      </c>
      <c r="K91" s="40">
        <v>212748</v>
      </c>
      <c r="L91" s="40">
        <f t="shared" si="10"/>
        <v>-571.988400000002</v>
      </c>
      <c r="M91" s="38" t="s">
        <v>35</v>
      </c>
      <c r="N91" s="54"/>
      <c r="O91" s="36"/>
      <c r="P91" s="40">
        <v>0</v>
      </c>
      <c r="Q91" s="40">
        <v>212176</v>
      </c>
      <c r="R91" s="41"/>
      <c r="S91" s="40">
        <v>0.01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36">
        <f t="shared" si="8"/>
        <v>0</v>
      </c>
      <c r="AJ91" s="93">
        <v>1</v>
      </c>
      <c r="AK91" s="40" t="s">
        <v>2055</v>
      </c>
      <c r="AL91" s="40" t="s">
        <v>1839</v>
      </c>
      <c r="AM91"/>
      <c r="AN91" s="37"/>
      <c r="AP91" s="1"/>
      <c r="AQ91" s="1"/>
    </row>
    <row r="92" spans="1:43" ht="15.6" hidden="1" customHeight="1" x14ac:dyDescent="0.3">
      <c r="A92" s="38"/>
      <c r="B92" s="38"/>
      <c r="C92" s="38"/>
      <c r="D92" s="39"/>
      <c r="E92" s="38"/>
      <c r="F92" s="38"/>
      <c r="G92" s="40"/>
      <c r="H92" s="90"/>
      <c r="I92" s="40">
        <f t="shared" si="9"/>
        <v>0</v>
      </c>
      <c r="J92" s="40">
        <f t="shared" si="7"/>
        <v>0</v>
      </c>
      <c r="K92" s="40">
        <v>0</v>
      </c>
      <c r="L92" s="40">
        <f t="shared" si="10"/>
        <v>0</v>
      </c>
      <c r="M92" s="38" t="s">
        <v>35</v>
      </c>
      <c r="N92" s="54"/>
      <c r="O92" s="36"/>
      <c r="P92" s="40">
        <v>0</v>
      </c>
      <c r="Q92" s="40">
        <v>0</v>
      </c>
      <c r="R92" s="41"/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36">
        <f t="shared" si="8"/>
        <v>0</v>
      </c>
      <c r="AJ92" s="93"/>
      <c r="AK92" s="40"/>
      <c r="AL92" s="40"/>
      <c r="AM92"/>
      <c r="AN92" s="37"/>
      <c r="AP92" s="1"/>
      <c r="AQ92" s="1"/>
    </row>
    <row r="93" spans="1:43" ht="15.6" hidden="1" customHeight="1" x14ac:dyDescent="0.3">
      <c r="A93" s="38"/>
      <c r="B93" s="38"/>
      <c r="C93" s="38"/>
      <c r="D93" s="39"/>
      <c r="E93" s="38"/>
      <c r="F93" s="38"/>
      <c r="G93" s="40"/>
      <c r="H93" s="90"/>
      <c r="I93" s="40">
        <f t="shared" si="9"/>
        <v>0</v>
      </c>
      <c r="J93" s="40">
        <f t="shared" si="7"/>
        <v>0</v>
      </c>
      <c r="K93" s="40">
        <v>0</v>
      </c>
      <c r="L93" s="40">
        <f t="shared" si="10"/>
        <v>0</v>
      </c>
      <c r="M93" s="38" t="s">
        <v>35</v>
      </c>
      <c r="N93" s="54"/>
      <c r="O93" s="36"/>
      <c r="P93" s="40">
        <v>0</v>
      </c>
      <c r="Q93" s="40">
        <v>0</v>
      </c>
      <c r="R93" s="41"/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36">
        <f t="shared" si="8"/>
        <v>0</v>
      </c>
      <c r="AJ93" s="93"/>
      <c r="AK93" s="40"/>
      <c r="AL93" s="40"/>
      <c r="AM93"/>
      <c r="AN93" s="37"/>
      <c r="AP93" s="1"/>
      <c r="AQ93" s="1"/>
    </row>
    <row r="94" spans="1:43" ht="15.6" hidden="1" customHeight="1" x14ac:dyDescent="0.3">
      <c r="A94" s="38"/>
      <c r="B94" s="38"/>
      <c r="C94" s="38"/>
      <c r="D94" s="39"/>
      <c r="E94" s="38"/>
      <c r="F94" s="38"/>
      <c r="G94" s="40"/>
      <c r="H94" s="90"/>
      <c r="I94" s="40">
        <f t="shared" si="9"/>
        <v>0</v>
      </c>
      <c r="J94" s="40">
        <f t="shared" si="7"/>
        <v>0</v>
      </c>
      <c r="K94" s="40">
        <v>0</v>
      </c>
      <c r="L94" s="40">
        <f t="shared" si="10"/>
        <v>0</v>
      </c>
      <c r="M94" s="38" t="s">
        <v>35</v>
      </c>
      <c r="N94" s="54"/>
      <c r="O94" s="36"/>
      <c r="P94" s="40">
        <v>0</v>
      </c>
      <c r="Q94" s="40">
        <v>0</v>
      </c>
      <c r="R94" s="41"/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36">
        <f t="shared" si="8"/>
        <v>0</v>
      </c>
      <c r="AJ94" s="93"/>
      <c r="AK94" s="40"/>
      <c r="AL94" s="40"/>
      <c r="AM94"/>
      <c r="AN94" s="37"/>
      <c r="AP94" s="1"/>
      <c r="AQ94" s="1"/>
    </row>
    <row r="95" spans="1:43" ht="15.6" hidden="1" customHeight="1" x14ac:dyDescent="0.3">
      <c r="A95" s="38"/>
      <c r="B95" s="38"/>
      <c r="C95" s="38"/>
      <c r="D95" s="39"/>
      <c r="E95" s="38"/>
      <c r="F95" s="38"/>
      <c r="G95" s="40"/>
      <c r="H95" s="90"/>
      <c r="I95" s="40">
        <f t="shared" si="9"/>
        <v>0</v>
      </c>
      <c r="J95" s="40">
        <f t="shared" si="7"/>
        <v>0</v>
      </c>
      <c r="K95" s="40">
        <v>0</v>
      </c>
      <c r="L95" s="40">
        <f t="shared" si="10"/>
        <v>0</v>
      </c>
      <c r="M95" s="38" t="s">
        <v>35</v>
      </c>
      <c r="N95" s="54"/>
      <c r="O95" s="36"/>
      <c r="P95" s="40">
        <v>0</v>
      </c>
      <c r="Q95" s="40">
        <v>0</v>
      </c>
      <c r="R95" s="41"/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36">
        <f t="shared" si="8"/>
        <v>0</v>
      </c>
      <c r="AJ95" s="93"/>
      <c r="AK95" s="40"/>
      <c r="AL95" s="40"/>
      <c r="AM95"/>
      <c r="AN95" s="37"/>
      <c r="AP95" s="1"/>
      <c r="AQ95" s="1"/>
    </row>
    <row r="96" spans="1:43" ht="15.6" hidden="1" customHeight="1" x14ac:dyDescent="0.3">
      <c r="A96" s="38"/>
      <c r="B96" s="38"/>
      <c r="C96" s="38"/>
      <c r="D96" s="39"/>
      <c r="E96" s="38"/>
      <c r="F96" s="38"/>
      <c r="G96" s="40"/>
      <c r="H96" s="90"/>
      <c r="I96" s="40">
        <f t="shared" si="9"/>
        <v>0</v>
      </c>
      <c r="J96" s="40">
        <f t="shared" si="7"/>
        <v>0</v>
      </c>
      <c r="K96" s="40">
        <v>0</v>
      </c>
      <c r="L96" s="40">
        <f t="shared" si="10"/>
        <v>0</v>
      </c>
      <c r="M96" s="38" t="s">
        <v>35</v>
      </c>
      <c r="N96" s="54"/>
      <c r="O96" s="36"/>
      <c r="P96" s="40">
        <v>0</v>
      </c>
      <c r="Q96" s="40">
        <v>0</v>
      </c>
      <c r="R96" s="41"/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36">
        <f t="shared" si="8"/>
        <v>0</v>
      </c>
      <c r="AJ96" s="93"/>
      <c r="AK96" s="40"/>
      <c r="AL96" s="40"/>
      <c r="AM96"/>
      <c r="AN96" s="37"/>
      <c r="AP96" s="1"/>
      <c r="AQ96" s="1"/>
    </row>
    <row r="97" spans="1:45" ht="15.6" hidden="1" customHeight="1" x14ac:dyDescent="0.3">
      <c r="A97" s="38"/>
      <c r="B97" s="38"/>
      <c r="C97" s="38"/>
      <c r="D97" s="39"/>
      <c r="E97" s="38"/>
      <c r="F97" s="38"/>
      <c r="G97" s="40"/>
      <c r="H97" s="90"/>
      <c r="I97" s="40">
        <f t="shared" si="9"/>
        <v>0</v>
      </c>
      <c r="J97" s="40">
        <f t="shared" si="7"/>
        <v>0</v>
      </c>
      <c r="K97" s="40">
        <v>0</v>
      </c>
      <c r="L97" s="40">
        <f t="shared" si="10"/>
        <v>0</v>
      </c>
      <c r="M97" s="38" t="s">
        <v>35</v>
      </c>
      <c r="N97" s="54"/>
      <c r="O97" s="36"/>
      <c r="P97" s="40">
        <v>0</v>
      </c>
      <c r="Q97" s="40">
        <v>0</v>
      </c>
      <c r="R97" s="41"/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36">
        <f t="shared" si="8"/>
        <v>0</v>
      </c>
      <c r="AJ97" s="93"/>
      <c r="AK97" s="40"/>
      <c r="AL97" s="40"/>
      <c r="AM97"/>
      <c r="AN97" s="37"/>
      <c r="AP97" s="1"/>
      <c r="AQ97" s="1"/>
    </row>
    <row r="98" spans="1:45" ht="15.6" hidden="1" customHeight="1" x14ac:dyDescent="0.3">
      <c r="A98" s="38"/>
      <c r="B98" s="38"/>
      <c r="C98" s="38"/>
      <c r="D98" s="39"/>
      <c r="E98" s="38"/>
      <c r="F98" s="38"/>
      <c r="G98" s="40"/>
      <c r="H98" s="84"/>
      <c r="I98" s="40">
        <f t="shared" si="9"/>
        <v>0</v>
      </c>
      <c r="J98" s="40">
        <f t="shared" si="7"/>
        <v>0</v>
      </c>
      <c r="K98" s="40">
        <v>0</v>
      </c>
      <c r="L98" s="40">
        <f t="shared" si="10"/>
        <v>0</v>
      </c>
      <c r="M98" s="38" t="s">
        <v>35</v>
      </c>
      <c r="N98" s="54"/>
      <c r="O98" s="36"/>
      <c r="P98" s="40">
        <v>0</v>
      </c>
      <c r="Q98" s="40">
        <v>0</v>
      </c>
      <c r="R98" s="41"/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36">
        <f t="shared" si="8"/>
        <v>0</v>
      </c>
      <c r="AJ98" s="40"/>
      <c r="AK98" s="40"/>
      <c r="AL98" s="40"/>
      <c r="AM98"/>
      <c r="AN98" s="37"/>
      <c r="AP98" s="1"/>
      <c r="AQ98" s="1"/>
    </row>
    <row r="99" spans="1:45" ht="15" hidden="1" thickBot="1" x14ac:dyDescent="0.35">
      <c r="G99" s="16">
        <f t="shared" ref="G99:L99" si="11">+SUM(G2:G98)</f>
        <v>1058154</v>
      </c>
      <c r="H99" s="16">
        <f t="shared" si="11"/>
        <v>3049732.85</v>
      </c>
      <c r="I99" s="16">
        <f t="shared" si="11"/>
        <v>487957.25600000005</v>
      </c>
      <c r="J99" s="16">
        <f t="shared" si="11"/>
        <v>4595844.1059999987</v>
      </c>
      <c r="K99" s="16">
        <f t="shared" si="11"/>
        <v>5325023.9299999988</v>
      </c>
      <c r="L99" s="16">
        <f t="shared" si="11"/>
        <v>-729179.82400000014</v>
      </c>
      <c r="P99" s="16">
        <f>+SUM(P2:P98)</f>
        <v>0</v>
      </c>
      <c r="Q99" s="16">
        <f>+SUM(Q2:Q98)</f>
        <v>1057818</v>
      </c>
      <c r="S99" s="16">
        <f t="shared" ref="S99:AI99" si="12">+SUM(S2:S98)</f>
        <v>836978.74000000011</v>
      </c>
      <c r="T99" s="16">
        <f t="shared" si="12"/>
        <v>12466.970000000001</v>
      </c>
      <c r="U99" s="16">
        <f t="shared" si="12"/>
        <v>1207212.3400000003</v>
      </c>
      <c r="V99" s="16">
        <f t="shared" si="12"/>
        <v>392114.8</v>
      </c>
      <c r="W99" s="16">
        <f t="shared" si="12"/>
        <v>523975</v>
      </c>
      <c r="X99" s="16">
        <f t="shared" si="12"/>
        <v>9000</v>
      </c>
      <c r="Y99" s="16">
        <f t="shared" si="12"/>
        <v>1480</v>
      </c>
      <c r="Z99" s="16">
        <f t="shared" si="12"/>
        <v>26800</v>
      </c>
      <c r="AA99" s="16">
        <f t="shared" si="12"/>
        <v>11400</v>
      </c>
      <c r="AB99" s="16">
        <f t="shared" si="12"/>
        <v>3000</v>
      </c>
      <c r="AC99" s="16">
        <f t="shared" si="12"/>
        <v>18225</v>
      </c>
      <c r="AD99" s="16">
        <f t="shared" si="12"/>
        <v>0</v>
      </c>
      <c r="AE99" s="16">
        <f t="shared" si="12"/>
        <v>0</v>
      </c>
      <c r="AF99" s="16">
        <f t="shared" si="12"/>
        <v>0</v>
      </c>
      <c r="AG99" s="16">
        <f t="shared" si="12"/>
        <v>0</v>
      </c>
      <c r="AH99" s="16">
        <f t="shared" si="12"/>
        <v>7080</v>
      </c>
      <c r="AI99" s="47">
        <f t="shared" si="12"/>
        <v>0</v>
      </c>
      <c r="AJ99" s="91"/>
      <c r="AK99" s="91"/>
      <c r="AL99"/>
      <c r="AM99"/>
      <c r="AN99" s="37"/>
      <c r="AP99" s="1"/>
      <c r="AQ99" s="1"/>
    </row>
    <row r="100" spans="1:45" x14ac:dyDescent="0.3">
      <c r="AN100" s="37"/>
      <c r="AP100" s="1"/>
      <c r="AQ100" s="1"/>
    </row>
    <row r="101" spans="1:45" x14ac:dyDescent="0.3">
      <c r="K101" s="1">
        <v>5350023.93</v>
      </c>
      <c r="L101" s="1">
        <f>+K99-K101</f>
        <v>-25000.000000000931</v>
      </c>
      <c r="Q101" s="1">
        <f>+G99-P99-Q99</f>
        <v>336</v>
      </c>
      <c r="AN101" s="37"/>
      <c r="AP101" s="1"/>
      <c r="AQ101" s="1"/>
    </row>
    <row r="102" spans="1:45" x14ac:dyDescent="0.3">
      <c r="M102" s="46"/>
    </row>
    <row r="103" spans="1:45" x14ac:dyDescent="0.3">
      <c r="D103"/>
      <c r="E103" s="49"/>
      <c r="F103" s="14"/>
      <c r="H103" s="21" t="s">
        <v>25</v>
      </c>
      <c r="I103" s="21" t="s">
        <v>26</v>
      </c>
      <c r="J103" s="21" t="s">
        <v>27</v>
      </c>
      <c r="K103" s="21" t="s">
        <v>28</v>
      </c>
    </row>
    <row r="104" spans="1:45" x14ac:dyDescent="0.3">
      <c r="B104" s="14" t="s">
        <v>30</v>
      </c>
      <c r="D104" s="15">
        <v>0</v>
      </c>
      <c r="G104" s="14" t="s">
        <v>23</v>
      </c>
      <c r="H104" s="1">
        <f>+H99-I104</f>
        <v>3049732.85</v>
      </c>
      <c r="I104" s="1">
        <v>0</v>
      </c>
      <c r="J104" s="1">
        <f>+H104*0.16</f>
        <v>487957.25600000005</v>
      </c>
      <c r="K104" s="1">
        <f>+SUM(H104:J104)</f>
        <v>3537690.1060000001</v>
      </c>
      <c r="M104" s="46"/>
    </row>
    <row r="105" spans="1:45" x14ac:dyDescent="0.3">
      <c r="A105" s="22" t="s">
        <v>32</v>
      </c>
      <c r="B105" s="14" t="s">
        <v>31</v>
      </c>
      <c r="D105" s="15">
        <v>0</v>
      </c>
      <c r="G105" s="14" t="s">
        <v>24</v>
      </c>
      <c r="H105" s="1">
        <f>+'DIC USD'!Q24</f>
        <v>27106.649999999998</v>
      </c>
      <c r="I105" s="1">
        <f>+'DIC USD'!Q25</f>
        <v>732999.57</v>
      </c>
      <c r="J105" s="1">
        <f>+H105*0.16</f>
        <v>4337.0639999999994</v>
      </c>
      <c r="K105" s="1">
        <f>+SUM(H105:J105)</f>
        <v>764443.28399999999</v>
      </c>
    </row>
    <row r="106" spans="1:45" ht="15" thickBot="1" x14ac:dyDescent="0.35">
      <c r="A106" s="22" t="s">
        <v>33</v>
      </c>
      <c r="B106" s="14" t="s">
        <v>34</v>
      </c>
      <c r="D106" s="20">
        <f>+D104-D105</f>
        <v>0</v>
      </c>
      <c r="E106" s="35"/>
      <c r="H106" s="20">
        <f>+SUM(H104:H105)</f>
        <v>3076839.5</v>
      </c>
      <c r="I106" s="20">
        <f t="shared" ref="I106:J106" si="13">+SUM(I104:I105)</f>
        <v>732999.57</v>
      </c>
      <c r="J106" s="20">
        <f t="shared" si="13"/>
        <v>492294.32000000007</v>
      </c>
      <c r="K106" s="20">
        <f>+SUM(K104:K105)</f>
        <v>4302133.3900000006</v>
      </c>
    </row>
    <row r="107" spans="1:45" ht="15" thickTop="1" x14ac:dyDescent="0.3">
      <c r="D107"/>
    </row>
    <row r="108" spans="1:45" x14ac:dyDescent="0.3">
      <c r="D108" s="33"/>
      <c r="G108" s="14" t="s">
        <v>29</v>
      </c>
      <c r="H108" s="15">
        <f>+H106+I106</f>
        <v>3809839.07</v>
      </c>
    </row>
    <row r="109" spans="1:45" x14ac:dyDescent="0.3">
      <c r="D109" s="33"/>
      <c r="G109" s="14"/>
      <c r="H109" s="15"/>
      <c r="AS109" s="1"/>
    </row>
    <row r="110" spans="1:45" x14ac:dyDescent="0.3">
      <c r="D110" s="33"/>
      <c r="G110" s="14"/>
      <c r="H110" s="15"/>
      <c r="AS110" s="1"/>
    </row>
    <row r="111" spans="1:45" x14ac:dyDescent="0.3">
      <c r="D111" s="33"/>
      <c r="G111" s="14"/>
      <c r="H111" s="15"/>
      <c r="AS111" s="1"/>
    </row>
    <row r="112" spans="1:45" x14ac:dyDescent="0.3">
      <c r="D112" s="33"/>
      <c r="G112" s="14"/>
      <c r="H112" s="15"/>
      <c r="AS112" s="1"/>
    </row>
    <row r="113" spans="1:45" s="1" customFormat="1" x14ac:dyDescent="0.3">
      <c r="A113"/>
      <c r="B113"/>
      <c r="C113"/>
      <c r="D113" s="33"/>
      <c r="E113"/>
      <c r="F113"/>
      <c r="G113" s="14"/>
      <c r="H113" s="15"/>
      <c r="M113"/>
      <c r="N113"/>
      <c r="O113"/>
      <c r="R113"/>
      <c r="AP113"/>
      <c r="AQ113"/>
      <c r="AR113"/>
      <c r="AS113"/>
    </row>
    <row r="114" spans="1:45" s="1" customFormat="1" x14ac:dyDescent="0.3">
      <c r="A114"/>
      <c r="B114"/>
      <c r="C114"/>
      <c r="D114" s="33"/>
      <c r="E114"/>
      <c r="F114"/>
      <c r="G114" s="14"/>
      <c r="H114" s="15"/>
      <c r="M114"/>
      <c r="N114"/>
      <c r="O114"/>
      <c r="R114"/>
      <c r="AP114"/>
      <c r="AQ114"/>
      <c r="AR114"/>
      <c r="AS114"/>
    </row>
    <row r="115" spans="1:45" s="1" customFormat="1" x14ac:dyDescent="0.3">
      <c r="A115"/>
      <c r="B115"/>
      <c r="C115"/>
      <c r="D115" s="33"/>
      <c r="E115"/>
      <c r="F115"/>
      <c r="G115" s="14"/>
      <c r="H115" s="15"/>
      <c r="M115"/>
      <c r="N115"/>
      <c r="O115"/>
      <c r="R115"/>
      <c r="AP115"/>
      <c r="AQ115"/>
      <c r="AR115"/>
      <c r="AS115"/>
    </row>
    <row r="116" spans="1:45" s="1" customFormat="1" x14ac:dyDescent="0.3">
      <c r="A116"/>
      <c r="B116"/>
      <c r="C116"/>
      <c r="D116" s="33"/>
      <c r="E116"/>
      <c r="F116"/>
      <c r="G116" s="14"/>
      <c r="H116" s="15"/>
      <c r="M116"/>
      <c r="N116"/>
      <c r="O116"/>
      <c r="R116"/>
      <c r="AP116"/>
      <c r="AQ116"/>
      <c r="AR116"/>
      <c r="AS116"/>
    </row>
  </sheetData>
  <autoFilter ref="A1:AP99" xr:uid="{6D9A6E66-117A-42D1-8872-A55637CA45F1}">
    <filterColumn colId="4">
      <filters>
        <filter val="C0069"/>
      </filters>
    </filterColumn>
  </autoFilter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FAC3-BF2E-4CE6-8EFE-4947BDAEA643}">
  <sheetPr>
    <tabColor rgb="FF0070C0"/>
  </sheetPr>
  <dimension ref="B1:G109"/>
  <sheetViews>
    <sheetView workbookViewId="0">
      <selection activeCell="D20" sqref="D20"/>
    </sheetView>
  </sheetViews>
  <sheetFormatPr baseColWidth="10" defaultRowHeight="14.4" x14ac:dyDescent="0.3"/>
  <cols>
    <col min="4" max="4" width="12.21875" bestFit="1" customWidth="1"/>
    <col min="6" max="6" width="31.44140625" bestFit="1" customWidth="1"/>
    <col min="7" max="7" width="12.77734375" style="23" bestFit="1" customWidth="1"/>
  </cols>
  <sheetData>
    <row r="1" spans="2:7" x14ac:dyDescent="0.3">
      <c r="B1" t="s">
        <v>2444</v>
      </c>
      <c r="G1" s="23" t="s">
        <v>2445</v>
      </c>
    </row>
    <row r="2" spans="2:7" x14ac:dyDescent="0.3">
      <c r="B2">
        <v>1</v>
      </c>
      <c r="C2" t="s">
        <v>2224</v>
      </c>
      <c r="D2" t="s">
        <v>2225</v>
      </c>
      <c r="E2" s="39">
        <v>45995</v>
      </c>
      <c r="F2" s="38" t="s">
        <v>41</v>
      </c>
      <c r="G2" s="23">
        <v>73252.3</v>
      </c>
    </row>
    <row r="3" spans="2:7" x14ac:dyDescent="0.3">
      <c r="B3">
        <v>1</v>
      </c>
      <c r="C3" t="s">
        <v>2228</v>
      </c>
      <c r="D3" t="s">
        <v>2229</v>
      </c>
      <c r="E3" s="39">
        <v>45996</v>
      </c>
      <c r="F3" s="38" t="s">
        <v>199</v>
      </c>
      <c r="G3" s="23">
        <v>19722.080000000002</v>
      </c>
    </row>
    <row r="4" spans="2:7" x14ac:dyDescent="0.3">
      <c r="B4">
        <v>1</v>
      </c>
      <c r="C4" t="s">
        <v>2230</v>
      </c>
      <c r="D4" t="s">
        <v>2231</v>
      </c>
      <c r="E4" s="39">
        <v>45999</v>
      </c>
      <c r="F4" s="38" t="s">
        <v>199</v>
      </c>
      <c r="G4" s="23">
        <v>16394.97</v>
      </c>
    </row>
    <row r="5" spans="2:7" x14ac:dyDescent="0.3">
      <c r="B5">
        <v>1</v>
      </c>
      <c r="C5" t="s">
        <v>2232</v>
      </c>
      <c r="D5" t="s">
        <v>2233</v>
      </c>
      <c r="E5" s="39">
        <v>45999</v>
      </c>
      <c r="F5" s="38" t="s">
        <v>41</v>
      </c>
      <c r="G5" s="23">
        <v>3540</v>
      </c>
    </row>
    <row r="6" spans="2:7" x14ac:dyDescent="0.3">
      <c r="B6" s="98">
        <v>1</v>
      </c>
      <c r="C6" s="99" t="s">
        <v>2234</v>
      </c>
      <c r="D6" t="s">
        <v>2235</v>
      </c>
      <c r="E6" s="27">
        <v>46000</v>
      </c>
      <c r="F6" s="2" t="s">
        <v>21</v>
      </c>
      <c r="G6" s="23">
        <v>10577.286</v>
      </c>
    </row>
    <row r="7" spans="2:7" x14ac:dyDescent="0.3">
      <c r="B7">
        <v>1</v>
      </c>
      <c r="C7" t="s">
        <v>2236</v>
      </c>
      <c r="D7" t="s">
        <v>2237</v>
      </c>
      <c r="E7" s="39">
        <v>45999</v>
      </c>
      <c r="F7" s="38" t="s">
        <v>41</v>
      </c>
      <c r="G7" s="23">
        <v>3540</v>
      </c>
    </row>
    <row r="8" spans="2:7" x14ac:dyDescent="0.3">
      <c r="B8">
        <v>1</v>
      </c>
      <c r="C8" t="s">
        <v>2238</v>
      </c>
      <c r="D8" t="s">
        <v>2239</v>
      </c>
      <c r="E8" s="39">
        <v>46000</v>
      </c>
      <c r="F8" s="38" t="s">
        <v>41</v>
      </c>
      <c r="G8" s="23">
        <v>10087.379999999999</v>
      </c>
    </row>
    <row r="9" spans="2:7" x14ac:dyDescent="0.3">
      <c r="B9">
        <v>1</v>
      </c>
      <c r="C9" t="s">
        <v>2242</v>
      </c>
      <c r="D9" t="s">
        <v>2243</v>
      </c>
      <c r="E9" s="39">
        <v>46000</v>
      </c>
      <c r="F9" s="38" t="s">
        <v>199</v>
      </c>
      <c r="G9" s="23">
        <v>17490.11</v>
      </c>
    </row>
    <row r="10" spans="2:7" x14ac:dyDescent="0.3">
      <c r="B10">
        <v>1</v>
      </c>
      <c r="C10" t="s">
        <v>2246</v>
      </c>
      <c r="D10" t="s">
        <v>2247</v>
      </c>
      <c r="E10" s="39">
        <v>46001</v>
      </c>
      <c r="F10" s="38" t="s">
        <v>45</v>
      </c>
      <c r="G10" s="23">
        <v>9504.75</v>
      </c>
    </row>
    <row r="11" spans="2:7" x14ac:dyDescent="0.3">
      <c r="B11">
        <v>1</v>
      </c>
      <c r="C11" t="s">
        <v>2248</v>
      </c>
      <c r="D11" t="s">
        <v>2249</v>
      </c>
      <c r="E11" s="39">
        <v>46001</v>
      </c>
      <c r="F11" s="38" t="s">
        <v>45</v>
      </c>
      <c r="G11" s="23">
        <v>9254</v>
      </c>
    </row>
    <row r="12" spans="2:7" x14ac:dyDescent="0.3">
      <c r="B12">
        <v>1</v>
      </c>
      <c r="C12" t="s">
        <v>2264</v>
      </c>
      <c r="D12" t="s">
        <v>2265</v>
      </c>
      <c r="E12" s="39">
        <v>46006</v>
      </c>
      <c r="F12" s="38" t="s">
        <v>45</v>
      </c>
      <c r="G12" s="23">
        <v>10000</v>
      </c>
    </row>
    <row r="13" spans="2:7" x14ac:dyDescent="0.3">
      <c r="B13">
        <v>1</v>
      </c>
      <c r="C13" t="s">
        <v>2280</v>
      </c>
      <c r="D13" t="s">
        <v>2281</v>
      </c>
      <c r="E13" s="39">
        <v>46007</v>
      </c>
      <c r="F13" s="38" t="s">
        <v>1587</v>
      </c>
      <c r="G13" s="23">
        <v>11541.849999999999</v>
      </c>
    </row>
    <row r="14" spans="2:7" x14ac:dyDescent="0.3">
      <c r="B14">
        <v>1</v>
      </c>
      <c r="C14" t="s">
        <v>2282</v>
      </c>
      <c r="D14" t="s">
        <v>2283</v>
      </c>
      <c r="E14" s="39">
        <v>46008</v>
      </c>
      <c r="F14" s="38" t="s">
        <v>41</v>
      </c>
      <c r="G14" s="23">
        <v>31571.54</v>
      </c>
    </row>
    <row r="15" spans="2:7" x14ac:dyDescent="0.3">
      <c r="B15">
        <v>1</v>
      </c>
      <c r="C15" t="s">
        <v>2284</v>
      </c>
      <c r="D15" t="s">
        <v>2285</v>
      </c>
      <c r="E15" s="39">
        <v>46008</v>
      </c>
      <c r="F15" s="38" t="s">
        <v>41</v>
      </c>
      <c r="G15" s="23">
        <v>73254.009999999995</v>
      </c>
    </row>
    <row r="16" spans="2:7" x14ac:dyDescent="0.3">
      <c r="B16" s="98">
        <v>1</v>
      </c>
      <c r="C16" s="99" t="s">
        <v>2286</v>
      </c>
      <c r="D16" t="s">
        <v>2287</v>
      </c>
      <c r="E16" s="27">
        <v>46008</v>
      </c>
      <c r="F16" s="2" t="s">
        <v>1178</v>
      </c>
      <c r="G16" s="23">
        <v>39495.5</v>
      </c>
    </row>
    <row r="17" spans="2:7" x14ac:dyDescent="0.3">
      <c r="B17">
        <v>1</v>
      </c>
      <c r="C17" t="s">
        <v>2307</v>
      </c>
      <c r="D17" t="s">
        <v>2308</v>
      </c>
      <c r="E17" s="39">
        <v>46008</v>
      </c>
      <c r="F17" s="38" t="s">
        <v>199</v>
      </c>
      <c r="G17" s="23">
        <v>23181.32</v>
      </c>
    </row>
    <row r="18" spans="2:7" x14ac:dyDescent="0.3">
      <c r="B18">
        <v>1</v>
      </c>
      <c r="C18" t="s">
        <v>2309</v>
      </c>
      <c r="D18" t="s">
        <v>2310</v>
      </c>
      <c r="E18" s="39">
        <v>46008</v>
      </c>
      <c r="F18" s="38" t="s">
        <v>199</v>
      </c>
      <c r="G18" s="23">
        <v>24123.82</v>
      </c>
    </row>
    <row r="19" spans="2:7" x14ac:dyDescent="0.3">
      <c r="B19">
        <v>1</v>
      </c>
      <c r="C19" t="s">
        <v>2311</v>
      </c>
      <c r="D19" t="s">
        <v>2312</v>
      </c>
      <c r="E19" s="39">
        <v>46008</v>
      </c>
      <c r="F19" s="38" t="s">
        <v>199</v>
      </c>
      <c r="G19" s="23">
        <v>34062.75</v>
      </c>
    </row>
    <row r="20" spans="2:7" x14ac:dyDescent="0.3">
      <c r="B20">
        <v>1</v>
      </c>
      <c r="C20" t="s">
        <v>2313</v>
      </c>
      <c r="D20" t="s">
        <v>2314</v>
      </c>
      <c r="E20" s="39">
        <v>46008</v>
      </c>
      <c r="F20" s="38" t="s">
        <v>199</v>
      </c>
      <c r="G20" s="23">
        <v>20627.97</v>
      </c>
    </row>
    <row r="21" spans="2:7" x14ac:dyDescent="0.3">
      <c r="B21">
        <v>1</v>
      </c>
      <c r="C21" t="s">
        <v>2315</v>
      </c>
      <c r="D21" t="s">
        <v>2316</v>
      </c>
      <c r="E21" s="39">
        <v>46008</v>
      </c>
      <c r="F21" s="38" t="s">
        <v>45</v>
      </c>
      <c r="G21" s="23">
        <v>7382</v>
      </c>
    </row>
    <row r="22" spans="2:7" x14ac:dyDescent="0.3">
      <c r="B22">
        <v>1</v>
      </c>
      <c r="C22" t="s">
        <v>2317</v>
      </c>
      <c r="D22" t="s">
        <v>2318</v>
      </c>
      <c r="E22" s="39">
        <v>46008</v>
      </c>
      <c r="F22" s="38" t="s">
        <v>45</v>
      </c>
      <c r="G22" s="23">
        <v>7981</v>
      </c>
    </row>
    <row r="23" spans="2:7" x14ac:dyDescent="0.3">
      <c r="B23">
        <v>1</v>
      </c>
      <c r="C23" t="s">
        <v>2319</v>
      </c>
      <c r="D23" t="s">
        <v>2320</v>
      </c>
      <c r="E23" s="39">
        <v>46008</v>
      </c>
      <c r="F23" s="38" t="s">
        <v>41</v>
      </c>
      <c r="G23" s="23">
        <v>116383.17</v>
      </c>
    </row>
    <row r="24" spans="2:7" x14ac:dyDescent="0.3">
      <c r="B24">
        <v>1</v>
      </c>
      <c r="C24" t="s">
        <v>2323</v>
      </c>
      <c r="D24" t="s">
        <v>2324</v>
      </c>
      <c r="E24" s="39">
        <v>46009</v>
      </c>
      <c r="F24" s="38" t="s">
        <v>45</v>
      </c>
      <c r="G24" s="23">
        <v>10000</v>
      </c>
    </row>
    <row r="25" spans="2:7" x14ac:dyDescent="0.3">
      <c r="B25">
        <v>1</v>
      </c>
      <c r="C25" t="s">
        <v>2326</v>
      </c>
      <c r="D25" t="s">
        <v>2327</v>
      </c>
      <c r="E25" s="39">
        <v>46009</v>
      </c>
      <c r="F25" s="38" t="s">
        <v>199</v>
      </c>
      <c r="G25" s="23">
        <v>18159.36</v>
      </c>
    </row>
    <row r="26" spans="2:7" x14ac:dyDescent="0.3">
      <c r="B26">
        <v>1</v>
      </c>
      <c r="C26" t="s">
        <v>2328</v>
      </c>
      <c r="D26" t="s">
        <v>2329</v>
      </c>
      <c r="E26" s="39">
        <v>46009</v>
      </c>
      <c r="F26" s="38" t="s">
        <v>199</v>
      </c>
      <c r="G26" s="23">
        <v>22296.03</v>
      </c>
    </row>
    <row r="27" spans="2:7" x14ac:dyDescent="0.3">
      <c r="B27">
        <v>1</v>
      </c>
      <c r="C27" t="s">
        <v>2330</v>
      </c>
      <c r="D27" t="s">
        <v>2331</v>
      </c>
      <c r="E27" s="39">
        <v>46009</v>
      </c>
      <c r="F27" s="38" t="s">
        <v>199</v>
      </c>
      <c r="G27" s="23">
        <v>14026.99</v>
      </c>
    </row>
    <row r="28" spans="2:7" x14ac:dyDescent="0.3">
      <c r="B28">
        <v>1</v>
      </c>
      <c r="C28" t="s">
        <v>2332</v>
      </c>
      <c r="D28" t="s">
        <v>2333</v>
      </c>
      <c r="E28" s="39">
        <v>46009</v>
      </c>
      <c r="F28" s="38" t="s">
        <v>199</v>
      </c>
      <c r="G28" s="23">
        <v>15175.1</v>
      </c>
    </row>
    <row r="29" spans="2:7" x14ac:dyDescent="0.3">
      <c r="B29">
        <v>1</v>
      </c>
      <c r="C29" t="s">
        <v>2334</v>
      </c>
      <c r="D29" t="s">
        <v>2335</v>
      </c>
      <c r="E29" s="39">
        <v>46009</v>
      </c>
      <c r="F29" s="38" t="s">
        <v>199</v>
      </c>
      <c r="G29" s="23">
        <v>15724.310000000001</v>
      </c>
    </row>
    <row r="30" spans="2:7" x14ac:dyDescent="0.3">
      <c r="B30">
        <v>1</v>
      </c>
      <c r="C30" t="s">
        <v>2336</v>
      </c>
      <c r="D30" t="s">
        <v>2337</v>
      </c>
      <c r="E30" s="39">
        <v>46009</v>
      </c>
      <c r="F30" s="38" t="s">
        <v>199</v>
      </c>
      <c r="G30" s="23">
        <v>14471.81</v>
      </c>
    </row>
    <row r="31" spans="2:7" x14ac:dyDescent="0.3">
      <c r="B31">
        <v>1</v>
      </c>
      <c r="C31" t="s">
        <v>2338</v>
      </c>
      <c r="D31" t="s">
        <v>2339</v>
      </c>
      <c r="E31" s="39">
        <v>46010</v>
      </c>
      <c r="F31" s="38" t="s">
        <v>199</v>
      </c>
      <c r="G31" s="23">
        <v>14026.99</v>
      </c>
    </row>
    <row r="32" spans="2:7" x14ac:dyDescent="0.3">
      <c r="B32">
        <v>1</v>
      </c>
      <c r="C32" t="s">
        <v>2340</v>
      </c>
      <c r="D32" t="s">
        <v>2341</v>
      </c>
      <c r="E32" s="39">
        <v>46013</v>
      </c>
      <c r="F32" s="38" t="s">
        <v>199</v>
      </c>
      <c r="G32" s="23">
        <v>24091.759999999998</v>
      </c>
    </row>
    <row r="33" spans="2:7" x14ac:dyDescent="0.3">
      <c r="B33">
        <v>1</v>
      </c>
      <c r="C33" t="s">
        <v>2342</v>
      </c>
      <c r="D33" t="s">
        <v>2343</v>
      </c>
      <c r="E33" s="39">
        <v>46013</v>
      </c>
      <c r="F33" s="38" t="s">
        <v>199</v>
      </c>
      <c r="G33" s="23">
        <v>24136.98</v>
      </c>
    </row>
    <row r="34" spans="2:7" x14ac:dyDescent="0.3">
      <c r="B34">
        <v>1</v>
      </c>
      <c r="C34" t="s">
        <v>2344</v>
      </c>
      <c r="D34" t="s">
        <v>2346</v>
      </c>
      <c r="E34" s="39">
        <v>46013</v>
      </c>
      <c r="F34" s="38" t="s">
        <v>199</v>
      </c>
      <c r="G34" s="23">
        <v>16525.45</v>
      </c>
    </row>
    <row r="35" spans="2:7" x14ac:dyDescent="0.3">
      <c r="B35">
        <v>1</v>
      </c>
      <c r="C35" t="s">
        <v>2345</v>
      </c>
      <c r="D35" t="s">
        <v>2347</v>
      </c>
      <c r="E35" s="39">
        <v>46013</v>
      </c>
      <c r="F35" s="38" t="s">
        <v>199</v>
      </c>
      <c r="G35" s="23">
        <v>10022.1</v>
      </c>
    </row>
    <row r="36" spans="2:7" x14ac:dyDescent="0.3">
      <c r="B36">
        <v>1</v>
      </c>
      <c r="C36" t="s">
        <v>2353</v>
      </c>
      <c r="D36" t="s">
        <v>2354</v>
      </c>
      <c r="E36" s="39">
        <v>46014</v>
      </c>
      <c r="F36" s="38" t="s">
        <v>199</v>
      </c>
      <c r="G36" s="23">
        <v>53878.83</v>
      </c>
    </row>
    <row r="37" spans="2:7" x14ac:dyDescent="0.3">
      <c r="B37">
        <v>1</v>
      </c>
      <c r="C37" t="s">
        <v>2361</v>
      </c>
      <c r="D37" t="s">
        <v>2362</v>
      </c>
      <c r="E37" s="39">
        <v>46014</v>
      </c>
      <c r="F37" s="38" t="s">
        <v>199</v>
      </c>
      <c r="G37" s="23">
        <v>20110.64</v>
      </c>
    </row>
    <row r="38" spans="2:7" x14ac:dyDescent="0.3">
      <c r="B38">
        <v>1</v>
      </c>
      <c r="C38" t="s">
        <v>2365</v>
      </c>
      <c r="D38" t="s">
        <v>2366</v>
      </c>
      <c r="E38" s="39">
        <v>46017</v>
      </c>
      <c r="F38" s="38" t="s">
        <v>199</v>
      </c>
      <c r="G38" s="23">
        <v>46463.320000000007</v>
      </c>
    </row>
    <row r="39" spans="2:7" x14ac:dyDescent="0.3">
      <c r="B39">
        <v>1</v>
      </c>
      <c r="C39" t="s">
        <v>2370</v>
      </c>
      <c r="D39" t="s">
        <v>2325</v>
      </c>
      <c r="E39" s="39">
        <v>46020</v>
      </c>
      <c r="F39" s="38" t="s">
        <v>199</v>
      </c>
      <c r="G39" s="23">
        <v>25756.82</v>
      </c>
    </row>
    <row r="40" spans="2:7" x14ac:dyDescent="0.3">
      <c r="B40" s="98">
        <v>1</v>
      </c>
      <c r="C40" s="99" t="s">
        <v>2375</v>
      </c>
      <c r="D40" t="s">
        <v>2376</v>
      </c>
      <c r="E40" s="27">
        <v>46020</v>
      </c>
      <c r="F40" s="2" t="s">
        <v>1464</v>
      </c>
      <c r="G40" s="23">
        <v>2506.5879999999997</v>
      </c>
    </row>
    <row r="41" spans="2:7" x14ac:dyDescent="0.3">
      <c r="B41" s="98">
        <v>1</v>
      </c>
      <c r="C41" s="99" t="s">
        <v>2377</v>
      </c>
      <c r="D41" t="s">
        <v>2378</v>
      </c>
      <c r="E41" s="27">
        <v>46020</v>
      </c>
      <c r="F41" s="2" t="s">
        <v>1464</v>
      </c>
      <c r="G41" s="23">
        <v>6266.47</v>
      </c>
    </row>
    <row r="42" spans="2:7" x14ac:dyDescent="0.3">
      <c r="B42">
        <v>1</v>
      </c>
      <c r="C42" t="s">
        <v>2381</v>
      </c>
      <c r="D42" t="s">
        <v>2382</v>
      </c>
      <c r="E42" s="39">
        <v>46020</v>
      </c>
      <c r="F42" s="38" t="s">
        <v>199</v>
      </c>
      <c r="G42" s="23">
        <v>390303.42</v>
      </c>
    </row>
    <row r="43" spans="2:7" x14ac:dyDescent="0.3">
      <c r="B43">
        <v>1</v>
      </c>
      <c r="C43" t="s">
        <v>2387</v>
      </c>
      <c r="D43" t="s">
        <v>2388</v>
      </c>
      <c r="E43" s="39">
        <v>46021</v>
      </c>
      <c r="F43" s="38" t="s">
        <v>199</v>
      </c>
      <c r="G43" s="23">
        <v>72021.950000000012</v>
      </c>
    </row>
    <row r="44" spans="2:7" x14ac:dyDescent="0.3">
      <c r="B44">
        <v>1</v>
      </c>
      <c r="C44" t="s">
        <v>2395</v>
      </c>
      <c r="D44" t="s">
        <v>2396</v>
      </c>
      <c r="E44" s="39">
        <v>46021</v>
      </c>
      <c r="F44" s="38" t="s">
        <v>199</v>
      </c>
      <c r="G44" s="23">
        <v>312676.78999999998</v>
      </c>
    </row>
    <row r="45" spans="2:7" x14ac:dyDescent="0.3">
      <c r="B45" s="98">
        <v>1</v>
      </c>
      <c r="C45" s="99" t="s">
        <v>2401</v>
      </c>
      <c r="D45" t="s">
        <v>2287</v>
      </c>
      <c r="E45" s="27">
        <v>46021</v>
      </c>
      <c r="F45" s="2" t="s">
        <v>1178</v>
      </c>
      <c r="G45" s="23">
        <v>5749.3440000000001</v>
      </c>
    </row>
    <row r="46" spans="2:7" x14ac:dyDescent="0.3">
      <c r="B46">
        <v>1</v>
      </c>
      <c r="C46" t="s">
        <v>2402</v>
      </c>
      <c r="D46" t="s">
        <v>2287</v>
      </c>
      <c r="E46" s="39">
        <v>46021</v>
      </c>
      <c r="F46" s="38" t="s">
        <v>1178</v>
      </c>
      <c r="G46" s="23">
        <v>118103.45000000001</v>
      </c>
    </row>
    <row r="47" spans="2:7" x14ac:dyDescent="0.3">
      <c r="B47" s="98">
        <v>1</v>
      </c>
      <c r="C47" s="99" t="s">
        <v>2405</v>
      </c>
      <c r="D47" t="s">
        <v>2406</v>
      </c>
      <c r="E47" s="27">
        <v>46021</v>
      </c>
      <c r="F47" s="2" t="s">
        <v>2407</v>
      </c>
      <c r="G47" s="23">
        <v>8624.0159999999996</v>
      </c>
    </row>
    <row r="48" spans="2:7" x14ac:dyDescent="0.3">
      <c r="B48">
        <v>1</v>
      </c>
      <c r="C48" t="s">
        <v>2409</v>
      </c>
      <c r="D48" t="s">
        <v>2410</v>
      </c>
      <c r="E48" s="39">
        <v>46021</v>
      </c>
      <c r="F48" s="38" t="s">
        <v>199</v>
      </c>
      <c r="G48" s="23">
        <v>22425.64</v>
      </c>
    </row>
    <row r="49" spans="2:7" x14ac:dyDescent="0.3">
      <c r="B49">
        <v>1</v>
      </c>
      <c r="C49" t="s">
        <v>2414</v>
      </c>
      <c r="D49" t="s">
        <v>2415</v>
      </c>
      <c r="E49" s="39">
        <v>46021</v>
      </c>
      <c r="F49" s="38" t="s">
        <v>199</v>
      </c>
      <c r="G49" s="23">
        <v>50123.799999999988</v>
      </c>
    </row>
    <row r="50" spans="2:7" x14ac:dyDescent="0.3">
      <c r="B50">
        <v>1</v>
      </c>
      <c r="C50" t="s">
        <v>2416</v>
      </c>
      <c r="D50" t="s">
        <v>2417</v>
      </c>
      <c r="E50" s="39">
        <v>46021</v>
      </c>
      <c r="F50" s="38" t="s">
        <v>199</v>
      </c>
      <c r="G50" s="23">
        <v>459804</v>
      </c>
    </row>
    <row r="51" spans="2:7" x14ac:dyDescent="0.3">
      <c r="B51">
        <v>1</v>
      </c>
      <c r="C51" t="s">
        <v>2418</v>
      </c>
      <c r="D51" t="s">
        <v>2419</v>
      </c>
      <c r="E51" s="39">
        <v>46021</v>
      </c>
      <c r="F51" s="38" t="s">
        <v>45</v>
      </c>
      <c r="G51" s="23">
        <v>8152</v>
      </c>
    </row>
    <row r="52" spans="2:7" x14ac:dyDescent="0.3">
      <c r="B52">
        <v>1</v>
      </c>
      <c r="C52" t="s">
        <v>2422</v>
      </c>
      <c r="D52" t="s">
        <v>2423</v>
      </c>
      <c r="E52" s="39">
        <v>46021</v>
      </c>
      <c r="F52" s="38" t="s">
        <v>45</v>
      </c>
      <c r="G52" s="23">
        <v>8380</v>
      </c>
    </row>
    <row r="53" spans="2:7" x14ac:dyDescent="0.3">
      <c r="B53">
        <v>1</v>
      </c>
      <c r="C53" t="s">
        <v>2430</v>
      </c>
      <c r="D53" t="s">
        <v>2431</v>
      </c>
      <c r="E53" s="39">
        <v>46022</v>
      </c>
      <c r="F53" s="38" t="s">
        <v>199</v>
      </c>
      <c r="G53" s="23">
        <v>32439.56</v>
      </c>
    </row>
    <row r="54" spans="2:7" x14ac:dyDescent="0.3">
      <c r="B54">
        <v>1</v>
      </c>
      <c r="C54" t="s">
        <v>2432</v>
      </c>
      <c r="D54" t="s">
        <v>2433</v>
      </c>
      <c r="E54" s="39">
        <v>46022</v>
      </c>
      <c r="F54" s="38" t="s">
        <v>199</v>
      </c>
      <c r="G54" s="23">
        <v>23178.120000000003</v>
      </c>
    </row>
    <row r="55" spans="2:7" x14ac:dyDescent="0.3">
      <c r="B55">
        <v>2</v>
      </c>
      <c r="C55" t="s">
        <v>2226</v>
      </c>
      <c r="D55" t="s">
        <v>2227</v>
      </c>
      <c r="E55" s="39">
        <v>45996</v>
      </c>
      <c r="F55" s="38" t="s">
        <v>41</v>
      </c>
      <c r="G55" s="23">
        <v>42000</v>
      </c>
    </row>
    <row r="56" spans="2:7" x14ac:dyDescent="0.3">
      <c r="B56" s="98">
        <v>2</v>
      </c>
      <c r="C56" s="99" t="s">
        <v>2240</v>
      </c>
      <c r="D56" t="s">
        <v>2241</v>
      </c>
      <c r="E56" s="27">
        <v>46001</v>
      </c>
      <c r="F56" s="2" t="s">
        <v>156</v>
      </c>
      <c r="G56" s="23">
        <v>12036.222</v>
      </c>
    </row>
    <row r="57" spans="2:7" x14ac:dyDescent="0.3">
      <c r="B57">
        <v>2</v>
      </c>
      <c r="C57" t="s">
        <v>2244</v>
      </c>
      <c r="D57" t="s">
        <v>2245</v>
      </c>
      <c r="E57" s="39">
        <v>46001</v>
      </c>
      <c r="F57" s="38" t="s">
        <v>45</v>
      </c>
      <c r="G57" s="23">
        <v>4500</v>
      </c>
    </row>
    <row r="58" spans="2:7" x14ac:dyDescent="0.3">
      <c r="B58">
        <v>2</v>
      </c>
      <c r="C58" t="s">
        <v>2250</v>
      </c>
      <c r="D58" t="s">
        <v>2251</v>
      </c>
      <c r="E58" s="39">
        <v>46001</v>
      </c>
      <c r="F58" s="38" t="s">
        <v>45</v>
      </c>
      <c r="G58" s="23">
        <v>4200</v>
      </c>
    </row>
    <row r="59" spans="2:7" x14ac:dyDescent="0.3">
      <c r="B59">
        <v>2</v>
      </c>
      <c r="C59" t="s">
        <v>2252</v>
      </c>
      <c r="D59" t="s">
        <v>2253</v>
      </c>
      <c r="E59" s="39">
        <v>46001</v>
      </c>
      <c r="F59" s="38" t="s">
        <v>45</v>
      </c>
      <c r="G59" s="23">
        <v>4200</v>
      </c>
    </row>
    <row r="60" spans="2:7" x14ac:dyDescent="0.3">
      <c r="B60">
        <v>2</v>
      </c>
      <c r="C60" t="s">
        <v>2254</v>
      </c>
      <c r="D60" t="s">
        <v>2255</v>
      </c>
      <c r="E60" s="39">
        <v>46001</v>
      </c>
      <c r="F60" s="38" t="s">
        <v>41</v>
      </c>
      <c r="G60" s="23">
        <v>42000</v>
      </c>
    </row>
    <row r="61" spans="2:7" x14ac:dyDescent="0.3">
      <c r="B61">
        <v>2</v>
      </c>
      <c r="C61" t="s">
        <v>2256</v>
      </c>
      <c r="D61" t="s">
        <v>2257</v>
      </c>
      <c r="E61" s="39">
        <v>46001</v>
      </c>
      <c r="F61" s="38" t="s">
        <v>41</v>
      </c>
      <c r="G61" s="23">
        <v>42000</v>
      </c>
    </row>
    <row r="62" spans="2:7" x14ac:dyDescent="0.3">
      <c r="B62">
        <v>2</v>
      </c>
      <c r="C62" t="s">
        <v>2258</v>
      </c>
      <c r="D62" t="s">
        <v>2259</v>
      </c>
      <c r="E62" s="39">
        <v>46002</v>
      </c>
      <c r="F62" s="38" t="s">
        <v>200</v>
      </c>
      <c r="G62" s="23">
        <v>22000</v>
      </c>
    </row>
    <row r="63" spans="2:7" x14ac:dyDescent="0.3">
      <c r="B63">
        <v>2</v>
      </c>
      <c r="C63" t="s">
        <v>2260</v>
      </c>
      <c r="D63" t="s">
        <v>2261</v>
      </c>
      <c r="E63" s="39">
        <v>46003</v>
      </c>
      <c r="F63" s="38" t="s">
        <v>45</v>
      </c>
      <c r="G63" s="23">
        <v>4200</v>
      </c>
    </row>
    <row r="64" spans="2:7" x14ac:dyDescent="0.3">
      <c r="B64">
        <v>2</v>
      </c>
      <c r="C64" t="s">
        <v>2262</v>
      </c>
      <c r="D64" t="s">
        <v>2263</v>
      </c>
      <c r="E64" s="39">
        <v>46006</v>
      </c>
      <c r="F64" s="38" t="s">
        <v>41</v>
      </c>
      <c r="G64" s="23">
        <v>7200</v>
      </c>
    </row>
    <row r="65" spans="2:7" x14ac:dyDescent="0.3">
      <c r="B65">
        <v>2</v>
      </c>
      <c r="C65" t="s">
        <v>2266</v>
      </c>
      <c r="D65" t="s">
        <v>2267</v>
      </c>
      <c r="E65" s="39">
        <v>46006</v>
      </c>
      <c r="F65" s="38" t="s">
        <v>45</v>
      </c>
      <c r="G65" s="23">
        <v>4200</v>
      </c>
    </row>
    <row r="66" spans="2:7" x14ac:dyDescent="0.3">
      <c r="B66">
        <v>2</v>
      </c>
      <c r="C66" t="s">
        <v>2268</v>
      </c>
      <c r="D66" t="s">
        <v>2269</v>
      </c>
      <c r="E66" s="39">
        <v>46006</v>
      </c>
      <c r="F66" s="38" t="s">
        <v>45</v>
      </c>
      <c r="G66" s="23">
        <v>4200</v>
      </c>
    </row>
    <row r="67" spans="2:7" x14ac:dyDescent="0.3">
      <c r="B67">
        <v>2</v>
      </c>
      <c r="C67" t="s">
        <v>2270</v>
      </c>
      <c r="D67" t="s">
        <v>2271</v>
      </c>
      <c r="E67" s="39">
        <v>46006</v>
      </c>
      <c r="F67" s="38" t="s">
        <v>45</v>
      </c>
      <c r="G67" s="23">
        <v>4200</v>
      </c>
    </row>
    <row r="68" spans="2:7" x14ac:dyDescent="0.3">
      <c r="B68">
        <v>2</v>
      </c>
      <c r="C68" t="s">
        <v>2272</v>
      </c>
      <c r="D68" t="s">
        <v>2273</v>
      </c>
      <c r="E68" s="39">
        <v>46007</v>
      </c>
      <c r="F68" s="38" t="s">
        <v>156</v>
      </c>
      <c r="G68" s="23">
        <v>21000</v>
      </c>
    </row>
    <row r="69" spans="2:7" x14ac:dyDescent="0.3">
      <c r="B69">
        <v>2</v>
      </c>
      <c r="C69" t="s">
        <v>2274</v>
      </c>
      <c r="D69" t="s">
        <v>2275</v>
      </c>
      <c r="E69" s="39">
        <v>46007</v>
      </c>
      <c r="F69" s="38" t="s">
        <v>200</v>
      </c>
      <c r="G69" s="23">
        <v>22000</v>
      </c>
    </row>
    <row r="70" spans="2:7" x14ac:dyDescent="0.3">
      <c r="B70">
        <v>2</v>
      </c>
      <c r="C70" t="s">
        <v>2276</v>
      </c>
      <c r="D70" t="s">
        <v>2277</v>
      </c>
      <c r="E70" s="39">
        <v>46007</v>
      </c>
      <c r="F70" s="38" t="s">
        <v>199</v>
      </c>
      <c r="G70" s="23">
        <v>22200</v>
      </c>
    </row>
    <row r="71" spans="2:7" x14ac:dyDescent="0.3">
      <c r="B71">
        <v>2</v>
      </c>
      <c r="C71" t="s">
        <v>2278</v>
      </c>
      <c r="D71" t="s">
        <v>2279</v>
      </c>
      <c r="E71" s="39">
        <v>46007</v>
      </c>
      <c r="F71" s="38" t="s">
        <v>45</v>
      </c>
      <c r="G71" s="23">
        <v>18500</v>
      </c>
    </row>
    <row r="72" spans="2:7" x14ac:dyDescent="0.3">
      <c r="B72" s="98">
        <v>2</v>
      </c>
      <c r="C72" s="99" t="s">
        <v>2288</v>
      </c>
      <c r="D72" t="s">
        <v>2289</v>
      </c>
      <c r="E72" s="27">
        <v>46008</v>
      </c>
      <c r="F72" s="2" t="s">
        <v>2291</v>
      </c>
      <c r="G72" s="23">
        <v>31775.924999999999</v>
      </c>
    </row>
    <row r="73" spans="2:7" x14ac:dyDescent="0.3">
      <c r="B73">
        <v>2</v>
      </c>
      <c r="C73" t="s">
        <v>2295</v>
      </c>
      <c r="D73" t="s">
        <v>2296</v>
      </c>
      <c r="E73" s="39">
        <v>46008</v>
      </c>
      <c r="F73" s="38" t="s">
        <v>41</v>
      </c>
      <c r="G73" s="23">
        <v>42000</v>
      </c>
    </row>
    <row r="74" spans="2:7" x14ac:dyDescent="0.3">
      <c r="B74">
        <v>2</v>
      </c>
      <c r="C74" t="s">
        <v>2297</v>
      </c>
      <c r="D74" t="s">
        <v>2298</v>
      </c>
      <c r="E74" s="39">
        <v>46008</v>
      </c>
      <c r="F74" s="38" t="s">
        <v>45</v>
      </c>
      <c r="G74" s="23">
        <v>4200</v>
      </c>
    </row>
    <row r="75" spans="2:7" x14ac:dyDescent="0.3">
      <c r="B75">
        <v>2</v>
      </c>
      <c r="C75" t="s">
        <v>2299</v>
      </c>
      <c r="D75" t="s">
        <v>2300</v>
      </c>
      <c r="E75" s="39">
        <v>46008</v>
      </c>
      <c r="F75" s="38" t="s">
        <v>45</v>
      </c>
      <c r="G75" s="23">
        <v>4200</v>
      </c>
    </row>
    <row r="76" spans="2:7" x14ac:dyDescent="0.3">
      <c r="B76" s="98">
        <v>2</v>
      </c>
      <c r="C76" s="99" t="s">
        <v>2301</v>
      </c>
      <c r="D76" t="s">
        <v>2302</v>
      </c>
      <c r="E76" s="27">
        <v>46008</v>
      </c>
      <c r="F76" s="2" t="s">
        <v>2293</v>
      </c>
      <c r="G76" s="23">
        <v>153493.875</v>
      </c>
    </row>
    <row r="77" spans="2:7" x14ac:dyDescent="0.3">
      <c r="B77" s="98">
        <v>2</v>
      </c>
      <c r="C77" s="99" t="s">
        <v>2303</v>
      </c>
      <c r="D77" t="s">
        <v>2304</v>
      </c>
      <c r="E77" s="27">
        <v>46008</v>
      </c>
      <c r="F77" s="2" t="s">
        <v>2293</v>
      </c>
      <c r="G77" s="23">
        <v>170548.75</v>
      </c>
    </row>
    <row r="78" spans="2:7" x14ac:dyDescent="0.3">
      <c r="B78">
        <v>2</v>
      </c>
      <c r="C78" t="s">
        <v>2305</v>
      </c>
      <c r="D78" t="s">
        <v>2306</v>
      </c>
      <c r="E78" s="39">
        <v>46008</v>
      </c>
      <c r="F78" s="38" t="s">
        <v>45</v>
      </c>
      <c r="G78" s="23">
        <v>4200</v>
      </c>
    </row>
    <row r="79" spans="2:7" x14ac:dyDescent="0.3">
      <c r="B79" s="98">
        <v>2</v>
      </c>
      <c r="C79" s="99" t="s">
        <v>2321</v>
      </c>
      <c r="D79" t="s">
        <v>2322</v>
      </c>
      <c r="E79" s="27">
        <v>46008</v>
      </c>
      <c r="F79" s="2" t="s">
        <v>156</v>
      </c>
      <c r="G79" s="23">
        <v>107715</v>
      </c>
    </row>
    <row r="80" spans="2:7" x14ac:dyDescent="0.3">
      <c r="B80">
        <v>2</v>
      </c>
      <c r="C80" t="s">
        <v>2348</v>
      </c>
      <c r="D80" t="s">
        <v>2349</v>
      </c>
      <c r="E80" s="39">
        <v>46013</v>
      </c>
      <c r="F80" s="38" t="s">
        <v>45</v>
      </c>
      <c r="G80" s="23">
        <v>4200</v>
      </c>
    </row>
    <row r="81" spans="2:7" x14ac:dyDescent="0.3">
      <c r="B81">
        <v>2</v>
      </c>
      <c r="C81" t="s">
        <v>2350</v>
      </c>
      <c r="D81" t="s">
        <v>2351</v>
      </c>
      <c r="E81" s="39">
        <v>46013</v>
      </c>
      <c r="F81" s="38" t="s">
        <v>45</v>
      </c>
      <c r="G81" s="23">
        <v>4200</v>
      </c>
    </row>
    <row r="82" spans="2:7" x14ac:dyDescent="0.3">
      <c r="B82">
        <v>2</v>
      </c>
      <c r="C82" t="s">
        <v>2355</v>
      </c>
      <c r="D82" t="s">
        <v>2356</v>
      </c>
      <c r="E82" s="39">
        <v>46014</v>
      </c>
      <c r="F82" s="38" t="s">
        <v>200</v>
      </c>
      <c r="G82" s="23">
        <v>22000</v>
      </c>
    </row>
    <row r="83" spans="2:7" x14ac:dyDescent="0.3">
      <c r="B83">
        <v>2</v>
      </c>
      <c r="C83" t="s">
        <v>2357</v>
      </c>
      <c r="D83" t="s">
        <v>2358</v>
      </c>
      <c r="E83" s="39">
        <v>46014</v>
      </c>
      <c r="F83" s="38" t="s">
        <v>199</v>
      </c>
      <c r="G83" s="23">
        <v>7400</v>
      </c>
    </row>
    <row r="84" spans="2:7" x14ac:dyDescent="0.3">
      <c r="B84">
        <v>2</v>
      </c>
      <c r="C84" t="s">
        <v>2359</v>
      </c>
      <c r="D84" t="s">
        <v>2360</v>
      </c>
      <c r="E84" s="39">
        <v>46014</v>
      </c>
      <c r="F84" s="38" t="s">
        <v>199</v>
      </c>
      <c r="G84" s="23">
        <v>7400</v>
      </c>
    </row>
    <row r="85" spans="2:7" x14ac:dyDescent="0.3">
      <c r="B85">
        <v>2</v>
      </c>
      <c r="C85" t="s">
        <v>2363</v>
      </c>
      <c r="D85" t="s">
        <v>2364</v>
      </c>
      <c r="E85" s="39">
        <v>46017</v>
      </c>
      <c r="F85" s="38" t="s">
        <v>45</v>
      </c>
      <c r="G85" s="23">
        <v>4200</v>
      </c>
    </row>
    <row r="86" spans="2:7" x14ac:dyDescent="0.3">
      <c r="B86">
        <v>2</v>
      </c>
      <c r="C86" t="s">
        <v>2367</v>
      </c>
      <c r="D86" t="s">
        <v>2368</v>
      </c>
      <c r="E86" s="39">
        <v>46017</v>
      </c>
      <c r="F86" s="38" t="s">
        <v>45</v>
      </c>
      <c r="G86" s="23">
        <v>14228</v>
      </c>
    </row>
    <row r="87" spans="2:7" x14ac:dyDescent="0.3">
      <c r="B87">
        <v>2</v>
      </c>
      <c r="C87" t="s">
        <v>2371</v>
      </c>
      <c r="D87" t="s">
        <v>2372</v>
      </c>
      <c r="E87" s="39">
        <v>46020</v>
      </c>
      <c r="F87" s="38" t="s">
        <v>199</v>
      </c>
      <c r="G87" s="23">
        <v>92200</v>
      </c>
    </row>
    <row r="88" spans="2:7" x14ac:dyDescent="0.3">
      <c r="B88">
        <v>2</v>
      </c>
      <c r="C88" t="s">
        <v>2373</v>
      </c>
      <c r="D88" t="s">
        <v>2374</v>
      </c>
      <c r="E88" s="39">
        <v>46020</v>
      </c>
      <c r="F88" s="38" t="s">
        <v>156</v>
      </c>
      <c r="G88" s="23">
        <v>21000</v>
      </c>
    </row>
    <row r="89" spans="2:7" x14ac:dyDescent="0.3">
      <c r="B89">
        <v>2</v>
      </c>
      <c r="C89" t="s">
        <v>2379</v>
      </c>
      <c r="D89" t="s">
        <v>2380</v>
      </c>
      <c r="E89" s="39">
        <v>46020</v>
      </c>
      <c r="F89" s="38" t="s">
        <v>199</v>
      </c>
      <c r="G89" s="23">
        <v>83100</v>
      </c>
    </row>
    <row r="90" spans="2:7" x14ac:dyDescent="0.3">
      <c r="B90">
        <v>2</v>
      </c>
      <c r="C90" t="s">
        <v>2383</v>
      </c>
      <c r="D90" t="s">
        <v>2384</v>
      </c>
      <c r="E90" s="39">
        <v>46020</v>
      </c>
      <c r="F90" s="38" t="s">
        <v>199</v>
      </c>
      <c r="G90" s="23">
        <v>7400</v>
      </c>
    </row>
    <row r="91" spans="2:7" x14ac:dyDescent="0.3">
      <c r="B91">
        <v>2</v>
      </c>
      <c r="C91" t="s">
        <v>2385</v>
      </c>
      <c r="D91" t="s">
        <v>2386</v>
      </c>
      <c r="E91" s="39">
        <v>46020</v>
      </c>
      <c r="F91" s="38" t="s">
        <v>199</v>
      </c>
      <c r="G91" s="23">
        <v>7400</v>
      </c>
    </row>
    <row r="92" spans="2:7" x14ac:dyDescent="0.3">
      <c r="B92" s="2">
        <v>2</v>
      </c>
      <c r="C92" s="2" t="s">
        <v>2389</v>
      </c>
      <c r="D92" s="2" t="s">
        <v>2390</v>
      </c>
      <c r="E92" s="39">
        <v>46021</v>
      </c>
      <c r="F92" s="38" t="s">
        <v>45</v>
      </c>
      <c r="G92" s="23">
        <v>4200</v>
      </c>
    </row>
    <row r="93" spans="2:7" x14ac:dyDescent="0.3">
      <c r="B93" s="2">
        <v>2</v>
      </c>
      <c r="C93" s="2" t="s">
        <v>2391</v>
      </c>
      <c r="D93" s="2" t="s">
        <v>2392</v>
      </c>
      <c r="E93" s="39">
        <v>46021</v>
      </c>
      <c r="F93" s="38" t="s">
        <v>45</v>
      </c>
      <c r="G93" s="23">
        <v>7761.6</v>
      </c>
    </row>
    <row r="94" spans="2:7" x14ac:dyDescent="0.3">
      <c r="B94" s="2">
        <v>2</v>
      </c>
      <c r="C94" s="2" t="s">
        <v>2393</v>
      </c>
      <c r="D94" s="2" t="s">
        <v>2394</v>
      </c>
      <c r="E94" s="39">
        <v>46021</v>
      </c>
      <c r="F94" s="38" t="s">
        <v>45</v>
      </c>
      <c r="G94" s="23">
        <v>7200</v>
      </c>
    </row>
    <row r="95" spans="2:7" x14ac:dyDescent="0.3">
      <c r="B95" s="2">
        <v>2</v>
      </c>
      <c r="C95" s="2" t="s">
        <v>2397</v>
      </c>
      <c r="D95" s="2" t="s">
        <v>2398</v>
      </c>
      <c r="E95" s="39">
        <v>46021</v>
      </c>
      <c r="F95" s="38" t="s">
        <v>45</v>
      </c>
      <c r="G95" s="23">
        <v>7673</v>
      </c>
    </row>
    <row r="96" spans="2:7" x14ac:dyDescent="0.3">
      <c r="B96" s="2">
        <v>2</v>
      </c>
      <c r="C96" s="2" t="s">
        <v>2399</v>
      </c>
      <c r="D96" s="2" t="s">
        <v>2400</v>
      </c>
      <c r="E96" s="39">
        <v>46021</v>
      </c>
      <c r="F96" s="38" t="s">
        <v>199</v>
      </c>
      <c r="G96" s="23">
        <v>21400</v>
      </c>
    </row>
    <row r="97" spans="2:7" x14ac:dyDescent="0.3">
      <c r="B97" s="2">
        <v>2</v>
      </c>
      <c r="C97" s="2" t="s">
        <v>2403</v>
      </c>
      <c r="D97" s="2" t="s">
        <v>2404</v>
      </c>
      <c r="E97" s="39">
        <v>46021</v>
      </c>
      <c r="F97" s="38" t="s">
        <v>199</v>
      </c>
      <c r="G97" s="23">
        <v>21400</v>
      </c>
    </row>
    <row r="98" spans="2:7" x14ac:dyDescent="0.3">
      <c r="B98" s="82">
        <v>2</v>
      </c>
      <c r="C98" s="19" t="s">
        <v>2411</v>
      </c>
      <c r="D98" s="2" t="s">
        <v>2412</v>
      </c>
      <c r="E98" s="27">
        <v>46021</v>
      </c>
      <c r="F98" s="2" t="s">
        <v>2413</v>
      </c>
      <c r="G98" s="23">
        <v>16529.363999999998</v>
      </c>
    </row>
    <row r="99" spans="2:7" x14ac:dyDescent="0.3">
      <c r="B99" s="2">
        <v>2</v>
      </c>
      <c r="C99" s="2" t="s">
        <v>2420</v>
      </c>
      <c r="D99" s="2" t="s">
        <v>2421</v>
      </c>
      <c r="E99" s="39">
        <v>46021</v>
      </c>
      <c r="F99" s="38" t="s">
        <v>45</v>
      </c>
      <c r="G99" s="23">
        <v>4200</v>
      </c>
    </row>
    <row r="100" spans="2:7" x14ac:dyDescent="0.3">
      <c r="B100" s="2">
        <v>2</v>
      </c>
      <c r="C100" s="2" t="s">
        <v>2424</v>
      </c>
      <c r="D100" s="2" t="s">
        <v>2425</v>
      </c>
      <c r="E100" s="39">
        <v>46022</v>
      </c>
      <c r="F100" s="38" t="s">
        <v>45</v>
      </c>
      <c r="G100" s="23">
        <v>4200</v>
      </c>
    </row>
    <row r="101" spans="2:7" x14ac:dyDescent="0.3">
      <c r="B101" s="2">
        <v>2</v>
      </c>
      <c r="C101" s="2" t="s">
        <v>2426</v>
      </c>
      <c r="D101" s="2" t="s">
        <v>2427</v>
      </c>
      <c r="E101" s="39">
        <v>46022</v>
      </c>
      <c r="F101" s="38" t="s">
        <v>45</v>
      </c>
      <c r="G101" s="23">
        <v>4200</v>
      </c>
    </row>
    <row r="102" spans="2:7" x14ac:dyDescent="0.3">
      <c r="B102" s="2">
        <v>2</v>
      </c>
      <c r="C102" s="2" t="s">
        <v>2428</v>
      </c>
      <c r="D102" s="2" t="s">
        <v>2429</v>
      </c>
      <c r="E102" s="39">
        <v>46022</v>
      </c>
      <c r="F102" s="38" t="s">
        <v>45</v>
      </c>
      <c r="G102" s="23">
        <v>4200</v>
      </c>
    </row>
    <row r="103" spans="2:7" x14ac:dyDescent="0.3">
      <c r="B103" s="2">
        <v>2</v>
      </c>
      <c r="C103" s="2" t="s">
        <v>2434</v>
      </c>
      <c r="D103" s="2" t="s">
        <v>2435</v>
      </c>
      <c r="E103" s="39">
        <v>46022</v>
      </c>
      <c r="F103" s="38" t="s">
        <v>1236</v>
      </c>
      <c r="G103" s="23">
        <v>0.01</v>
      </c>
    </row>
    <row r="104" spans="2:7" x14ac:dyDescent="0.3">
      <c r="B104" s="82">
        <v>2</v>
      </c>
      <c r="C104" s="19" t="s">
        <v>2436</v>
      </c>
      <c r="D104" s="2" t="s">
        <v>2292</v>
      </c>
      <c r="E104" s="27">
        <v>46022</v>
      </c>
      <c r="F104" s="2" t="s">
        <v>2293</v>
      </c>
      <c r="G104" s="23">
        <v>21543.360000000001</v>
      </c>
    </row>
    <row r="105" spans="2:7" x14ac:dyDescent="0.3">
      <c r="B105" s="82">
        <v>2</v>
      </c>
      <c r="C105" s="19" t="s">
        <v>2437</v>
      </c>
      <c r="D105" s="2" t="s">
        <v>2438</v>
      </c>
      <c r="E105" s="27">
        <v>46022</v>
      </c>
      <c r="F105" s="2" t="s">
        <v>2291</v>
      </c>
      <c r="G105" s="23">
        <v>36803.24</v>
      </c>
    </row>
    <row r="106" spans="2:7" x14ac:dyDescent="0.3">
      <c r="B106" s="82">
        <v>2</v>
      </c>
      <c r="C106" s="19" t="s">
        <v>2439</v>
      </c>
      <c r="D106" s="2" t="s">
        <v>2292</v>
      </c>
      <c r="E106" s="27">
        <v>46022</v>
      </c>
      <c r="F106" s="2" t="s">
        <v>2441</v>
      </c>
      <c r="G106" s="23">
        <v>136441.28</v>
      </c>
    </row>
    <row r="109" spans="2:7" x14ac:dyDescent="0.3">
      <c r="F109" t="s">
        <v>2443</v>
      </c>
      <c r="G109" s="23">
        <f>SUM(G2:G108)</f>
        <v>3809839.07</v>
      </c>
    </row>
  </sheetData>
  <autoFilter ref="B1:G106" xr:uid="{14FCFAC3-BF2E-4CE6-8EFE-4947BDAEA643}">
    <sortState xmlns:xlrd2="http://schemas.microsoft.com/office/spreadsheetml/2017/richdata2" ref="B2:G106">
      <sortCondition ref="C1:C106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078E-B8AD-4F18-B70D-EF8AF19B6582}">
  <sheetPr>
    <tabColor rgb="FF0070C0"/>
  </sheetPr>
  <dimension ref="D4:E39"/>
  <sheetViews>
    <sheetView topLeftCell="A15" workbookViewId="0">
      <selection activeCell="D5" sqref="D5:E39"/>
    </sheetView>
  </sheetViews>
  <sheetFormatPr baseColWidth="10" defaultRowHeight="14.4" x14ac:dyDescent="0.3"/>
  <cols>
    <col min="4" max="4" width="41.33203125" bestFit="1" customWidth="1"/>
    <col min="5" max="5" width="13.77734375" style="23" bestFit="1" customWidth="1"/>
  </cols>
  <sheetData>
    <row r="4" spans="4:5" x14ac:dyDescent="0.3">
      <c r="E4" s="23" t="s">
        <v>2446</v>
      </c>
    </row>
    <row r="5" spans="4:5" x14ac:dyDescent="0.3">
      <c r="D5" t="s">
        <v>199</v>
      </c>
      <c r="E5" s="23">
        <v>16223901.329999998</v>
      </c>
    </row>
    <row r="6" spans="4:5" x14ac:dyDescent="0.3">
      <c r="D6" t="s">
        <v>41</v>
      </c>
      <c r="E6" s="23">
        <v>8188306.4341150001</v>
      </c>
    </row>
    <row r="7" spans="4:5" x14ac:dyDescent="0.3">
      <c r="D7" t="s">
        <v>45</v>
      </c>
      <c r="E7" s="23">
        <v>3632179.9699999997</v>
      </c>
    </row>
    <row r="8" spans="4:5" x14ac:dyDescent="0.3">
      <c r="D8" t="s">
        <v>49</v>
      </c>
      <c r="E8" s="23">
        <v>2398937.6284999996</v>
      </c>
    </row>
    <row r="9" spans="4:5" x14ac:dyDescent="0.3">
      <c r="D9" t="s">
        <v>156</v>
      </c>
      <c r="E9" s="23">
        <v>2269734.9275000002</v>
      </c>
    </row>
    <row r="10" spans="4:5" x14ac:dyDescent="0.3">
      <c r="D10" t="s">
        <v>200</v>
      </c>
      <c r="E10" s="23">
        <v>2189831.0700000003</v>
      </c>
    </row>
    <row r="11" spans="4:5" x14ac:dyDescent="0.3">
      <c r="D11" t="s">
        <v>228</v>
      </c>
      <c r="E11" s="23">
        <v>1402774.243004</v>
      </c>
    </row>
    <row r="12" spans="4:5" x14ac:dyDescent="0.3">
      <c r="D12" t="s">
        <v>155</v>
      </c>
      <c r="E12" s="23">
        <v>982463.85492800002</v>
      </c>
    </row>
    <row r="13" spans="4:5" x14ac:dyDescent="0.3">
      <c r="D13" t="s">
        <v>219</v>
      </c>
      <c r="E13" s="23">
        <v>634797.74</v>
      </c>
    </row>
    <row r="14" spans="4:5" x14ac:dyDescent="0.3">
      <c r="D14" t="s">
        <v>221</v>
      </c>
      <c r="E14" s="23">
        <v>526562.69200000004</v>
      </c>
    </row>
    <row r="15" spans="4:5" x14ac:dyDescent="0.3">
      <c r="D15" t="s">
        <v>868</v>
      </c>
      <c r="E15" s="23">
        <v>436050.55</v>
      </c>
    </row>
    <row r="16" spans="4:5" x14ac:dyDescent="0.3">
      <c r="D16" t="s">
        <v>1228</v>
      </c>
      <c r="E16" s="23">
        <v>396158.42119999998</v>
      </c>
    </row>
    <row r="17" spans="4:5" x14ac:dyDescent="0.3">
      <c r="D17" t="s">
        <v>2293</v>
      </c>
      <c r="E17" s="23">
        <v>345585.99</v>
      </c>
    </row>
    <row r="18" spans="4:5" x14ac:dyDescent="0.3">
      <c r="D18" t="s">
        <v>2441</v>
      </c>
      <c r="E18" s="23">
        <v>136441.28</v>
      </c>
    </row>
    <row r="19" spans="4:5" x14ac:dyDescent="0.3">
      <c r="D19" t="s">
        <v>1188</v>
      </c>
      <c r="E19" s="23">
        <v>106124.52399999999</v>
      </c>
    </row>
    <row r="20" spans="4:5" x14ac:dyDescent="0.3">
      <c r="D20" t="s">
        <v>407</v>
      </c>
      <c r="E20" s="23">
        <v>101253.11</v>
      </c>
    </row>
    <row r="21" spans="4:5" x14ac:dyDescent="0.3">
      <c r="D21" t="s">
        <v>56</v>
      </c>
      <c r="E21" s="23">
        <v>95811.983204999997</v>
      </c>
    </row>
    <row r="22" spans="4:5" x14ac:dyDescent="0.3">
      <c r="D22" t="s">
        <v>1246</v>
      </c>
      <c r="E22" s="23">
        <v>92071.640000000014</v>
      </c>
    </row>
    <row r="23" spans="4:5" x14ac:dyDescent="0.3">
      <c r="D23" t="s">
        <v>21</v>
      </c>
      <c r="E23" s="23">
        <v>84750.13</v>
      </c>
    </row>
    <row r="24" spans="4:5" x14ac:dyDescent="0.3">
      <c r="D24" t="s">
        <v>1273</v>
      </c>
      <c r="E24" s="23">
        <v>79946.259999999995</v>
      </c>
    </row>
    <row r="25" spans="4:5" x14ac:dyDescent="0.3">
      <c r="D25" t="s">
        <v>1032</v>
      </c>
      <c r="E25" s="23">
        <v>75686.92637999999</v>
      </c>
    </row>
    <row r="26" spans="4:5" x14ac:dyDescent="0.3">
      <c r="D26" t="s">
        <v>2118</v>
      </c>
      <c r="E26" s="23">
        <v>73429.86</v>
      </c>
    </row>
    <row r="27" spans="4:5" x14ac:dyDescent="0.3">
      <c r="D27" t="s">
        <v>318</v>
      </c>
      <c r="E27" s="23">
        <v>71882.62</v>
      </c>
    </row>
    <row r="28" spans="4:5" x14ac:dyDescent="0.3">
      <c r="D28" t="s">
        <v>2291</v>
      </c>
      <c r="E28" s="23">
        <v>68579.17</v>
      </c>
    </row>
    <row r="29" spans="4:5" x14ac:dyDescent="0.3">
      <c r="D29" t="s">
        <v>2000</v>
      </c>
      <c r="E29" s="23">
        <v>60956.42</v>
      </c>
    </row>
    <row r="30" spans="4:5" x14ac:dyDescent="0.3">
      <c r="D30" t="s">
        <v>327</v>
      </c>
      <c r="E30" s="23">
        <v>43985.000700000004</v>
      </c>
    </row>
    <row r="31" spans="4:5" x14ac:dyDescent="0.3">
      <c r="D31" t="s">
        <v>1591</v>
      </c>
      <c r="E31" s="23">
        <v>42239.67</v>
      </c>
    </row>
    <row r="32" spans="4:5" x14ac:dyDescent="0.3">
      <c r="D32" t="s">
        <v>587</v>
      </c>
      <c r="E32" s="23">
        <v>29254.9</v>
      </c>
    </row>
    <row r="33" spans="4:5" x14ac:dyDescent="0.3">
      <c r="D33" t="s">
        <v>2043</v>
      </c>
      <c r="E33" s="23">
        <v>20580.62</v>
      </c>
    </row>
    <row r="34" spans="4:5" x14ac:dyDescent="0.3">
      <c r="D34" t="s">
        <v>240</v>
      </c>
      <c r="E34" s="23">
        <v>8992.8525000000009</v>
      </c>
    </row>
    <row r="35" spans="4:5" x14ac:dyDescent="0.3">
      <c r="D35" t="s">
        <v>1505</v>
      </c>
      <c r="E35" s="23">
        <v>6233.25</v>
      </c>
    </row>
    <row r="36" spans="4:5" x14ac:dyDescent="0.3">
      <c r="D36" t="s">
        <v>1351</v>
      </c>
      <c r="E36" s="23">
        <v>5066.33</v>
      </c>
    </row>
    <row r="37" spans="4:5" x14ac:dyDescent="0.3">
      <c r="D37" t="s">
        <v>328</v>
      </c>
      <c r="E37" s="23">
        <v>4815.5495000000001</v>
      </c>
    </row>
    <row r="38" spans="4:5" x14ac:dyDescent="0.3">
      <c r="D38" t="s">
        <v>1856</v>
      </c>
      <c r="E38" s="23">
        <v>4500</v>
      </c>
    </row>
    <row r="39" spans="4:5" x14ac:dyDescent="0.3">
      <c r="D39" t="s">
        <v>329</v>
      </c>
      <c r="E39" s="23">
        <v>3140.5635000000002</v>
      </c>
    </row>
  </sheetData>
  <sortState xmlns:xlrd2="http://schemas.microsoft.com/office/spreadsheetml/2017/richdata2" ref="D5:E39">
    <sortCondition descending="1" ref="E4:E39"/>
  </sortState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5199-A4DA-4BD9-A328-CA1E82E6A617}">
  <sheetPr>
    <tabColor rgb="FF0070C0"/>
  </sheetPr>
  <dimension ref="A1:AQ29"/>
  <sheetViews>
    <sheetView zoomScale="90" zoomScaleNormal="90" workbookViewId="0">
      <pane xSplit="5" ySplit="2" topLeftCell="F3" activePane="bottomRight" state="frozen"/>
      <selection pane="topRight" activeCell="C1" sqref="C1"/>
      <selection pane="bottomLeft" activeCell="A3" sqref="A3"/>
      <selection pane="bottomRight" activeCell="I22" sqref="I22"/>
    </sheetView>
  </sheetViews>
  <sheetFormatPr baseColWidth="10" defaultColWidth="15.6640625" defaultRowHeight="14.4" x14ac:dyDescent="0.3"/>
  <cols>
    <col min="4" max="4" width="9.5546875" customWidth="1"/>
    <col min="5" max="5" width="14.109375" bestFit="1" customWidth="1"/>
    <col min="6" max="6" width="21.44140625" bestFit="1" customWidth="1"/>
    <col min="7" max="7" width="11.6640625" style="25" customWidth="1"/>
    <col min="8" max="8" width="13" customWidth="1"/>
    <col min="9" max="9" width="46.44140625" customWidth="1"/>
    <col min="10" max="10" width="20.109375" customWidth="1"/>
    <col min="11" max="15" width="15.6640625" customWidth="1"/>
    <col min="18" max="21" width="15.6640625" customWidth="1"/>
    <col min="22" max="22" width="4.5546875" customWidth="1"/>
    <col min="23" max="23" width="1.6640625" customWidth="1"/>
    <col min="24" max="24" width="25.6640625" customWidth="1"/>
    <col min="25" max="31" width="20.33203125" customWidth="1"/>
    <col min="32" max="32" width="15.6640625" customWidth="1"/>
    <col min="33" max="33" width="1.6640625" customWidth="1"/>
    <col min="42" max="42" width="15.6640625" customWidth="1"/>
  </cols>
  <sheetData>
    <row r="1" spans="1:43" x14ac:dyDescent="0.3">
      <c r="J1" s="29" t="s">
        <v>38</v>
      </c>
      <c r="K1" s="30"/>
      <c r="L1" s="30"/>
      <c r="M1" s="30"/>
      <c r="N1" s="30"/>
      <c r="O1" s="31"/>
      <c r="Q1" s="29" t="s">
        <v>39</v>
      </c>
      <c r="R1" s="30"/>
      <c r="S1" s="30"/>
      <c r="T1" s="30"/>
      <c r="U1" s="31"/>
    </row>
    <row r="2" spans="1:43" ht="43.2" x14ac:dyDescent="0.3">
      <c r="A2" s="10" t="s">
        <v>1815</v>
      </c>
      <c r="B2" s="10" t="s">
        <v>1816</v>
      </c>
      <c r="C2" s="10" t="s">
        <v>1817</v>
      </c>
      <c r="D2" s="10" t="s">
        <v>6</v>
      </c>
      <c r="E2" s="10" t="s">
        <v>7</v>
      </c>
      <c r="F2" s="10" t="s">
        <v>794</v>
      </c>
      <c r="G2" s="26" t="s">
        <v>9</v>
      </c>
      <c r="H2" s="10" t="s">
        <v>10</v>
      </c>
      <c r="I2" s="10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0" t="s">
        <v>18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9"/>
      <c r="W2" s="9"/>
      <c r="X2" s="5" t="s">
        <v>60</v>
      </c>
      <c r="Y2" s="5" t="s">
        <v>1</v>
      </c>
      <c r="Z2" s="5" t="s">
        <v>514</v>
      </c>
      <c r="AA2" s="5" t="s">
        <v>54</v>
      </c>
      <c r="AB2" s="5" t="s">
        <v>52</v>
      </c>
      <c r="AC2" s="5" t="s">
        <v>3</v>
      </c>
      <c r="AD2" s="5" t="s">
        <v>2408</v>
      </c>
      <c r="AE2" s="5" t="s">
        <v>47</v>
      </c>
      <c r="AF2" s="5" t="s">
        <v>5</v>
      </c>
      <c r="AG2" s="8"/>
      <c r="AH2" s="5" t="s">
        <v>60</v>
      </c>
      <c r="AI2" s="5" t="s">
        <v>1</v>
      </c>
      <c r="AJ2" s="5" t="s">
        <v>514</v>
      </c>
      <c r="AK2" s="5" t="s">
        <v>54</v>
      </c>
      <c r="AL2" s="5" t="s">
        <v>52</v>
      </c>
      <c r="AM2" s="5" t="s">
        <v>3</v>
      </c>
      <c r="AN2" s="5" t="s">
        <v>2408</v>
      </c>
      <c r="AO2" s="5" t="s">
        <v>47</v>
      </c>
      <c r="AP2" s="5" t="s">
        <v>5</v>
      </c>
    </row>
    <row r="3" spans="1:43" x14ac:dyDescent="0.3">
      <c r="A3" s="94">
        <v>0.254</v>
      </c>
      <c r="B3" s="82" t="s">
        <v>1857</v>
      </c>
      <c r="C3" s="82" t="s">
        <v>1844</v>
      </c>
      <c r="D3" s="82">
        <v>1</v>
      </c>
      <c r="E3" s="19" t="s">
        <v>2234</v>
      </c>
      <c r="F3" s="2" t="s">
        <v>2235</v>
      </c>
      <c r="G3" s="27">
        <v>46000</v>
      </c>
      <c r="H3" s="19" t="s">
        <v>20</v>
      </c>
      <c r="I3" s="2" t="s">
        <v>21</v>
      </c>
      <c r="J3" s="13">
        <v>0</v>
      </c>
      <c r="K3" s="13">
        <v>580</v>
      </c>
      <c r="L3" s="13">
        <v>92.8</v>
      </c>
      <c r="M3" s="13">
        <f>SUM(J3:L3)</f>
        <v>672.8</v>
      </c>
      <c r="N3" s="13">
        <v>0</v>
      </c>
      <c r="O3" s="13">
        <f>M3-N3</f>
        <v>672.8</v>
      </c>
      <c r="P3" s="18">
        <v>18.236699999999999</v>
      </c>
      <c r="Q3" s="3">
        <f t="shared" ref="Q3:Q20" si="0">K3*P3</f>
        <v>10577.286</v>
      </c>
      <c r="R3" s="3">
        <f>L3*P3</f>
        <v>1692.3657599999999</v>
      </c>
      <c r="S3" s="3">
        <f>M3*P3</f>
        <v>12269.651759999999</v>
      </c>
      <c r="T3" s="3">
        <f>P3*N3</f>
        <v>0</v>
      </c>
      <c r="U3" s="3">
        <f>O3*P3</f>
        <v>12269.651759999999</v>
      </c>
      <c r="V3" s="48"/>
      <c r="W3" s="44"/>
      <c r="X3" s="3">
        <v>0</v>
      </c>
      <c r="Y3" s="3">
        <v>0</v>
      </c>
      <c r="Z3" s="3">
        <v>580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H3" s="3">
        <f>X3*P3</f>
        <v>0</v>
      </c>
      <c r="AI3" s="3">
        <f>+Y3*P3</f>
        <v>0</v>
      </c>
      <c r="AJ3" s="60">
        <f>+P3*Z3</f>
        <v>10577.286</v>
      </c>
      <c r="AK3" s="3">
        <f>+AA3*P3</f>
        <v>0</v>
      </c>
      <c r="AL3" s="3">
        <f>+AB3*P3</f>
        <v>0</v>
      </c>
      <c r="AM3" s="3">
        <f>+AC3*P3</f>
        <v>0</v>
      </c>
      <c r="AN3" s="3">
        <f>+AD3*P3</f>
        <v>0</v>
      </c>
      <c r="AO3" s="3">
        <f>+AE3*P3</f>
        <v>0</v>
      </c>
      <c r="AP3" s="3">
        <f>+AF3*P3</f>
        <v>0</v>
      </c>
      <c r="AQ3" s="46"/>
    </row>
    <row r="4" spans="1:43" x14ac:dyDescent="0.3">
      <c r="A4" s="94">
        <v>0.246</v>
      </c>
      <c r="B4" s="82" t="s">
        <v>1842</v>
      </c>
      <c r="C4" s="82" t="s">
        <v>1839</v>
      </c>
      <c r="D4" s="82">
        <v>2</v>
      </c>
      <c r="E4" s="19" t="s">
        <v>2240</v>
      </c>
      <c r="F4" s="2" t="s">
        <v>2241</v>
      </c>
      <c r="G4" s="27">
        <v>46001</v>
      </c>
      <c r="H4" s="19" t="s">
        <v>61</v>
      </c>
      <c r="I4" s="2" t="s">
        <v>156</v>
      </c>
      <c r="J4" s="13">
        <v>0</v>
      </c>
      <c r="K4" s="13">
        <v>660</v>
      </c>
      <c r="L4" s="13">
        <v>0</v>
      </c>
      <c r="M4" s="13">
        <f t="shared" ref="M4:M20" si="1">SUM(J4:L4)</f>
        <v>660</v>
      </c>
      <c r="N4" s="13">
        <v>0</v>
      </c>
      <c r="O4" s="13">
        <f>M4-N4</f>
        <v>660</v>
      </c>
      <c r="P4" s="18">
        <v>18.236699999999999</v>
      </c>
      <c r="Q4" s="3">
        <f t="shared" si="0"/>
        <v>12036.222</v>
      </c>
      <c r="R4" s="3">
        <f>L4*P4</f>
        <v>0</v>
      </c>
      <c r="S4" s="3">
        <f>M4*P4</f>
        <v>12036.222</v>
      </c>
      <c r="T4" s="3">
        <f>P4*N4</f>
        <v>0</v>
      </c>
      <c r="U4" s="3">
        <f>O4*P4</f>
        <v>12036.222</v>
      </c>
      <c r="V4" s="48"/>
      <c r="W4" s="44"/>
      <c r="X4" s="3">
        <v>660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H4" s="3">
        <f>X4*P4</f>
        <v>12036.222</v>
      </c>
      <c r="AI4" s="3">
        <f t="shared" ref="AI4:AI20" si="2">+Y4*P4</f>
        <v>0</v>
      </c>
      <c r="AJ4" s="60">
        <f t="shared" ref="AJ4:AJ20" si="3">+P4*Z4</f>
        <v>0</v>
      </c>
      <c r="AK4" s="3">
        <f>+AA4*P4</f>
        <v>0</v>
      </c>
      <c r="AL4" s="3">
        <f t="shared" ref="AL4:AL20" si="4">+AB4*P4</f>
        <v>0</v>
      </c>
      <c r="AM4" s="3">
        <f t="shared" ref="AM4:AM20" si="5">+AC4*P4</f>
        <v>0</v>
      </c>
      <c r="AN4" s="3">
        <f t="shared" ref="AN4:AN20" si="6">+AD4*P4</f>
        <v>0</v>
      </c>
      <c r="AO4" s="3">
        <f t="shared" ref="AO4:AO20" si="7">+AE4*P4</f>
        <v>0</v>
      </c>
      <c r="AP4" s="3">
        <f>+AF4*P4</f>
        <v>0</v>
      </c>
      <c r="AQ4" s="46"/>
    </row>
    <row r="5" spans="1:43" x14ac:dyDescent="0.3">
      <c r="A5" s="94">
        <v>0.183</v>
      </c>
      <c r="B5" s="82" t="s">
        <v>1857</v>
      </c>
      <c r="C5" s="82" t="s">
        <v>1844</v>
      </c>
      <c r="D5" s="82">
        <v>1</v>
      </c>
      <c r="E5" s="19" t="s">
        <v>2286</v>
      </c>
      <c r="F5" s="2" t="s">
        <v>2287</v>
      </c>
      <c r="G5" s="27">
        <v>46008</v>
      </c>
      <c r="H5" s="19" t="s">
        <v>223</v>
      </c>
      <c r="I5" s="2" t="s">
        <v>1178</v>
      </c>
      <c r="J5" s="13">
        <v>0</v>
      </c>
      <c r="K5" s="13">
        <v>2200</v>
      </c>
      <c r="L5" s="13">
        <v>0</v>
      </c>
      <c r="M5" s="13">
        <f t="shared" si="1"/>
        <v>2200</v>
      </c>
      <c r="N5" s="13">
        <v>2200</v>
      </c>
      <c r="O5" s="13">
        <f t="shared" ref="O5:O20" si="8">M5-N5</f>
        <v>0</v>
      </c>
      <c r="P5" s="18">
        <v>17.952500000000001</v>
      </c>
      <c r="Q5" s="3">
        <f t="shared" si="0"/>
        <v>39495.5</v>
      </c>
      <c r="R5" s="3">
        <f>L5*P5</f>
        <v>0</v>
      </c>
      <c r="S5" s="3">
        <f>M5*P5</f>
        <v>39495.5</v>
      </c>
      <c r="T5" s="3">
        <f>P5*N5</f>
        <v>39495.5</v>
      </c>
      <c r="U5" s="3">
        <f>O5*P5</f>
        <v>0</v>
      </c>
      <c r="V5" s="48"/>
      <c r="W5" s="44"/>
      <c r="X5" s="3">
        <v>2200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H5" s="3">
        <f>X5*P5</f>
        <v>39495.5</v>
      </c>
      <c r="AI5" s="3">
        <f t="shared" si="2"/>
        <v>0</v>
      </c>
      <c r="AJ5" s="3">
        <f t="shared" si="3"/>
        <v>0</v>
      </c>
      <c r="AK5" s="3">
        <f>+AA5*P5</f>
        <v>0</v>
      </c>
      <c r="AL5" s="3">
        <f t="shared" si="4"/>
        <v>0</v>
      </c>
      <c r="AM5" s="3">
        <f t="shared" si="5"/>
        <v>0</v>
      </c>
      <c r="AN5" s="3">
        <f t="shared" si="6"/>
        <v>0</v>
      </c>
      <c r="AO5" s="3">
        <f t="shared" si="7"/>
        <v>0</v>
      </c>
      <c r="AP5" s="3">
        <f>+AF5*P5</f>
        <v>0</v>
      </c>
      <c r="AQ5" s="46"/>
    </row>
    <row r="6" spans="1:43" x14ac:dyDescent="0.3">
      <c r="A6" s="94">
        <v>0.21199999999999999</v>
      </c>
      <c r="B6" s="82" t="s">
        <v>1857</v>
      </c>
      <c r="C6" s="82" t="s">
        <v>1839</v>
      </c>
      <c r="D6" s="82">
        <v>2</v>
      </c>
      <c r="E6" s="19" t="s">
        <v>2288</v>
      </c>
      <c r="F6" s="2" t="s">
        <v>2289</v>
      </c>
      <c r="G6" s="27">
        <v>46008</v>
      </c>
      <c r="H6" s="19" t="s">
        <v>2290</v>
      </c>
      <c r="I6" s="2" t="s">
        <v>2291</v>
      </c>
      <c r="J6" s="13">
        <v>0</v>
      </c>
      <c r="K6" s="13">
        <v>1770</v>
      </c>
      <c r="L6" s="13">
        <v>0</v>
      </c>
      <c r="M6" s="13">
        <f t="shared" si="1"/>
        <v>1770</v>
      </c>
      <c r="N6" s="13">
        <v>0</v>
      </c>
      <c r="O6" s="13">
        <f t="shared" si="8"/>
        <v>1770</v>
      </c>
      <c r="P6" s="18">
        <v>17.952500000000001</v>
      </c>
      <c r="Q6" s="3">
        <f t="shared" si="0"/>
        <v>31775.924999999999</v>
      </c>
      <c r="R6" s="3">
        <f t="shared" ref="R6:R20" si="9">L6*P6</f>
        <v>0</v>
      </c>
      <c r="S6" s="3">
        <f t="shared" ref="S6:S20" si="10">M6*P6</f>
        <v>31775.924999999999</v>
      </c>
      <c r="T6" s="3">
        <f t="shared" ref="T6:T20" si="11">P6*N6</f>
        <v>0</v>
      </c>
      <c r="U6" s="3">
        <f t="shared" ref="U6:U20" si="12">O6*P6</f>
        <v>31775.924999999999</v>
      </c>
      <c r="V6" s="48"/>
      <c r="W6" s="44"/>
      <c r="X6" s="3">
        <v>1770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H6" s="3">
        <f>X6*P6</f>
        <v>31775.924999999999</v>
      </c>
      <c r="AI6" s="3">
        <f t="shared" si="2"/>
        <v>0</v>
      </c>
      <c r="AJ6" s="3">
        <f t="shared" si="3"/>
        <v>0</v>
      </c>
      <c r="AK6" s="3">
        <f>+AA6*P6</f>
        <v>0</v>
      </c>
      <c r="AL6" s="3">
        <f t="shared" si="4"/>
        <v>0</v>
      </c>
      <c r="AM6" s="3">
        <f t="shared" si="5"/>
        <v>0</v>
      </c>
      <c r="AN6" s="3">
        <f t="shared" si="6"/>
        <v>0</v>
      </c>
      <c r="AO6" s="3">
        <f t="shared" si="7"/>
        <v>0</v>
      </c>
      <c r="AP6" s="3">
        <f>+AF6*P6</f>
        <v>0</v>
      </c>
      <c r="AQ6" s="46"/>
    </row>
    <row r="7" spans="1:43" x14ac:dyDescent="0.3">
      <c r="A7" s="94">
        <v>0.13300000000000001</v>
      </c>
      <c r="B7" s="82" t="s">
        <v>1857</v>
      </c>
      <c r="C7" s="82" t="s">
        <v>1839</v>
      </c>
      <c r="D7" s="82">
        <v>2</v>
      </c>
      <c r="E7" s="19" t="s">
        <v>2301</v>
      </c>
      <c r="F7" s="2" t="s">
        <v>2302</v>
      </c>
      <c r="G7" s="27">
        <v>46008</v>
      </c>
      <c r="H7" s="19" t="s">
        <v>2294</v>
      </c>
      <c r="I7" s="2" t="s">
        <v>2293</v>
      </c>
      <c r="J7" s="13">
        <v>0</v>
      </c>
      <c r="K7" s="13">
        <v>8550</v>
      </c>
      <c r="L7" s="13">
        <v>0</v>
      </c>
      <c r="M7" s="13">
        <f t="shared" si="1"/>
        <v>8550</v>
      </c>
      <c r="N7" s="13">
        <v>0</v>
      </c>
      <c r="O7" s="13">
        <f t="shared" si="8"/>
        <v>8550</v>
      </c>
      <c r="P7" s="18">
        <v>17.952500000000001</v>
      </c>
      <c r="Q7" s="3">
        <f t="shared" si="0"/>
        <v>153493.875</v>
      </c>
      <c r="R7" s="3">
        <f t="shared" si="9"/>
        <v>0</v>
      </c>
      <c r="S7" s="3">
        <f t="shared" si="10"/>
        <v>153493.875</v>
      </c>
      <c r="T7" s="3">
        <f t="shared" si="11"/>
        <v>0</v>
      </c>
      <c r="U7" s="3">
        <f t="shared" si="12"/>
        <v>153493.875</v>
      </c>
      <c r="V7" s="48"/>
      <c r="W7" s="44"/>
      <c r="X7" s="3">
        <v>7600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950</v>
      </c>
      <c r="AH7" s="3">
        <f t="shared" ref="AH7:AH20" si="13">X7*P7</f>
        <v>136439</v>
      </c>
      <c r="AI7" s="3">
        <f t="shared" si="2"/>
        <v>0</v>
      </c>
      <c r="AJ7" s="3">
        <f t="shared" si="3"/>
        <v>0</v>
      </c>
      <c r="AK7" s="3">
        <f t="shared" ref="AK7:AK20" si="14">+AA7*P7</f>
        <v>0</v>
      </c>
      <c r="AL7" s="3">
        <f t="shared" si="4"/>
        <v>0</v>
      </c>
      <c r="AM7" s="3">
        <f t="shared" si="5"/>
        <v>0</v>
      </c>
      <c r="AN7" s="3">
        <f t="shared" si="6"/>
        <v>0</v>
      </c>
      <c r="AO7" s="3">
        <f t="shared" si="7"/>
        <v>0</v>
      </c>
      <c r="AP7" s="3">
        <f t="shared" ref="AP7:AP20" si="15">+AF7*P7</f>
        <v>17054.875</v>
      </c>
      <c r="AQ7" s="46"/>
    </row>
    <row r="8" spans="1:43" x14ac:dyDescent="0.3">
      <c r="A8" s="94">
        <v>0.20300000000000001</v>
      </c>
      <c r="B8" s="82" t="s">
        <v>1857</v>
      </c>
      <c r="C8" s="82" t="s">
        <v>1839</v>
      </c>
      <c r="D8" s="82">
        <v>2</v>
      </c>
      <c r="E8" s="19" t="s">
        <v>2303</v>
      </c>
      <c r="F8" s="2" t="s">
        <v>2304</v>
      </c>
      <c r="G8" s="27">
        <v>46008</v>
      </c>
      <c r="H8" s="19" t="s">
        <v>2294</v>
      </c>
      <c r="I8" s="2" t="s">
        <v>2293</v>
      </c>
      <c r="J8" s="13">
        <v>0</v>
      </c>
      <c r="K8" s="13">
        <v>9500</v>
      </c>
      <c r="L8" s="13">
        <v>0</v>
      </c>
      <c r="M8" s="13">
        <f t="shared" si="1"/>
        <v>9500</v>
      </c>
      <c r="N8" s="13">
        <v>0</v>
      </c>
      <c r="O8" s="13">
        <f t="shared" si="8"/>
        <v>9500</v>
      </c>
      <c r="P8" s="18">
        <v>17.952500000000001</v>
      </c>
      <c r="Q8" s="3">
        <f t="shared" si="0"/>
        <v>170548.75</v>
      </c>
      <c r="R8" s="3">
        <f t="shared" si="9"/>
        <v>0</v>
      </c>
      <c r="S8" s="3">
        <f t="shared" si="10"/>
        <v>170548.75</v>
      </c>
      <c r="T8" s="3">
        <f t="shared" si="11"/>
        <v>0</v>
      </c>
      <c r="U8" s="3">
        <f t="shared" si="12"/>
        <v>170548.75</v>
      </c>
      <c r="V8" s="48"/>
      <c r="W8" s="44"/>
      <c r="X8" s="3">
        <v>7600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f>950+950</f>
        <v>1900</v>
      </c>
      <c r="AH8" s="3">
        <f t="shared" si="13"/>
        <v>136439</v>
      </c>
      <c r="AI8" s="3">
        <f t="shared" si="2"/>
        <v>0</v>
      </c>
      <c r="AJ8" s="3">
        <f t="shared" si="3"/>
        <v>0</v>
      </c>
      <c r="AK8" s="3">
        <f t="shared" si="14"/>
        <v>0</v>
      </c>
      <c r="AL8" s="3">
        <f t="shared" si="4"/>
        <v>0</v>
      </c>
      <c r="AM8" s="3">
        <f t="shared" si="5"/>
        <v>0</v>
      </c>
      <c r="AN8" s="3">
        <f t="shared" si="6"/>
        <v>0</v>
      </c>
      <c r="AO8" s="3">
        <f t="shared" si="7"/>
        <v>0</v>
      </c>
      <c r="AP8" s="3">
        <f t="shared" si="15"/>
        <v>34109.75</v>
      </c>
      <c r="AQ8" s="46"/>
    </row>
    <row r="9" spans="1:43" x14ac:dyDescent="0.3">
      <c r="A9" s="94">
        <v>0.189</v>
      </c>
      <c r="B9" s="82" t="s">
        <v>1842</v>
      </c>
      <c r="C9" s="82" t="s">
        <v>1839</v>
      </c>
      <c r="D9" s="82">
        <v>2</v>
      </c>
      <c r="E9" s="19" t="s">
        <v>2321</v>
      </c>
      <c r="F9" s="2" t="s">
        <v>2322</v>
      </c>
      <c r="G9" s="27">
        <v>46008</v>
      </c>
      <c r="H9" s="19" t="s">
        <v>61</v>
      </c>
      <c r="I9" s="2" t="s">
        <v>156</v>
      </c>
      <c r="J9" s="13">
        <v>0</v>
      </c>
      <c r="K9" s="13">
        <v>6000</v>
      </c>
      <c r="L9" s="13">
        <v>0</v>
      </c>
      <c r="M9" s="13">
        <f t="shared" si="1"/>
        <v>6000</v>
      </c>
      <c r="N9" s="13">
        <v>0</v>
      </c>
      <c r="O9" s="13">
        <f t="shared" si="8"/>
        <v>6000</v>
      </c>
      <c r="P9" s="18">
        <v>17.952500000000001</v>
      </c>
      <c r="Q9" s="3">
        <f t="shared" si="0"/>
        <v>107715</v>
      </c>
      <c r="R9" s="3">
        <f t="shared" si="9"/>
        <v>0</v>
      </c>
      <c r="S9" s="3">
        <f t="shared" si="10"/>
        <v>107715</v>
      </c>
      <c r="T9" s="3">
        <f t="shared" si="11"/>
        <v>0</v>
      </c>
      <c r="U9" s="3">
        <f t="shared" si="12"/>
        <v>107715</v>
      </c>
      <c r="V9" s="48"/>
      <c r="W9" s="44"/>
      <c r="X9" s="3">
        <v>6000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H9" s="3">
        <f t="shared" si="13"/>
        <v>107715</v>
      </c>
      <c r="AI9" s="3">
        <f t="shared" si="2"/>
        <v>0</v>
      </c>
      <c r="AJ9" s="3">
        <f t="shared" si="3"/>
        <v>0</v>
      </c>
      <c r="AK9" s="3">
        <f t="shared" si="14"/>
        <v>0</v>
      </c>
      <c r="AL9" s="3">
        <f t="shared" si="4"/>
        <v>0</v>
      </c>
      <c r="AM9" s="3">
        <f t="shared" si="5"/>
        <v>0</v>
      </c>
      <c r="AN9" s="3">
        <f t="shared" si="6"/>
        <v>0</v>
      </c>
      <c r="AO9" s="3">
        <f t="shared" si="7"/>
        <v>0</v>
      </c>
      <c r="AP9" s="3">
        <f t="shared" si="15"/>
        <v>0</v>
      </c>
      <c r="AQ9" s="46"/>
    </row>
    <row r="10" spans="1:43" x14ac:dyDescent="0.3">
      <c r="A10" s="94">
        <v>1</v>
      </c>
      <c r="B10" s="82" t="s">
        <v>1857</v>
      </c>
      <c r="C10" s="82" t="s">
        <v>1844</v>
      </c>
      <c r="D10" s="82">
        <v>1</v>
      </c>
      <c r="E10" s="19" t="s">
        <v>2375</v>
      </c>
      <c r="F10" s="2" t="s">
        <v>2376</v>
      </c>
      <c r="G10" s="27">
        <v>46020</v>
      </c>
      <c r="H10" s="19" t="s">
        <v>1187</v>
      </c>
      <c r="I10" s="2" t="s">
        <v>1464</v>
      </c>
      <c r="J10" s="13">
        <v>0</v>
      </c>
      <c r="K10" s="13">
        <v>140</v>
      </c>
      <c r="L10" s="13">
        <v>0</v>
      </c>
      <c r="M10" s="13">
        <f t="shared" si="1"/>
        <v>140</v>
      </c>
      <c r="N10" s="13">
        <v>0</v>
      </c>
      <c r="O10" s="13">
        <f t="shared" si="8"/>
        <v>140</v>
      </c>
      <c r="P10" s="18">
        <v>17.904199999999999</v>
      </c>
      <c r="Q10" s="3">
        <f t="shared" si="0"/>
        <v>2506.5879999999997</v>
      </c>
      <c r="R10" s="3">
        <f t="shared" si="9"/>
        <v>0</v>
      </c>
      <c r="S10" s="3">
        <f t="shared" si="10"/>
        <v>2506.5879999999997</v>
      </c>
      <c r="T10" s="3">
        <f t="shared" si="11"/>
        <v>0</v>
      </c>
      <c r="U10" s="3">
        <f t="shared" si="12"/>
        <v>2506.5879999999997</v>
      </c>
      <c r="V10" s="48"/>
      <c r="W10" s="44"/>
      <c r="X10" s="3">
        <v>0</v>
      </c>
      <c r="Y10" s="3">
        <v>0</v>
      </c>
      <c r="Z10" s="3">
        <v>0</v>
      </c>
      <c r="AA10" s="3">
        <v>0</v>
      </c>
      <c r="AB10" s="3">
        <v>140</v>
      </c>
      <c r="AC10" s="3">
        <v>0</v>
      </c>
      <c r="AD10" s="3">
        <v>0</v>
      </c>
      <c r="AE10" s="3">
        <v>0</v>
      </c>
      <c r="AF10" s="3">
        <v>0</v>
      </c>
      <c r="AH10" s="3">
        <f t="shared" si="13"/>
        <v>0</v>
      </c>
      <c r="AI10" s="3">
        <f t="shared" si="2"/>
        <v>0</v>
      </c>
      <c r="AJ10" s="3">
        <f t="shared" si="3"/>
        <v>0</v>
      </c>
      <c r="AK10" s="3">
        <f t="shared" si="14"/>
        <v>0</v>
      </c>
      <c r="AL10" s="3">
        <f t="shared" si="4"/>
        <v>2506.5879999999997</v>
      </c>
      <c r="AM10" s="3">
        <f t="shared" si="5"/>
        <v>0</v>
      </c>
      <c r="AN10" s="3">
        <f t="shared" si="6"/>
        <v>0</v>
      </c>
      <c r="AO10" s="3">
        <f t="shared" si="7"/>
        <v>0</v>
      </c>
      <c r="AP10" s="3">
        <f t="shared" si="15"/>
        <v>0</v>
      </c>
      <c r="AQ10" s="46"/>
    </row>
    <row r="11" spans="1:43" x14ac:dyDescent="0.3">
      <c r="A11" s="94">
        <v>1</v>
      </c>
      <c r="B11" s="82" t="s">
        <v>1857</v>
      </c>
      <c r="C11" s="82" t="s">
        <v>1844</v>
      </c>
      <c r="D11" s="82">
        <v>1</v>
      </c>
      <c r="E11" s="19" t="s">
        <v>2377</v>
      </c>
      <c r="F11" s="2" t="s">
        <v>2378</v>
      </c>
      <c r="G11" s="27">
        <v>46020</v>
      </c>
      <c r="H11" s="19" t="s">
        <v>1187</v>
      </c>
      <c r="I11" s="2" t="s">
        <v>1464</v>
      </c>
      <c r="J11" s="13">
        <v>0</v>
      </c>
      <c r="K11" s="13">
        <f>140+210</f>
        <v>350</v>
      </c>
      <c r="L11" s="13">
        <v>0</v>
      </c>
      <c r="M11" s="13">
        <f t="shared" si="1"/>
        <v>350</v>
      </c>
      <c r="N11" s="13">
        <v>0</v>
      </c>
      <c r="O11" s="13">
        <f t="shared" si="8"/>
        <v>350</v>
      </c>
      <c r="P11" s="18">
        <v>17.904199999999999</v>
      </c>
      <c r="Q11" s="3">
        <f t="shared" si="0"/>
        <v>6266.47</v>
      </c>
      <c r="R11" s="3">
        <f t="shared" si="9"/>
        <v>0</v>
      </c>
      <c r="S11" s="3">
        <f t="shared" si="10"/>
        <v>6266.47</v>
      </c>
      <c r="T11" s="3">
        <f t="shared" si="11"/>
        <v>0</v>
      </c>
      <c r="U11" s="3">
        <f t="shared" si="12"/>
        <v>6266.47</v>
      </c>
      <c r="V11" s="48"/>
      <c r="W11" s="44"/>
      <c r="X11" s="3">
        <v>0</v>
      </c>
      <c r="Y11" s="3">
        <v>0</v>
      </c>
      <c r="Z11" s="3">
        <v>0</v>
      </c>
      <c r="AA11" s="3">
        <v>0</v>
      </c>
      <c r="AB11" s="3">
        <f>140+210</f>
        <v>350</v>
      </c>
      <c r="AC11" s="3">
        <v>0</v>
      </c>
      <c r="AD11" s="3">
        <v>0</v>
      </c>
      <c r="AE11" s="3">
        <v>0</v>
      </c>
      <c r="AF11" s="3">
        <v>0</v>
      </c>
      <c r="AH11" s="3">
        <f t="shared" si="13"/>
        <v>0</v>
      </c>
      <c r="AI11" s="3">
        <f t="shared" si="2"/>
        <v>0</v>
      </c>
      <c r="AJ11" s="3">
        <f t="shared" si="3"/>
        <v>0</v>
      </c>
      <c r="AK11" s="3">
        <f t="shared" si="14"/>
        <v>0</v>
      </c>
      <c r="AL11" s="3">
        <f t="shared" si="4"/>
        <v>6266.47</v>
      </c>
      <c r="AM11" s="3">
        <f t="shared" si="5"/>
        <v>0</v>
      </c>
      <c r="AN11" s="3">
        <f t="shared" si="6"/>
        <v>0</v>
      </c>
      <c r="AO11" s="3">
        <f t="shared" si="7"/>
        <v>0</v>
      </c>
      <c r="AP11" s="3">
        <f t="shared" si="15"/>
        <v>0</v>
      </c>
      <c r="AQ11" s="46"/>
    </row>
    <row r="12" spans="1:43" x14ac:dyDescent="0.3">
      <c r="A12" s="94">
        <v>0.26600000000000001</v>
      </c>
      <c r="B12" s="82" t="s">
        <v>1857</v>
      </c>
      <c r="C12" s="82" t="s">
        <v>1844</v>
      </c>
      <c r="D12" s="82">
        <v>1</v>
      </c>
      <c r="E12" s="19" t="s">
        <v>2401</v>
      </c>
      <c r="F12" s="2" t="s">
        <v>2287</v>
      </c>
      <c r="G12" s="27">
        <v>46021</v>
      </c>
      <c r="H12" s="19" t="s">
        <v>223</v>
      </c>
      <c r="I12" s="2" t="s">
        <v>1178</v>
      </c>
      <c r="J12" s="13">
        <v>0</v>
      </c>
      <c r="K12" s="13">
        <v>320</v>
      </c>
      <c r="L12" s="13">
        <v>0</v>
      </c>
      <c r="M12" s="13">
        <f t="shared" si="1"/>
        <v>320</v>
      </c>
      <c r="N12" s="13">
        <v>600</v>
      </c>
      <c r="O12" s="13">
        <f t="shared" si="8"/>
        <v>-280</v>
      </c>
      <c r="P12" s="18">
        <v>17.966699999999999</v>
      </c>
      <c r="Q12" s="3">
        <f t="shared" si="0"/>
        <v>5749.3440000000001</v>
      </c>
      <c r="R12" s="3">
        <f t="shared" si="9"/>
        <v>0</v>
      </c>
      <c r="S12" s="3">
        <f t="shared" si="10"/>
        <v>5749.3440000000001</v>
      </c>
      <c r="T12" s="3">
        <f t="shared" si="11"/>
        <v>10780.02</v>
      </c>
      <c r="U12" s="3">
        <f t="shared" si="12"/>
        <v>-5030.6759999999995</v>
      </c>
      <c r="V12" s="48"/>
      <c r="W12" s="44"/>
      <c r="X12" s="3">
        <v>0</v>
      </c>
      <c r="Y12" s="3">
        <v>0</v>
      </c>
      <c r="Z12" s="3">
        <v>320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H12" s="3">
        <f t="shared" si="13"/>
        <v>0</v>
      </c>
      <c r="AI12" s="3">
        <f t="shared" si="2"/>
        <v>0</v>
      </c>
      <c r="AJ12" s="3">
        <f t="shared" si="3"/>
        <v>5749.3440000000001</v>
      </c>
      <c r="AK12" s="3">
        <f t="shared" si="14"/>
        <v>0</v>
      </c>
      <c r="AL12" s="3">
        <f t="shared" si="4"/>
        <v>0</v>
      </c>
      <c r="AM12" s="3">
        <f t="shared" si="5"/>
        <v>0</v>
      </c>
      <c r="AN12" s="3">
        <f t="shared" si="6"/>
        <v>0</v>
      </c>
      <c r="AO12" s="3">
        <f t="shared" si="7"/>
        <v>0</v>
      </c>
      <c r="AP12" s="3">
        <f t="shared" si="15"/>
        <v>0</v>
      </c>
      <c r="AQ12" s="46"/>
    </row>
    <row r="13" spans="1:43" x14ac:dyDescent="0.3">
      <c r="A13" s="94">
        <v>0.68100000000000005</v>
      </c>
      <c r="B13" s="82" t="s">
        <v>1857</v>
      </c>
      <c r="C13" s="82" t="s">
        <v>1844</v>
      </c>
      <c r="D13" s="82">
        <v>1</v>
      </c>
      <c r="E13" s="19" t="s">
        <v>2405</v>
      </c>
      <c r="F13" s="2" t="s">
        <v>2406</v>
      </c>
      <c r="G13" s="27">
        <v>46021</v>
      </c>
      <c r="H13" s="19" t="s">
        <v>1272</v>
      </c>
      <c r="I13" s="2" t="s">
        <v>2407</v>
      </c>
      <c r="J13" s="13">
        <v>0</v>
      </c>
      <c r="K13" s="13">
        <v>480</v>
      </c>
      <c r="L13" s="13">
        <v>0</v>
      </c>
      <c r="M13" s="13">
        <f t="shared" si="1"/>
        <v>480</v>
      </c>
      <c r="N13" s="13">
        <v>0</v>
      </c>
      <c r="O13" s="13">
        <f t="shared" si="8"/>
        <v>480</v>
      </c>
      <c r="P13" s="18">
        <v>17.966699999999999</v>
      </c>
      <c r="Q13" s="3">
        <f t="shared" si="0"/>
        <v>8624.0159999999996</v>
      </c>
      <c r="R13" s="3">
        <f t="shared" si="9"/>
        <v>0</v>
      </c>
      <c r="S13" s="3">
        <f t="shared" si="10"/>
        <v>8624.0159999999996</v>
      </c>
      <c r="T13" s="3">
        <f t="shared" si="11"/>
        <v>0</v>
      </c>
      <c r="U13" s="3">
        <f t="shared" si="12"/>
        <v>8624.0159999999996</v>
      </c>
      <c r="V13" s="48"/>
      <c r="W13" s="44"/>
      <c r="X13" s="3">
        <v>0</v>
      </c>
      <c r="Y13" s="3">
        <v>0</v>
      </c>
      <c r="Z13" s="3">
        <v>0</v>
      </c>
      <c r="AA13" s="3">
        <v>0</v>
      </c>
      <c r="AB13" s="3">
        <v>100</v>
      </c>
      <c r="AC13" s="3">
        <v>80</v>
      </c>
      <c r="AD13" s="3">
        <v>300</v>
      </c>
      <c r="AE13" s="3">
        <v>0</v>
      </c>
      <c r="AF13" s="3">
        <v>0</v>
      </c>
      <c r="AH13" s="3">
        <f t="shared" si="13"/>
        <v>0</v>
      </c>
      <c r="AI13" s="3">
        <f t="shared" si="2"/>
        <v>0</v>
      </c>
      <c r="AJ13" s="3">
        <f t="shared" si="3"/>
        <v>0</v>
      </c>
      <c r="AK13" s="3">
        <f t="shared" si="14"/>
        <v>0</v>
      </c>
      <c r="AL13" s="3">
        <f t="shared" si="4"/>
        <v>1796.6699999999998</v>
      </c>
      <c r="AM13" s="3">
        <f t="shared" si="5"/>
        <v>1437.336</v>
      </c>
      <c r="AN13" s="3">
        <f t="shared" si="6"/>
        <v>5390.01</v>
      </c>
      <c r="AO13" s="3">
        <f t="shared" si="7"/>
        <v>0</v>
      </c>
      <c r="AP13" s="3">
        <f t="shared" si="15"/>
        <v>0</v>
      </c>
      <c r="AQ13" s="46"/>
    </row>
    <row r="14" spans="1:43" x14ac:dyDescent="0.3">
      <c r="A14" s="94">
        <v>0.51300000000000001</v>
      </c>
      <c r="B14" s="82" t="s">
        <v>1857</v>
      </c>
      <c r="C14" s="82" t="s">
        <v>1839</v>
      </c>
      <c r="D14" s="82">
        <v>2</v>
      </c>
      <c r="E14" s="19" t="s">
        <v>2411</v>
      </c>
      <c r="F14" s="2" t="s">
        <v>2412</v>
      </c>
      <c r="G14" s="27">
        <v>46021</v>
      </c>
      <c r="H14" s="19" t="s">
        <v>2117</v>
      </c>
      <c r="I14" s="2" t="s">
        <v>2413</v>
      </c>
      <c r="J14" s="13">
        <v>0</v>
      </c>
      <c r="K14" s="13">
        <v>920</v>
      </c>
      <c r="L14" s="13">
        <v>147.19999999999999</v>
      </c>
      <c r="M14" s="13">
        <f t="shared" si="1"/>
        <v>1067.2</v>
      </c>
      <c r="N14" s="13">
        <v>1067.2</v>
      </c>
      <c r="O14" s="13">
        <f t="shared" si="8"/>
        <v>0</v>
      </c>
      <c r="P14" s="18">
        <v>17.966699999999999</v>
      </c>
      <c r="Q14" s="3">
        <f t="shared" si="0"/>
        <v>16529.363999999998</v>
      </c>
      <c r="R14" s="3">
        <f t="shared" si="9"/>
        <v>2644.6982399999997</v>
      </c>
      <c r="S14" s="3">
        <f t="shared" si="10"/>
        <v>19174.062239999999</v>
      </c>
      <c r="T14" s="3">
        <f t="shared" si="11"/>
        <v>19174.062239999999</v>
      </c>
      <c r="U14" s="3">
        <f t="shared" si="12"/>
        <v>0</v>
      </c>
      <c r="V14" s="48"/>
      <c r="W14" s="44"/>
      <c r="X14" s="3">
        <v>920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H14" s="3">
        <f t="shared" si="13"/>
        <v>16529.363999999998</v>
      </c>
      <c r="AI14" s="3">
        <f t="shared" si="2"/>
        <v>0</v>
      </c>
      <c r="AJ14" s="3">
        <f t="shared" si="3"/>
        <v>0</v>
      </c>
      <c r="AK14" s="3">
        <f t="shared" si="14"/>
        <v>0</v>
      </c>
      <c r="AL14" s="3">
        <f t="shared" si="4"/>
        <v>0</v>
      </c>
      <c r="AM14" s="3">
        <f t="shared" si="5"/>
        <v>0</v>
      </c>
      <c r="AN14" s="3">
        <f t="shared" si="6"/>
        <v>0</v>
      </c>
      <c r="AO14" s="3">
        <f t="shared" si="7"/>
        <v>0</v>
      </c>
      <c r="AP14" s="3">
        <f t="shared" si="15"/>
        <v>0</v>
      </c>
      <c r="AQ14" s="46"/>
    </row>
    <row r="15" spans="1:43" x14ac:dyDescent="0.3">
      <c r="A15" s="97">
        <v>-7.0000000000000007E-2</v>
      </c>
      <c r="B15" s="82" t="s">
        <v>1857</v>
      </c>
      <c r="C15" s="82" t="s">
        <v>1839</v>
      </c>
      <c r="D15" s="82">
        <v>2</v>
      </c>
      <c r="E15" s="19" t="s">
        <v>2436</v>
      </c>
      <c r="F15" s="2" t="s">
        <v>2292</v>
      </c>
      <c r="G15" s="27">
        <v>46022</v>
      </c>
      <c r="H15" s="19" t="s">
        <v>2294</v>
      </c>
      <c r="I15" s="2" t="s">
        <v>2293</v>
      </c>
      <c r="J15" s="13">
        <v>0</v>
      </c>
      <c r="K15" s="13">
        <v>1200</v>
      </c>
      <c r="L15" s="13">
        <v>0</v>
      </c>
      <c r="M15" s="13">
        <f t="shared" si="1"/>
        <v>1200</v>
      </c>
      <c r="N15" s="13">
        <v>0</v>
      </c>
      <c r="O15" s="13">
        <f t="shared" si="8"/>
        <v>1200</v>
      </c>
      <c r="P15" s="18">
        <v>17.9528</v>
      </c>
      <c r="Q15" s="3">
        <f t="shared" si="0"/>
        <v>21543.360000000001</v>
      </c>
      <c r="R15" s="3">
        <f t="shared" si="9"/>
        <v>0</v>
      </c>
      <c r="S15" s="3">
        <f t="shared" si="10"/>
        <v>21543.360000000001</v>
      </c>
      <c r="T15" s="3">
        <f t="shared" si="11"/>
        <v>0</v>
      </c>
      <c r="U15" s="3">
        <f t="shared" si="12"/>
        <v>21543.360000000001</v>
      </c>
      <c r="V15" s="48"/>
      <c r="W15" s="44"/>
      <c r="X15" s="3">
        <v>1200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H15" s="3">
        <f t="shared" si="13"/>
        <v>21543.360000000001</v>
      </c>
      <c r="AI15" s="3">
        <f t="shared" si="2"/>
        <v>0</v>
      </c>
      <c r="AJ15" s="3">
        <f t="shared" si="3"/>
        <v>0</v>
      </c>
      <c r="AK15" s="3">
        <f t="shared" si="14"/>
        <v>0</v>
      </c>
      <c r="AL15" s="3">
        <f t="shared" si="4"/>
        <v>0</v>
      </c>
      <c r="AM15" s="3">
        <f t="shared" si="5"/>
        <v>0</v>
      </c>
      <c r="AN15" s="3">
        <f t="shared" si="6"/>
        <v>0</v>
      </c>
      <c r="AO15" s="3">
        <f t="shared" si="7"/>
        <v>0</v>
      </c>
      <c r="AP15" s="3">
        <f t="shared" si="15"/>
        <v>0</v>
      </c>
      <c r="AQ15" s="46"/>
    </row>
    <row r="16" spans="1:43" x14ac:dyDescent="0.3">
      <c r="A16" s="94">
        <v>0.155</v>
      </c>
      <c r="B16" s="82" t="s">
        <v>1857</v>
      </c>
      <c r="C16" s="82" t="s">
        <v>1839</v>
      </c>
      <c r="D16" s="82">
        <v>2</v>
      </c>
      <c r="E16" s="19" t="s">
        <v>2437</v>
      </c>
      <c r="F16" s="2" t="s">
        <v>2438</v>
      </c>
      <c r="G16" s="27">
        <v>46022</v>
      </c>
      <c r="H16" s="19" t="s">
        <v>2290</v>
      </c>
      <c r="I16" s="2" t="s">
        <v>2291</v>
      </c>
      <c r="J16" s="13">
        <v>0</v>
      </c>
      <c r="K16" s="13">
        <v>2050</v>
      </c>
      <c r="L16" s="13">
        <v>0</v>
      </c>
      <c r="M16" s="13">
        <f t="shared" si="1"/>
        <v>2050</v>
      </c>
      <c r="N16" s="13">
        <v>1750</v>
      </c>
      <c r="O16" s="13">
        <f t="shared" si="8"/>
        <v>300</v>
      </c>
      <c r="P16" s="18">
        <v>17.9528</v>
      </c>
      <c r="Q16" s="3">
        <f t="shared" si="0"/>
        <v>36803.24</v>
      </c>
      <c r="R16" s="3">
        <f t="shared" si="9"/>
        <v>0</v>
      </c>
      <c r="S16" s="3">
        <f t="shared" si="10"/>
        <v>36803.24</v>
      </c>
      <c r="T16" s="3">
        <f t="shared" si="11"/>
        <v>31417.4</v>
      </c>
      <c r="U16" s="3">
        <f t="shared" si="12"/>
        <v>5385.84</v>
      </c>
      <c r="V16" s="48"/>
      <c r="W16" s="44"/>
      <c r="X16" s="3">
        <v>2050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H16" s="3">
        <f t="shared" si="13"/>
        <v>36803.24</v>
      </c>
      <c r="AI16" s="3">
        <f t="shared" si="2"/>
        <v>0</v>
      </c>
      <c r="AJ16" s="3">
        <f t="shared" si="3"/>
        <v>0</v>
      </c>
      <c r="AK16" s="3">
        <f t="shared" si="14"/>
        <v>0</v>
      </c>
      <c r="AL16" s="3">
        <f t="shared" si="4"/>
        <v>0</v>
      </c>
      <c r="AM16" s="3">
        <f t="shared" si="5"/>
        <v>0</v>
      </c>
      <c r="AN16" s="3">
        <f t="shared" si="6"/>
        <v>0</v>
      </c>
      <c r="AO16" s="3">
        <f t="shared" si="7"/>
        <v>0</v>
      </c>
      <c r="AP16" s="3">
        <f t="shared" si="15"/>
        <v>0</v>
      </c>
      <c r="AQ16" s="46"/>
    </row>
    <row r="17" spans="1:43" x14ac:dyDescent="0.3">
      <c r="A17" s="97">
        <v>-7.0000000000000007E-2</v>
      </c>
      <c r="B17" s="82" t="s">
        <v>1857</v>
      </c>
      <c r="C17" s="82" t="s">
        <v>1839</v>
      </c>
      <c r="D17" s="82">
        <v>2</v>
      </c>
      <c r="E17" s="19" t="s">
        <v>2439</v>
      </c>
      <c r="F17" s="2" t="s">
        <v>2292</v>
      </c>
      <c r="G17" s="27">
        <v>46022</v>
      </c>
      <c r="H17" s="19" t="s">
        <v>2440</v>
      </c>
      <c r="I17" s="2" t="s">
        <v>2441</v>
      </c>
      <c r="J17" s="13">
        <v>0</v>
      </c>
      <c r="K17" s="13">
        <v>7600</v>
      </c>
      <c r="L17" s="13">
        <v>0</v>
      </c>
      <c r="M17" s="13">
        <f t="shared" si="1"/>
        <v>7600</v>
      </c>
      <c r="N17" s="13">
        <v>0</v>
      </c>
      <c r="O17" s="13">
        <f t="shared" si="8"/>
        <v>7600</v>
      </c>
      <c r="P17" s="18">
        <v>17.9528</v>
      </c>
      <c r="Q17" s="3">
        <f t="shared" si="0"/>
        <v>136441.28</v>
      </c>
      <c r="R17" s="3">
        <f t="shared" si="9"/>
        <v>0</v>
      </c>
      <c r="S17" s="3">
        <f t="shared" si="10"/>
        <v>136441.28</v>
      </c>
      <c r="T17" s="3">
        <f t="shared" si="11"/>
        <v>0</v>
      </c>
      <c r="U17" s="3">
        <f t="shared" si="12"/>
        <v>136441.28</v>
      </c>
      <c r="V17" s="48"/>
      <c r="W17" s="44"/>
      <c r="X17" s="3">
        <v>7600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H17" s="3">
        <f t="shared" si="13"/>
        <v>136441.28</v>
      </c>
      <c r="AI17" s="3">
        <f t="shared" si="2"/>
        <v>0</v>
      </c>
      <c r="AJ17" s="3">
        <f t="shared" si="3"/>
        <v>0</v>
      </c>
      <c r="AK17" s="3">
        <f t="shared" si="14"/>
        <v>0</v>
      </c>
      <c r="AL17" s="3">
        <f t="shared" si="4"/>
        <v>0</v>
      </c>
      <c r="AM17" s="3">
        <f t="shared" si="5"/>
        <v>0</v>
      </c>
      <c r="AN17" s="3">
        <f t="shared" si="6"/>
        <v>0</v>
      </c>
      <c r="AO17" s="3">
        <f t="shared" si="7"/>
        <v>0</v>
      </c>
      <c r="AP17" s="3">
        <f t="shared" si="15"/>
        <v>0</v>
      </c>
      <c r="AQ17" s="46"/>
    </row>
    <row r="18" spans="1:43" x14ac:dyDescent="0.3">
      <c r="A18" s="94"/>
      <c r="B18" s="82"/>
      <c r="C18" s="82"/>
      <c r="D18" s="51"/>
      <c r="E18" s="19"/>
      <c r="F18" s="2"/>
      <c r="G18" s="27"/>
      <c r="H18" s="19"/>
      <c r="I18" s="2"/>
      <c r="J18" s="13"/>
      <c r="K18" s="13"/>
      <c r="L18" s="13"/>
      <c r="M18" s="13">
        <f t="shared" si="1"/>
        <v>0</v>
      </c>
      <c r="N18" s="13">
        <v>0</v>
      </c>
      <c r="O18" s="13">
        <f t="shared" si="8"/>
        <v>0</v>
      </c>
      <c r="P18" s="18"/>
      <c r="Q18" s="3">
        <f t="shared" si="0"/>
        <v>0</v>
      </c>
      <c r="R18" s="3">
        <f t="shared" si="9"/>
        <v>0</v>
      </c>
      <c r="S18" s="3">
        <f t="shared" si="10"/>
        <v>0</v>
      </c>
      <c r="T18" s="3">
        <f t="shared" si="11"/>
        <v>0</v>
      </c>
      <c r="U18" s="3">
        <f t="shared" si="12"/>
        <v>0</v>
      </c>
      <c r="V18" s="48"/>
      <c r="W18" s="44"/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H18" s="3">
        <f t="shared" si="13"/>
        <v>0</v>
      </c>
      <c r="AI18" s="3">
        <f t="shared" si="2"/>
        <v>0</v>
      </c>
      <c r="AJ18" s="3">
        <f t="shared" si="3"/>
        <v>0</v>
      </c>
      <c r="AK18" s="3">
        <f t="shared" si="14"/>
        <v>0</v>
      </c>
      <c r="AL18" s="3">
        <f t="shared" si="4"/>
        <v>0</v>
      </c>
      <c r="AM18" s="3">
        <f t="shared" si="5"/>
        <v>0</v>
      </c>
      <c r="AN18" s="3">
        <f t="shared" si="6"/>
        <v>0</v>
      </c>
      <c r="AO18" s="3">
        <f t="shared" si="7"/>
        <v>0</v>
      </c>
      <c r="AP18" s="3">
        <f t="shared" si="15"/>
        <v>0</v>
      </c>
      <c r="AQ18" s="46"/>
    </row>
    <row r="19" spans="1:43" x14ac:dyDescent="0.3">
      <c r="A19" s="94"/>
      <c r="B19" s="82"/>
      <c r="C19" s="82"/>
      <c r="D19" s="51"/>
      <c r="E19" s="19"/>
      <c r="F19" s="2"/>
      <c r="G19" s="27"/>
      <c r="H19" s="19"/>
      <c r="I19" s="2"/>
      <c r="J19" s="13"/>
      <c r="K19" s="13"/>
      <c r="L19" s="13"/>
      <c r="M19" s="13">
        <f t="shared" si="1"/>
        <v>0</v>
      </c>
      <c r="N19" s="13">
        <v>0</v>
      </c>
      <c r="O19" s="13">
        <f t="shared" si="8"/>
        <v>0</v>
      </c>
      <c r="P19" s="18"/>
      <c r="Q19" s="3">
        <f t="shared" si="0"/>
        <v>0</v>
      </c>
      <c r="R19" s="3">
        <f t="shared" si="9"/>
        <v>0</v>
      </c>
      <c r="S19" s="3">
        <f t="shared" si="10"/>
        <v>0</v>
      </c>
      <c r="T19" s="3">
        <f t="shared" si="11"/>
        <v>0</v>
      </c>
      <c r="U19" s="3">
        <f t="shared" si="12"/>
        <v>0</v>
      </c>
      <c r="V19" s="48"/>
      <c r="W19" s="44"/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H19" s="3">
        <f t="shared" si="13"/>
        <v>0</v>
      </c>
      <c r="AI19" s="3">
        <f t="shared" si="2"/>
        <v>0</v>
      </c>
      <c r="AJ19" s="3">
        <f t="shared" si="3"/>
        <v>0</v>
      </c>
      <c r="AK19" s="3">
        <f t="shared" si="14"/>
        <v>0</v>
      </c>
      <c r="AL19" s="3">
        <f t="shared" si="4"/>
        <v>0</v>
      </c>
      <c r="AM19" s="3">
        <f t="shared" si="5"/>
        <v>0</v>
      </c>
      <c r="AN19" s="3">
        <f t="shared" si="6"/>
        <v>0</v>
      </c>
      <c r="AO19" s="3">
        <f t="shared" si="7"/>
        <v>0</v>
      </c>
      <c r="AP19" s="3">
        <f t="shared" si="15"/>
        <v>0</v>
      </c>
      <c r="AQ19" s="46"/>
    </row>
    <row r="20" spans="1:43" x14ac:dyDescent="0.3">
      <c r="A20" s="94"/>
      <c r="B20" s="82"/>
      <c r="C20" s="82"/>
      <c r="D20" s="51"/>
      <c r="E20" s="19"/>
      <c r="F20" s="2"/>
      <c r="G20" s="27"/>
      <c r="H20" s="19"/>
      <c r="I20" s="2"/>
      <c r="J20" s="13"/>
      <c r="K20" s="13"/>
      <c r="L20" s="13"/>
      <c r="M20" s="13">
        <f t="shared" si="1"/>
        <v>0</v>
      </c>
      <c r="N20" s="13">
        <v>0</v>
      </c>
      <c r="O20" s="13">
        <f t="shared" si="8"/>
        <v>0</v>
      </c>
      <c r="P20" s="18"/>
      <c r="Q20" s="3">
        <f t="shared" si="0"/>
        <v>0</v>
      </c>
      <c r="R20" s="3">
        <f t="shared" si="9"/>
        <v>0</v>
      </c>
      <c r="S20" s="3">
        <f t="shared" si="10"/>
        <v>0</v>
      </c>
      <c r="T20" s="3">
        <f t="shared" si="11"/>
        <v>0</v>
      </c>
      <c r="U20" s="3">
        <f t="shared" si="12"/>
        <v>0</v>
      </c>
      <c r="V20" s="48"/>
      <c r="W20" s="44"/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H20" s="3">
        <f t="shared" si="13"/>
        <v>0</v>
      </c>
      <c r="AI20" s="3">
        <f t="shared" si="2"/>
        <v>0</v>
      </c>
      <c r="AJ20" s="3">
        <f t="shared" si="3"/>
        <v>0</v>
      </c>
      <c r="AK20" s="3">
        <f t="shared" si="14"/>
        <v>0</v>
      </c>
      <c r="AL20" s="3">
        <f t="shared" si="4"/>
        <v>0</v>
      </c>
      <c r="AM20" s="3">
        <f t="shared" si="5"/>
        <v>0</v>
      </c>
      <c r="AN20" s="3">
        <f t="shared" si="6"/>
        <v>0</v>
      </c>
      <c r="AO20" s="3">
        <f t="shared" si="7"/>
        <v>0</v>
      </c>
      <c r="AP20" s="3">
        <f t="shared" si="15"/>
        <v>0</v>
      </c>
      <c r="AQ20" s="46"/>
    </row>
    <row r="21" spans="1:43" ht="15" thickBot="1" x14ac:dyDescent="0.35">
      <c r="D21" s="14"/>
      <c r="E21" s="14"/>
      <c r="F21" s="14"/>
      <c r="G21" s="28"/>
      <c r="H21" s="14"/>
      <c r="I21" s="14"/>
      <c r="J21" s="17">
        <f t="shared" ref="J21:O21" si="16">+SUM(J3:J20)</f>
        <v>0</v>
      </c>
      <c r="K21" s="59">
        <f t="shared" si="16"/>
        <v>42320</v>
      </c>
      <c r="L21" s="17">
        <f t="shared" si="16"/>
        <v>240</v>
      </c>
      <c r="M21" s="17">
        <f t="shared" si="16"/>
        <v>42560</v>
      </c>
      <c r="N21" s="17">
        <f t="shared" si="16"/>
        <v>5617.2</v>
      </c>
      <c r="O21" s="17">
        <f t="shared" si="16"/>
        <v>36942.800000000003</v>
      </c>
      <c r="P21" s="14"/>
      <c r="Q21" s="55">
        <f>+SUM(Q3:Q20)</f>
        <v>760106.21999999986</v>
      </c>
      <c r="R21" s="16">
        <f>+SUM(R3:R20)</f>
        <v>4337.0639999999994</v>
      </c>
      <c r="S21" s="16">
        <f>+SUM(S3:S20)</f>
        <v>764443.28399999999</v>
      </c>
      <c r="T21" s="16">
        <f>+SUM(T3:T20)</f>
        <v>100866.98224000001</v>
      </c>
      <c r="U21" s="16">
        <f>+SUM(U3:U20)</f>
        <v>663576.30176000006</v>
      </c>
      <c r="V21" s="15"/>
      <c r="W21" s="15"/>
      <c r="X21" s="17">
        <f t="shared" ref="X21:AF21" si="17">+SUM(X3:X20)</f>
        <v>37600</v>
      </c>
      <c r="Y21" s="17">
        <f t="shared" si="17"/>
        <v>0</v>
      </c>
      <c r="Z21" s="17">
        <f t="shared" si="17"/>
        <v>900</v>
      </c>
      <c r="AA21" s="17">
        <f t="shared" si="17"/>
        <v>0</v>
      </c>
      <c r="AB21" s="17">
        <f t="shared" si="17"/>
        <v>590</v>
      </c>
      <c r="AC21" s="17">
        <f t="shared" si="17"/>
        <v>80</v>
      </c>
      <c r="AD21" s="17">
        <f t="shared" si="17"/>
        <v>300</v>
      </c>
      <c r="AE21" s="17">
        <f t="shared" si="17"/>
        <v>0</v>
      </c>
      <c r="AF21" s="17">
        <f t="shared" si="17"/>
        <v>2850</v>
      </c>
      <c r="AG21" s="14"/>
      <c r="AH21" s="16">
        <f t="shared" ref="AH21:AP21" si="18">+SUM(AH3:AH20)</f>
        <v>675217.89100000006</v>
      </c>
      <c r="AI21" s="16">
        <f t="shared" si="18"/>
        <v>0</v>
      </c>
      <c r="AJ21" s="16">
        <f t="shared" si="18"/>
        <v>16326.630000000001</v>
      </c>
      <c r="AK21" s="16">
        <f t="shared" si="18"/>
        <v>0</v>
      </c>
      <c r="AL21" s="16">
        <f t="shared" si="18"/>
        <v>10569.728000000001</v>
      </c>
      <c r="AM21" s="16">
        <f t="shared" si="18"/>
        <v>1437.336</v>
      </c>
      <c r="AN21" s="16">
        <f t="shared" si="18"/>
        <v>5390.01</v>
      </c>
      <c r="AO21" s="16">
        <f t="shared" si="18"/>
        <v>0</v>
      </c>
      <c r="AP21" s="16">
        <f t="shared" si="18"/>
        <v>51164.625</v>
      </c>
      <c r="AQ21" s="14"/>
    </row>
    <row r="22" spans="1:43" ht="15" thickTop="1" x14ac:dyDescent="0.3">
      <c r="AF22" s="34">
        <f>+SUM(W21:AF21)</f>
        <v>42320</v>
      </c>
      <c r="AP22" s="1">
        <f>+SUM(AH21:AP21)</f>
        <v>760106.22000000009</v>
      </c>
    </row>
    <row r="23" spans="1:43" x14ac:dyDescent="0.3">
      <c r="K23" s="23"/>
      <c r="Q23" s="1"/>
      <c r="R23" s="23"/>
      <c r="S23" s="32"/>
      <c r="AF23" s="34">
        <f>+AF22-K21</f>
        <v>0</v>
      </c>
      <c r="AP23" s="1">
        <f>+AP22-Q21</f>
        <v>0</v>
      </c>
    </row>
    <row r="24" spans="1:43" x14ac:dyDescent="0.3">
      <c r="K24" s="23"/>
      <c r="L24" s="32"/>
      <c r="P24">
        <v>16</v>
      </c>
      <c r="Q24" s="46">
        <f>+Q3+Q14</f>
        <v>27106.649999999998</v>
      </c>
      <c r="R24" s="81"/>
    </row>
    <row r="25" spans="1:43" x14ac:dyDescent="0.3">
      <c r="P25">
        <v>0</v>
      </c>
      <c r="Q25" s="23">
        <f>+Q4+Q5+Q6+Q7+Q8+Q9+Q10+Q11+Q12+Q13+Q15+Q16+Q17</f>
        <v>732999.57</v>
      </c>
      <c r="R25" s="81"/>
    </row>
    <row r="26" spans="1:43" x14ac:dyDescent="0.3">
      <c r="Q26" s="23"/>
    </row>
    <row r="27" spans="1:43" x14ac:dyDescent="0.3">
      <c r="Q27" s="23">
        <f>+Q21-Q24-Q25</f>
        <v>0</v>
      </c>
    </row>
    <row r="28" spans="1:43" x14ac:dyDescent="0.3">
      <c r="P28" s="32"/>
    </row>
    <row r="29" spans="1:43" x14ac:dyDescent="0.3">
      <c r="P29" s="32"/>
    </row>
  </sheetData>
  <autoFilter ref="D2:AP21" xr:uid="{8AB32C8C-2F1A-4C1B-BB94-CF5A4C8E86A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ENE MXN</vt:lpstr>
      <vt:lpstr>ENE USD </vt:lpstr>
      <vt:lpstr>FEB MXN</vt:lpstr>
      <vt:lpstr>FEB USD </vt:lpstr>
      <vt:lpstr>MAR MXN</vt:lpstr>
      <vt:lpstr>MAR USD </vt:lpstr>
      <vt:lpstr>ABR MXN </vt:lpstr>
      <vt:lpstr>ABR USD </vt:lpstr>
      <vt:lpstr>MAY MXN</vt:lpstr>
      <vt:lpstr>MAY USD </vt:lpstr>
      <vt:lpstr>JUL MXN</vt:lpstr>
      <vt:lpstr>JUL USD</vt:lpstr>
      <vt:lpstr>AGO MXN</vt:lpstr>
      <vt:lpstr>AGO USD</vt:lpstr>
      <vt:lpstr>SEP MXN </vt:lpstr>
      <vt:lpstr>SEP USD</vt:lpstr>
      <vt:lpstr>OCT MXN</vt:lpstr>
      <vt:lpstr>OCT USD</vt:lpstr>
      <vt:lpstr>NOV MXN</vt:lpstr>
      <vt:lpstr>NOV USD</vt:lpstr>
      <vt:lpstr>DIC MXN</vt:lpstr>
      <vt:lpstr>Hoja1</vt:lpstr>
      <vt:lpstr>Hoja2</vt:lpstr>
      <vt:lpstr>DIC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Magnolia Chavez CGL 4</cp:lastModifiedBy>
  <cp:lastPrinted>2024-03-31T23:47:27Z</cp:lastPrinted>
  <dcterms:created xsi:type="dcterms:W3CDTF">2023-02-22T02:41:36Z</dcterms:created>
  <dcterms:modified xsi:type="dcterms:W3CDTF">2026-01-30T19:10:17Z</dcterms:modified>
</cp:coreProperties>
</file>